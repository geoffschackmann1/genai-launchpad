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ources &amp; Uses" sheetId="2" state="visible" r:id="rId2"/>
    <sheet xmlns:r="http://schemas.openxmlformats.org/officeDocument/2006/relationships" name="Lender Summary" sheetId="3" state="visible" r:id="rId3"/>
    <sheet xmlns:r="http://schemas.openxmlformats.org/officeDocument/2006/relationships" name="Stress Tests" sheetId="4" state="visible" r:id="rId4"/>
    <sheet xmlns:r="http://schemas.openxmlformats.org/officeDocument/2006/relationships" name="Revenue Model" sheetId="5" state="visible" r:id="rId5"/>
    <sheet xmlns:r="http://schemas.openxmlformats.org/officeDocument/2006/relationships" name="Staffing &amp; Payroll" sheetId="6" state="visible" r:id="rId6"/>
    <sheet xmlns:r="http://schemas.openxmlformats.org/officeDocument/2006/relationships" name="Operating Budget" sheetId="7" state="visible" r:id="rId7"/>
    <sheet xmlns:r="http://schemas.openxmlformats.org/officeDocument/2006/relationships" name="Detailed P&amp;L" sheetId="8" state="visible" r:id="rId8"/>
    <sheet xmlns:r="http://schemas.openxmlformats.org/officeDocument/2006/relationships" name="Debt Schedule" sheetId="9" state="visible" r:id="rId9"/>
    <sheet xmlns:r="http://schemas.openxmlformats.org/officeDocument/2006/relationships" name="Cash Flow &amp; BS" sheetId="10" state="visible" r:id="rId10"/>
    <sheet xmlns:r="http://schemas.openxmlformats.org/officeDocument/2006/relationships" name="Actuals vs Model" sheetId="11" state="visible" r:id="rId11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0.00x;(0.00x);&quot;-&quot;"/>
    <numFmt numFmtId="172" formatCode="#,##0;(#,##0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7" fontId="6" fillId="6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71" fontId="11" fillId="6" borderId="0" applyAlignment="1" pivotButton="0" quotePrefix="0" xfId="0">
      <alignment horizontal="right" vertical="center"/>
    </xf>
    <xf numFmtId="171" fontId="6" fillId="8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1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0" fontId="6" fillId="7" borderId="1" applyAlignment="1" pivotButton="0" quotePrefix="0" xfId="0">
      <alignment horizontal="left" vertical="center"/>
    </xf>
    <xf numFmtId="171" fontId="11" fillId="6" borderId="0" applyAlignment="1" pivotButton="0" quotePrefix="0" xfId="0">
      <alignment horizontal="right" vertical="center"/>
    </xf>
    <xf numFmtId="171" fontId="6" fillId="8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72" fontId="6" fillId="0" borderId="0" applyAlignment="1" pivotButton="0" quotePrefix="0" xfId="0">
      <alignment horizontal="right" vertical="center"/>
    </xf>
    <xf numFmtId="171" fontId="6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fund ramp-period operating need + startup costs.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5" authorId="0" shapeId="0">
      <text>
        <t>e.g. census miss or capture-rate shortfall.</t>
      </text>
    </comment>
    <comment ref="B6" authorId="0" shapeId="0">
      <text>
        <t>labor inflation on fixed costs.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555000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195000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 - license (paid at close)</t>
        </is>
      </c>
      <c r="B139" s="23">
        <f>Inputs!$B$113+Inputs!$B$110-Inputs!$B$138-Inputs!$B$117-Inputs!$B$120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69:V69"/>
    <mergeCell ref="A137:V137"/>
    <mergeCell ref="A90:V90"/>
    <mergeCell ref="A76:V76"/>
    <mergeCell ref="A85:V85"/>
    <mergeCell ref="A1:V1"/>
    <mergeCell ref="A80:V80"/>
    <mergeCell ref="A133:V133"/>
    <mergeCell ref="A61:V61"/>
    <mergeCell ref="A125:V125"/>
    <mergeCell ref="A27:V27"/>
    <mergeCell ref="A105:V105"/>
    <mergeCell ref="A109:V10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D20"/>
  <sheetViews>
    <sheetView showGridLines="0" tabSelected="1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44" customWidth="1" min="3" max="3"/>
    <col width="16" customWidth="1" min="4" max="4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Sources &amp; Uses of Financing - Hickory CHOW acquisition + working capital | SBA + equity (seller paid at close)</t>
        </is>
      </c>
    </row>
    <row r="4">
      <c r="A4" s="3" t="inlineStr">
        <is>
          <t>SOURCES</t>
        </is>
      </c>
      <c r="C4" s="3" t="inlineStr">
        <is>
          <t>USES</t>
        </is>
      </c>
    </row>
    <row r="5">
      <c r="A5" s="4" t="inlineStr">
        <is>
          <t>SBA 7(a) loan</t>
        </is>
      </c>
      <c r="B5" s="25">
        <f>Inputs!$B$110</f>
        <v/>
      </c>
      <c r="C5" s="4" t="inlineStr">
        <is>
          <t>Hickory Medicare license (CHOW)</t>
        </is>
      </c>
      <c r="D5" s="25">
        <f>Inputs!$B$120</f>
        <v/>
      </c>
    </row>
    <row r="6">
      <c r="A6" s="4" t="inlineStr">
        <is>
          <t>(Seller paid in full at close - no seller note)</t>
        </is>
      </c>
      <c r="B6" s="25" t="n">
        <v>0</v>
      </c>
      <c r="C6" s="4" t="inlineStr">
        <is>
          <t>CHOW filing / 855A change-of-ownership</t>
        </is>
      </c>
      <c r="D6" s="25">
        <f>Inputs!$B$126</f>
        <v/>
      </c>
    </row>
    <row r="7">
      <c r="A7" s="4" t="inlineStr">
        <is>
          <t>Owner equity injection</t>
        </is>
      </c>
      <c r="B7" s="25">
        <f>Inputs!$B$113</f>
        <v/>
      </c>
      <c r="C7" s="4" t="inlineStr">
        <is>
          <t>TX state licensure</t>
        </is>
      </c>
      <c r="D7" s="25">
        <f>Inputs!$B$127</f>
        <v/>
      </c>
    </row>
    <row r="8">
      <c r="A8" s="26" t="inlineStr">
        <is>
          <t>TOTAL SOURCES</t>
        </is>
      </c>
      <c r="B8" s="27">
        <f>SUM(B5:B7)</f>
        <v/>
      </c>
      <c r="C8" s="4" t="inlineStr">
        <is>
          <t>EMR implementation / setup</t>
        </is>
      </c>
      <c r="D8" s="25">
        <f>Inputs!$B$128</f>
        <v/>
      </c>
    </row>
    <row r="9">
      <c r="C9" s="4" t="inlineStr">
        <is>
          <t>Initial medical-supply stock</t>
        </is>
      </c>
      <c r="D9" s="25">
        <f>Inputs!$B$129</f>
        <v/>
      </c>
    </row>
    <row r="10">
      <c r="C10" s="4" t="inlineStr">
        <is>
          <t>Legal / entity formation</t>
        </is>
      </c>
      <c r="D10" s="25">
        <f>Inputs!$B$130</f>
        <v/>
      </c>
    </row>
    <row r="11">
      <c r="C11" s="4" t="inlineStr">
        <is>
          <t>Contingency</t>
        </is>
      </c>
      <c r="D11" s="25">
        <f>Inputs!$B$131</f>
        <v/>
      </c>
    </row>
    <row r="12">
      <c r="C12" s="4" t="inlineStr">
        <is>
          <t>Startup equipment (capex)</t>
        </is>
      </c>
      <c r="D12" s="25">
        <f>Inputs!$B$117</f>
        <v/>
      </c>
    </row>
    <row r="13">
      <c r="C13" s="4" t="inlineStr">
        <is>
          <t>Working-capital reserve (opening cash)</t>
        </is>
      </c>
      <c r="D13" s="25">
        <f>Inputs!$B$139</f>
        <v/>
      </c>
    </row>
    <row r="14">
      <c r="C14" s="26" t="inlineStr">
        <is>
          <t>TOTAL USES</t>
        </is>
      </c>
      <c r="D14" s="27">
        <f>SUM(D5:D13)</f>
        <v/>
      </c>
    </row>
    <row r="16">
      <c r="A16" s="26" t="inlineStr">
        <is>
          <t>CHECK: Sources - Uses to 0</t>
        </is>
      </c>
      <c r="B16" s="28">
        <f>B8-D14</f>
        <v/>
      </c>
    </row>
    <row r="18">
      <c r="A18" s="29" t="inlineStr">
        <is>
          <t>CHOW acquisition: Azalea acquires Hickory Hospice's existing Medicare-certified provider number ($300K, paid in full at close from SBA proceeds and the equity injection - no retained seller note). CHAP/ACHC accreditation transfers with the CHOW; the 855A change-of-ownership preserves the provider number with no fresh enrollment delay. Because the seller is paid at close, the SBA loan is the only debt the business carries.</t>
        </is>
      </c>
    </row>
    <row r="19"/>
    <row r="20"/>
  </sheetData>
  <mergeCells count="5">
    <mergeCell ref="A4:B4"/>
    <mergeCell ref="A1:D1"/>
    <mergeCell ref="A18:D20"/>
    <mergeCell ref="A2:D2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22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Lender Summary - SBA-only debt-service coverage (seller paid at close) vs SBA floor 1.25x</t>
        </is>
      </c>
    </row>
    <row r="4">
      <c r="C4" s="30" t="inlineStr">
        <is>
          <t>Year 1</t>
        </is>
      </c>
      <c r="D4" s="30" t="inlineStr">
        <is>
          <t>Year 2</t>
        </is>
      </c>
      <c r="E4" s="30" t="inlineStr">
        <is>
          <t>Year 3</t>
        </is>
      </c>
    </row>
    <row r="5">
      <c r="A5" s="20" t="inlineStr">
        <is>
          <t>Net revenue</t>
        </is>
      </c>
      <c r="C5" s="25">
        <f>SUM('Operating Budget'!C6:N6)</f>
        <v/>
      </c>
      <c r="D5" s="25">
        <f>SUM('Operating Budget'!O6:R6)</f>
        <v/>
      </c>
      <c r="E5" s="25">
        <f>SUM('Operating Budget'!S6:V6)</f>
        <v/>
      </c>
    </row>
    <row r="6">
      <c r="A6" s="26" t="inlineStr">
        <is>
          <t>EBITDA</t>
        </is>
      </c>
      <c r="C6" s="31">
        <f>SUM('Operating Budget'!C24:N24)</f>
        <v/>
      </c>
      <c r="D6" s="31">
        <f>SUM('Operating Budget'!O24:R24)</f>
        <v/>
      </c>
      <c r="E6" s="31">
        <f>SUM('Operating Budget'!S24:V24)</f>
        <v/>
      </c>
    </row>
    <row r="7">
      <c r="A7" s="20" t="inlineStr">
        <is>
          <t xml:space="preserve"> EBITDA margin %</t>
        </is>
      </c>
      <c r="C7" s="32">
        <f>SUM('Operating Budget'!C24:N24)/SUM('Operating Budget'!C6:N6)</f>
        <v/>
      </c>
      <c r="D7" s="32">
        <f>SUM('Operating Budget'!O24:R24)/SUM('Operating Budget'!O6:R6)</f>
        <v/>
      </c>
      <c r="E7" s="32">
        <f>SUM('Operating Budget'!S24:V24)/SUM('Operating Budget'!S6:V6)</f>
        <v/>
      </c>
    </row>
    <row r="8">
      <c r="A8" s="20" t="inlineStr">
        <is>
          <t>Debt service (P+I)</t>
        </is>
      </c>
      <c r="C8" s="25">
        <f>SUM('Debt Schedule'!C27:N27)</f>
        <v/>
      </c>
      <c r="D8" s="25">
        <f>SUM('Debt Schedule'!O27:R27)</f>
        <v/>
      </c>
      <c r="E8" s="25">
        <f>SUM('Debt Schedule'!S27:V27)</f>
        <v/>
      </c>
    </row>
    <row r="9">
      <c r="A9" s="26" t="inlineStr">
        <is>
          <t>DSCR</t>
        </is>
      </c>
      <c r="C9" s="62">
        <f>SUM('Operating Budget'!C24:N24)/SUM('Debt Schedule'!C27:N27)</f>
        <v/>
      </c>
      <c r="D9" s="62">
        <f>SUM('Operating Budget'!O24:R24)/SUM('Debt Schedule'!O27:R27)</f>
        <v/>
      </c>
      <c r="E9" s="62">
        <f>SUM('Operating Budget'!S24:V24)/SUM('Debt Schedule'!S27:V27)</f>
        <v/>
      </c>
    </row>
    <row r="10">
      <c r="A10" s="20" t="inlineStr">
        <is>
          <t>Net income</t>
        </is>
      </c>
      <c r="C10" s="25">
        <f>SUM('Operating Budget'!C34:N34)</f>
        <v/>
      </c>
      <c r="D10" s="25">
        <f>SUM('Operating Budget'!O34:R34)</f>
        <v/>
      </c>
      <c r="E10" s="25">
        <f>SUM('Operating Budget'!S34:V34)</f>
        <v/>
      </c>
    </row>
    <row r="11">
      <c r="A11" s="20" t="inlineStr">
        <is>
          <t>Ending cash</t>
        </is>
      </c>
      <c r="C11" s="25">
        <f>'Cash Flow &amp; BS'!N21</f>
        <v/>
      </c>
      <c r="D11" s="25">
        <f>'Cash Flow &amp; BS'!R21</f>
        <v/>
      </c>
      <c r="E11" s="25">
        <f>'Cash Flow &amp; BS'!V21</f>
        <v/>
      </c>
    </row>
    <row r="13">
      <c r="A13" s="3" t="inlineStr">
        <is>
          <t>KEY LENDER METRICS</t>
        </is>
      </c>
    </row>
    <row r="14">
      <c r="A14" s="26" t="inlineStr">
        <is>
          <t>Global 3-yr DSCR (target &gt;= 1.25x)</t>
        </is>
      </c>
      <c r="B14" s="63">
        <f>(SUM('Operating Budget'!C24:N24)+SUM('Operating Budget'!O24:R24)+SUM('Operating Budget'!S24:V24))/(SUM('Debt Schedule'!C27:N27)+SUM('Debt Schedule'!O27:R27)+SUM('Debt Schedule'!S27:V27))</f>
        <v/>
      </c>
    </row>
    <row r="15">
      <c r="A15" s="26" t="inlineStr">
        <is>
          <t>Minimum monthly DSCR (Y1)</t>
        </is>
      </c>
      <c r="B15" s="64">
        <f>MIN('Debt Schedule'!C29:N29)</f>
        <v/>
      </c>
    </row>
    <row r="16">
      <c r="A16" s="26" t="inlineStr">
        <is>
          <t>Minimum cash balance (any period)</t>
        </is>
      </c>
      <c r="B16" s="24">
        <f>MIN('Cash Flow &amp; BS'!C21:V21)</f>
        <v/>
      </c>
    </row>
    <row r="17">
      <c r="A17" s="26" t="inlineStr">
        <is>
          <t>Peak working-capital line draw</t>
        </is>
      </c>
      <c r="B17" s="24">
        <f>MAX('Cash Flow &amp; BS'!C20:V20)</f>
        <v/>
      </c>
    </row>
    <row r="19">
      <c r="A19" s="29" t="inlineStr">
        <is>
          <t>Azalea acquires Hickory Hospice's already-certified Medicare provider number via a $300K CHOW, paid in full at close from SBA proceeds and the equity injection (no retained seller note), eliminating the 855A enrollment cash gap a fresh startup would face. The migrated clinical team brings a proven ~$118K/mo, ~22 ADC book. Because the seller is paid at close, the SBA loan is the only debt - coverage is strong from Year 1 and rises as census builds.</t>
        </is>
      </c>
    </row>
    <row r="20"/>
    <row r="21"/>
    <row r="22"/>
  </sheetData>
  <mergeCells count="4">
    <mergeCell ref="A2:E2"/>
    <mergeCell ref="A1:E1"/>
    <mergeCell ref="A13:E13"/>
    <mergeCell ref="A19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F22"/>
  <sheetViews>
    <sheetView showGridLines="0" tabSelected="0" zoomScale="10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Stress Tests - Year-2 steady-state | does the loan stay serviced under shocks?</t>
        </is>
      </c>
    </row>
    <row r="4">
      <c r="A4" s="3" t="inlineStr">
        <is>
          <t>SHOCK INPUTS (blue = adjust)</t>
        </is>
      </c>
    </row>
    <row r="5">
      <c r="A5" s="4" t="inlineStr">
        <is>
          <t>Revenue / census shock %</t>
        </is>
      </c>
      <c r="B5" s="7" t="n">
        <v>-0.2</v>
      </c>
    </row>
    <row r="6">
      <c r="A6" s="4" t="inlineStr">
        <is>
          <t>Wage / fixed-cost shock %</t>
        </is>
      </c>
      <c r="B6" s="7" t="n">
        <v>0.1</v>
      </c>
    </row>
    <row r="8">
      <c r="A8" s="3" t="inlineStr">
        <is>
          <t>SCENARIO RESULTS (Year-2 annualized)</t>
        </is>
      </c>
    </row>
    <row r="9">
      <c r="A9" s="30" t="inlineStr">
        <is>
          <t>Metric</t>
        </is>
      </c>
      <c r="B9" s="30" t="inlineStr">
        <is>
          <t>Base</t>
        </is>
      </c>
      <c r="C9" s="30" t="inlineStr">
        <is>
          <t>Census -20%</t>
        </is>
      </c>
      <c r="D9" s="30" t="inlineStr">
        <is>
          <t>Census -35%</t>
        </is>
      </c>
      <c r="E9" s="30" t="inlineStr">
        <is>
          <t>Wage +10%</t>
        </is>
      </c>
      <c r="F9" s="30" t="inlineStr">
        <is>
          <t>Combined</t>
        </is>
      </c>
    </row>
    <row r="10">
      <c r="A10" s="21" t="inlineStr">
        <is>
          <t>Revenue multiplier</t>
        </is>
      </c>
      <c r="B10" s="36">
        <f>1</f>
        <v/>
      </c>
      <c r="C10" s="36">
        <f>1-0.20</f>
        <v/>
      </c>
      <c r="D10" s="36">
        <f>1-0.35</f>
        <v/>
      </c>
      <c r="E10" s="36">
        <f>1</f>
        <v/>
      </c>
      <c r="F10" s="36">
        <f>1+$B$5</f>
        <v/>
      </c>
    </row>
    <row r="11">
      <c r="A11" s="21" t="inlineStr">
        <is>
          <t>Fixed-cost multiplier</t>
        </is>
      </c>
      <c r="B11" s="36">
        <f>1</f>
        <v/>
      </c>
      <c r="C11" s="36">
        <f>1</f>
        <v/>
      </c>
      <c r="D11" s="36">
        <f>1</f>
        <v/>
      </c>
      <c r="E11" s="36">
        <f>1+0.10</f>
        <v/>
      </c>
      <c r="F11" s="36">
        <f>1+$B$6</f>
        <v/>
      </c>
    </row>
    <row r="12">
      <c r="A12" s="20" t="inlineStr">
        <is>
          <t>Net revenue</t>
        </is>
      </c>
      <c r="B12" s="24">
        <f>SUM('Operating Budget'!O6:R6)*B10</f>
        <v/>
      </c>
      <c r="C12" s="24">
        <f>SUM('Operating Budget'!O6:R6)*C10</f>
        <v/>
      </c>
      <c r="D12" s="24">
        <f>SUM('Operating Budget'!O6:R6)*D10</f>
        <v/>
      </c>
      <c r="E12" s="24">
        <f>SUM('Operating Budget'!O6:R6)*E10</f>
        <v/>
      </c>
      <c r="F12" s="24">
        <f>SUM('Operating Budget'!O6:R6)*F10</f>
        <v/>
      </c>
    </row>
    <row r="13">
      <c r="A13" s="20" t="inlineStr">
        <is>
          <t>Variable costs</t>
        </is>
      </c>
      <c r="B13" s="24">
        <f>-(SUM('Operating Budget'!O13:R13)+SUM('Operating Budget'!O22:R22)+SUM('Staffing &amp; Payroll'!O38:R38))*B10</f>
        <v/>
      </c>
      <c r="C13" s="24">
        <f>-(SUM('Operating Budget'!O13:R13)+SUM('Operating Budget'!O22:R22)+SUM('Staffing &amp; Payroll'!O38:R38))*C10</f>
        <v/>
      </c>
      <c r="D13" s="24">
        <f>-(SUM('Operating Budget'!O13:R13)+SUM('Operating Budget'!O22:R22)+SUM('Staffing &amp; Payroll'!O38:R38))*D10</f>
        <v/>
      </c>
      <c r="E13" s="24">
        <f>-(SUM('Operating Budget'!O13:R13)+SUM('Operating Budget'!O22:R22)+SUM('Staffing &amp; Payroll'!O38:R38))*E10</f>
        <v/>
      </c>
      <c r="F13" s="24">
        <f>-(SUM('Operating Budget'!O13:R13)+SUM('Operating Budget'!O22:R22)+SUM('Staffing &amp; Payroll'!O38:R38))*F10</f>
        <v/>
      </c>
    </row>
    <row r="14">
      <c r="A14" s="20" t="inlineStr">
        <is>
          <t>Fixed costs</t>
        </is>
      </c>
      <c r="B14" s="24">
        <f>-(SUM('Operating Budget'!O6:R6)-(SUM('Operating Budget'!O13:R13)+SUM('Operating Budget'!O22:R22)+SUM('Staffing &amp; Payroll'!O38:R38))-SUM('Operating Budget'!O24:R24))*B11</f>
        <v/>
      </c>
      <c r="C14" s="24">
        <f>-(SUM('Operating Budget'!O6:R6)-(SUM('Operating Budget'!O13:R13)+SUM('Operating Budget'!O22:R22)+SUM('Staffing &amp; Payroll'!O38:R38))-SUM('Operating Budget'!O24:R24))*C11</f>
        <v/>
      </c>
      <c r="D14" s="24">
        <f>-(SUM('Operating Budget'!O6:R6)-(SUM('Operating Budget'!O13:R13)+SUM('Operating Budget'!O22:R22)+SUM('Staffing &amp; Payroll'!O38:R38))-SUM('Operating Budget'!O24:R24))*D11</f>
        <v/>
      </c>
      <c r="E14" s="24">
        <f>-(SUM('Operating Budget'!O6:R6)-(SUM('Operating Budget'!O13:R13)+SUM('Operating Budget'!O22:R22)+SUM('Staffing &amp; Payroll'!O38:R38))-SUM('Operating Budget'!O24:R24))*E11</f>
        <v/>
      </c>
      <c r="F14" s="24">
        <f>-(SUM('Operating Budget'!O6:R6)-(SUM('Operating Budget'!O13:R13)+SUM('Operating Budget'!O22:R22)+SUM('Staffing &amp; Payroll'!O38:R38))-SUM('Operating Budget'!O24:R24))*F11</f>
        <v/>
      </c>
    </row>
    <row r="15">
      <c r="A15" s="26" t="inlineStr">
        <is>
          <t>EBITDA</t>
        </is>
      </c>
      <c r="B15" s="27">
        <f>B12+B13+B14</f>
        <v/>
      </c>
      <c r="C15" s="27">
        <f>C12+C13+C14</f>
        <v/>
      </c>
      <c r="D15" s="27">
        <f>D12+D13+D14</f>
        <v/>
      </c>
      <c r="E15" s="27">
        <f>E12+E13+E14</f>
        <v/>
      </c>
      <c r="F15" s="27">
        <f>F12+F13+F14</f>
        <v/>
      </c>
    </row>
    <row r="16">
      <c r="A16" s="20" t="inlineStr">
        <is>
          <t>Debt service</t>
        </is>
      </c>
      <c r="B16" s="24">
        <f>SUM('Debt Schedule'!O27:R27)</f>
        <v/>
      </c>
      <c r="C16" s="24">
        <f>SUM('Debt Schedule'!O27:R27)</f>
        <v/>
      </c>
      <c r="D16" s="24">
        <f>SUM('Debt Schedule'!O27:R27)</f>
        <v/>
      </c>
      <c r="E16" s="24">
        <f>SUM('Debt Schedule'!O27:R27)</f>
        <v/>
      </c>
      <c r="F16" s="24">
        <f>SUM('Debt Schedule'!O27:R27)</f>
        <v/>
      </c>
    </row>
    <row r="17">
      <c r="A17" s="26" t="inlineStr">
        <is>
          <t>DSCR</t>
        </is>
      </c>
      <c r="B17" s="65">
        <f>IF(B16=0,0,B15/B16)</f>
        <v/>
      </c>
      <c r="C17" s="65">
        <f>IF(C16=0,0,C15/C16)</f>
        <v/>
      </c>
      <c r="D17" s="65">
        <f>IF(D16=0,0,D15/D16)</f>
        <v/>
      </c>
      <c r="E17" s="65">
        <f>IF(E16=0,0,E15/E16)</f>
        <v/>
      </c>
      <c r="F17" s="65">
        <f>IF(F16=0,0,F15/F16)</f>
        <v/>
      </c>
    </row>
    <row r="18">
      <c r="A18" s="26" t="inlineStr">
        <is>
          <t>Covers SBA floor 1.25x?</t>
        </is>
      </c>
      <c r="B18" s="38">
        <f>IF(B17&gt;=1.25,"YES","NO")</f>
        <v/>
      </c>
      <c r="C18" s="38">
        <f>IF(C17&gt;=1.25,"YES","NO")</f>
        <v/>
      </c>
      <c r="D18" s="38">
        <f>IF(D17&gt;=1.25,"YES","NO")</f>
        <v/>
      </c>
      <c r="E18" s="38">
        <f>IF(E17&gt;=1.25,"YES","NO")</f>
        <v/>
      </c>
      <c r="F18" s="38">
        <f>IF(F17&gt;=1.25,"YES","NO")</f>
        <v/>
      </c>
    </row>
    <row r="20">
      <c r="A20" s="29" t="inlineStr">
        <is>
          <t>Simplified Year-2 steady-state sensitivity: revenue and variable costs scale with the census shock; fixed costs scale with the wage shock. For a full dynamic re-run, change Capture rate / Census scenario on the Inputs tab and the entire model recalculates.</t>
        </is>
      </c>
    </row>
    <row r="21"/>
    <row r="22"/>
  </sheetData>
  <mergeCells count="5">
    <mergeCell ref="A2:F2"/>
    <mergeCell ref="A1:F1"/>
    <mergeCell ref="A8:F8"/>
    <mergeCell ref="A4:F4"/>
    <mergeCell ref="A20:F22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39">
        <f>Inputs!$B$20</f>
        <v/>
      </c>
    </row>
    <row r="6">
      <c r="A6" s="4" t="inlineStr">
        <is>
          <t>Blended NET rate ($/PD)</t>
        </is>
      </c>
      <c r="B6" s="39">
        <f>Inputs!$B$21</f>
        <v/>
      </c>
    </row>
    <row r="8">
      <c r="A8" s="40" t="inlineStr">
        <is>
          <t>($ per period)</t>
        </is>
      </c>
      <c r="C8" s="41" t="inlineStr">
        <is>
          <t>YEAR 1 - monthly</t>
        </is>
      </c>
      <c r="O8" s="41" t="inlineStr">
        <is>
          <t>YEAR 2 - quarterly</t>
        </is>
      </c>
      <c r="S8" s="41" t="inlineStr">
        <is>
          <t>YEAR 3 -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20" t="inlineStr">
        <is>
          <t>Average daily census (ADC)</t>
        </is>
      </c>
      <c r="C10" s="43">
        <f>Inputs!C$33</f>
        <v/>
      </c>
      <c r="D10" s="43">
        <f>Inputs!D$33</f>
        <v/>
      </c>
      <c r="E10" s="43">
        <f>Inputs!E$33</f>
        <v/>
      </c>
      <c r="F10" s="43">
        <f>Inputs!F$33</f>
        <v/>
      </c>
      <c r="G10" s="43">
        <f>Inputs!G$33</f>
        <v/>
      </c>
      <c r="H10" s="43">
        <f>Inputs!H$33</f>
        <v/>
      </c>
      <c r="I10" s="43">
        <f>Inputs!I$33</f>
        <v/>
      </c>
      <c r="J10" s="43">
        <f>Inputs!J$33</f>
        <v/>
      </c>
      <c r="K10" s="43">
        <f>Inputs!K$33</f>
        <v/>
      </c>
      <c r="L10" s="43">
        <f>Inputs!L$33</f>
        <v/>
      </c>
      <c r="M10" s="43">
        <f>Inputs!M$33</f>
        <v/>
      </c>
      <c r="N10" s="43">
        <f>Inputs!N$33</f>
        <v/>
      </c>
      <c r="O10" s="43">
        <f>Inputs!O$33</f>
        <v/>
      </c>
      <c r="P10" s="43">
        <f>Inputs!P$33</f>
        <v/>
      </c>
      <c r="Q10" s="43">
        <f>Inputs!Q$33</f>
        <v/>
      </c>
      <c r="R10" s="43">
        <f>Inputs!R$33</f>
        <v/>
      </c>
      <c r="S10" s="43">
        <f>Inputs!S$33</f>
        <v/>
      </c>
      <c r="T10" s="43">
        <f>Inputs!T$33</f>
        <v/>
      </c>
      <c r="U10" s="43">
        <f>Inputs!U$33</f>
        <v/>
      </c>
      <c r="V10" s="43">
        <f>Inputs!V$33</f>
        <v/>
      </c>
    </row>
    <row r="11">
      <c r="A11" s="20" t="inlineStr">
        <is>
          <t>Days in period</t>
        </is>
      </c>
      <c r="C11" s="43">
        <f>Inputs!$B$25*1</f>
        <v/>
      </c>
      <c r="D11" s="43">
        <f>Inputs!$B$25*1</f>
        <v/>
      </c>
      <c r="E11" s="43">
        <f>Inputs!$B$25*1</f>
        <v/>
      </c>
      <c r="F11" s="43">
        <f>Inputs!$B$25*1</f>
        <v/>
      </c>
      <c r="G11" s="43">
        <f>Inputs!$B$25*1</f>
        <v/>
      </c>
      <c r="H11" s="43">
        <f>Inputs!$B$25*1</f>
        <v/>
      </c>
      <c r="I11" s="43">
        <f>Inputs!$B$25*1</f>
        <v/>
      </c>
      <c r="J11" s="43">
        <f>Inputs!$B$25*1</f>
        <v/>
      </c>
      <c r="K11" s="43">
        <f>Inputs!$B$25*1</f>
        <v/>
      </c>
      <c r="L11" s="43">
        <f>Inputs!$B$25*1</f>
        <v/>
      </c>
      <c r="M11" s="43">
        <f>Inputs!$B$25*1</f>
        <v/>
      </c>
      <c r="N11" s="43">
        <f>Inputs!$B$25*1</f>
        <v/>
      </c>
      <c r="O11" s="43">
        <f>Inputs!$B$25*3</f>
        <v/>
      </c>
      <c r="P11" s="43">
        <f>Inputs!$B$25*3</f>
        <v/>
      </c>
      <c r="Q11" s="43">
        <f>Inputs!$B$25*3</f>
        <v/>
      </c>
      <c r="R11" s="43">
        <f>Inputs!$B$25*3</f>
        <v/>
      </c>
      <c r="S11" s="43">
        <f>Inputs!$B$25*3</f>
        <v/>
      </c>
      <c r="T11" s="43">
        <f>Inputs!$B$25*3</f>
        <v/>
      </c>
      <c r="U11" s="43">
        <f>Inputs!$B$25*3</f>
        <v/>
      </c>
      <c r="V11" s="43">
        <f>Inputs!$B$25*3</f>
        <v/>
      </c>
    </row>
    <row r="12">
      <c r="A12" s="26" t="inlineStr">
        <is>
          <t>Patient-days</t>
        </is>
      </c>
      <c r="C12" s="66">
        <f>C10*C11</f>
        <v/>
      </c>
      <c r="D12" s="66">
        <f>D10*D11</f>
        <v/>
      </c>
      <c r="E12" s="66">
        <f>E10*E11</f>
        <v/>
      </c>
      <c r="F12" s="66">
        <f>F10*F11</f>
        <v/>
      </c>
      <c r="G12" s="66">
        <f>G10*G11</f>
        <v/>
      </c>
      <c r="H12" s="66">
        <f>H10*H11</f>
        <v/>
      </c>
      <c r="I12" s="66">
        <f>I10*I11</f>
        <v/>
      </c>
      <c r="J12" s="66">
        <f>J10*J11</f>
        <v/>
      </c>
      <c r="K12" s="66">
        <f>K10*K11</f>
        <v/>
      </c>
      <c r="L12" s="66">
        <f>L10*L11</f>
        <v/>
      </c>
      <c r="M12" s="66">
        <f>M10*M11</f>
        <v/>
      </c>
      <c r="N12" s="66">
        <f>N10*N11</f>
        <v/>
      </c>
      <c r="O12" s="66">
        <f>O10*O11</f>
        <v/>
      </c>
      <c r="P12" s="66">
        <f>P10*P11</f>
        <v/>
      </c>
      <c r="Q12" s="66">
        <f>Q10*Q11</f>
        <v/>
      </c>
      <c r="R12" s="66">
        <f>R10*R11</f>
        <v/>
      </c>
      <c r="S12" s="66">
        <f>S10*S11</f>
        <v/>
      </c>
      <c r="T12" s="66">
        <f>T10*T11</f>
        <v/>
      </c>
      <c r="U12" s="66">
        <f>U10*U11</f>
        <v/>
      </c>
      <c r="V12" s="66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6" t="inlineStr">
        <is>
          <t>NET REVENUE</t>
        </is>
      </c>
      <c r="C17" s="45">
        <f>C14*(1-Inputs!$B$10-Inputs!$B$11)</f>
        <v/>
      </c>
      <c r="D17" s="45">
        <f>D14*(1-Inputs!$B$10-Inputs!$B$11)</f>
        <v/>
      </c>
      <c r="E17" s="45">
        <f>E14*(1-Inputs!$B$10-Inputs!$B$11)</f>
        <v/>
      </c>
      <c r="F17" s="45">
        <f>F14*(1-Inputs!$B$10-Inputs!$B$11)</f>
        <v/>
      </c>
      <c r="G17" s="45">
        <f>G14*(1-Inputs!$B$10-Inputs!$B$11)</f>
        <v/>
      </c>
      <c r="H17" s="45">
        <f>H14*(1-Inputs!$B$10-Inputs!$B$11)</f>
        <v/>
      </c>
      <c r="I17" s="45">
        <f>I14*(1-Inputs!$B$10-Inputs!$B$11)</f>
        <v/>
      </c>
      <c r="J17" s="45">
        <f>J14*(1-Inputs!$B$10-Inputs!$B$11)</f>
        <v/>
      </c>
      <c r="K17" s="45">
        <f>K14*(1-Inputs!$B$10-Inputs!$B$11)</f>
        <v/>
      </c>
      <c r="L17" s="45">
        <f>L14*(1-Inputs!$B$10-Inputs!$B$11)</f>
        <v/>
      </c>
      <c r="M17" s="45">
        <f>M14*(1-Inputs!$B$10-Inputs!$B$11)</f>
        <v/>
      </c>
      <c r="N17" s="45">
        <f>N14*(1-Inputs!$B$10-Inputs!$B$11)</f>
        <v/>
      </c>
      <c r="O17" s="45">
        <f>O14*(1-Inputs!$B$10-Inputs!$B$11)</f>
        <v/>
      </c>
      <c r="P17" s="45">
        <f>P14*(1-Inputs!$B$10-Inputs!$B$11)</f>
        <v/>
      </c>
      <c r="Q17" s="45">
        <f>Q14*(1-Inputs!$B$10-Inputs!$B$11)</f>
        <v/>
      </c>
      <c r="R17" s="45">
        <f>R14*(1-Inputs!$B$10-Inputs!$B$11)</f>
        <v/>
      </c>
      <c r="S17" s="45">
        <f>S14*(1-Inputs!$B$10-Inputs!$B$11)</f>
        <v/>
      </c>
      <c r="T17" s="45">
        <f>T14*(1-Inputs!$B$10-Inputs!$B$11)</f>
        <v/>
      </c>
      <c r="U17" s="45">
        <f>U14*(1-Inputs!$B$10-Inputs!$B$11)</f>
        <v/>
      </c>
      <c r="V17" s="45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0" t="inlineStr">
        <is>
          <t>($ per period)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1" t="inlineStr">
        <is>
          <t>ADC (driver)</t>
        </is>
      </c>
      <c r="C6" s="43">
        <f>'Revenue Model'!C10</f>
        <v/>
      </c>
      <c r="D6" s="43">
        <f>'Revenue Model'!D10</f>
        <v/>
      </c>
      <c r="E6" s="43">
        <f>'Revenue Model'!E10</f>
        <v/>
      </c>
      <c r="F6" s="43">
        <f>'Revenue Model'!F10</f>
        <v/>
      </c>
      <c r="G6" s="43">
        <f>'Revenue Model'!G10</f>
        <v/>
      </c>
      <c r="H6" s="43">
        <f>'Revenue Model'!H10</f>
        <v/>
      </c>
      <c r="I6" s="43">
        <f>'Revenue Model'!I10</f>
        <v/>
      </c>
      <c r="J6" s="43">
        <f>'Revenue Model'!J10</f>
        <v/>
      </c>
      <c r="K6" s="43">
        <f>'Revenue Model'!K10</f>
        <v/>
      </c>
      <c r="L6" s="43">
        <f>'Revenue Model'!L10</f>
        <v/>
      </c>
      <c r="M6" s="43">
        <f>'Revenue Model'!M10</f>
        <v/>
      </c>
      <c r="N6" s="43">
        <f>'Revenue Model'!N10</f>
        <v/>
      </c>
      <c r="O6" s="43">
        <f>'Revenue Model'!O10</f>
        <v/>
      </c>
      <c r="P6" s="43">
        <f>'Revenue Model'!P10</f>
        <v/>
      </c>
      <c r="Q6" s="43">
        <f>'Revenue Model'!Q10</f>
        <v/>
      </c>
      <c r="R6" s="43">
        <f>'Revenue Model'!R10</f>
        <v/>
      </c>
      <c r="S6" s="43">
        <f>'Revenue Model'!S10</f>
        <v/>
      </c>
      <c r="T6" s="43">
        <f>'Revenue Model'!T10</f>
        <v/>
      </c>
      <c r="U6" s="43">
        <f>'Revenue Model'!U10</f>
        <v/>
      </c>
      <c r="V6" s="43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6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6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6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6" t="inlineStr">
        <is>
          <t>TOTAL DIRECT-CARE LABOR (COGS)</t>
        </is>
      </c>
      <c r="C53" s="45">
        <f>C30+C38+C39+C48+C50</f>
        <v/>
      </c>
      <c r="D53" s="45">
        <f>D30+D38+D39+D48+D50</f>
        <v/>
      </c>
      <c r="E53" s="45">
        <f>E30+E38+E39+E48+E50</f>
        <v/>
      </c>
      <c r="F53" s="45">
        <f>F30+F38+F39+F48+F50</f>
        <v/>
      </c>
      <c r="G53" s="45">
        <f>G30+G38+G39+G48+G50</f>
        <v/>
      </c>
      <c r="H53" s="45">
        <f>H30+H38+H39+H48+H50</f>
        <v/>
      </c>
      <c r="I53" s="45">
        <f>I30+I38+I39+I48+I50</f>
        <v/>
      </c>
      <c r="J53" s="45">
        <f>J30+J38+J39+J48+J50</f>
        <v/>
      </c>
      <c r="K53" s="45">
        <f>K30+K38+K39+K48+K50</f>
        <v/>
      </c>
      <c r="L53" s="45">
        <f>L30+L38+L39+L48+L50</f>
        <v/>
      </c>
      <c r="M53" s="45">
        <f>M30+M38+M39+M48+M50</f>
        <v/>
      </c>
      <c r="N53" s="45">
        <f>N30+N38+N39+N48+N50</f>
        <v/>
      </c>
      <c r="O53" s="45">
        <f>O30+O38+O39+O48+O50</f>
        <v/>
      </c>
      <c r="P53" s="45">
        <f>P30+P38+P39+P48+P50</f>
        <v/>
      </c>
      <c r="Q53" s="45">
        <f>Q30+Q38+Q39+Q48+Q50</f>
        <v/>
      </c>
      <c r="R53" s="45">
        <f>R30+R38+R39+R48+R50</f>
        <v/>
      </c>
      <c r="S53" s="45">
        <f>S30+S38+S39+S48+S50</f>
        <v/>
      </c>
      <c r="T53" s="45">
        <f>T30+T38+T39+T48+T50</f>
        <v/>
      </c>
      <c r="U53" s="45">
        <f>U30+U38+U39+U48+U50</f>
        <v/>
      </c>
      <c r="V53" s="45">
        <f>V30+V38+V39+V48+V50</f>
        <v/>
      </c>
    </row>
    <row r="54">
      <c r="A54" s="26" t="inlineStr">
        <is>
          <t>TOTAL INDIRECT LABOR (SG&amp;A)</t>
        </is>
      </c>
      <c r="C54" s="45">
        <f>C42+C43+C49+C51</f>
        <v/>
      </c>
      <c r="D54" s="45">
        <f>D42+D43+D49+D51</f>
        <v/>
      </c>
      <c r="E54" s="45">
        <f>E42+E43+E49+E51</f>
        <v/>
      </c>
      <c r="F54" s="45">
        <f>F42+F43+F49+F51</f>
        <v/>
      </c>
      <c r="G54" s="45">
        <f>G42+G43+G49+G51</f>
        <v/>
      </c>
      <c r="H54" s="45">
        <f>H42+H43+H49+H51</f>
        <v/>
      </c>
      <c r="I54" s="45">
        <f>I42+I43+I49+I51</f>
        <v/>
      </c>
      <c r="J54" s="45">
        <f>J42+J43+J49+J51</f>
        <v/>
      </c>
      <c r="K54" s="45">
        <f>K42+K43+K49+K51</f>
        <v/>
      </c>
      <c r="L54" s="45">
        <f>L42+L43+L49+L51</f>
        <v/>
      </c>
      <c r="M54" s="45">
        <f>M42+M43+M49+M51</f>
        <v/>
      </c>
      <c r="N54" s="45">
        <f>N42+N43+N49+N51</f>
        <v/>
      </c>
      <c r="O54" s="45">
        <f>O42+O43+O49+O51</f>
        <v/>
      </c>
      <c r="P54" s="45">
        <f>P42+P43+P49+P51</f>
        <v/>
      </c>
      <c r="Q54" s="45">
        <f>Q42+Q43+Q49+Q51</f>
        <v/>
      </c>
      <c r="R54" s="45">
        <f>R42+R43+R49+R51</f>
        <v/>
      </c>
      <c r="S54" s="45">
        <f>S42+S43+S49+S51</f>
        <v/>
      </c>
      <c r="T54" s="45">
        <f>T42+T43+T49+T51</f>
        <v/>
      </c>
      <c r="U54" s="45">
        <f>U42+U43+U49+U51</f>
        <v/>
      </c>
      <c r="V54" s="45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0" t="inlineStr">
        <is>
          <t>($ per period)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26" t="inlineStr">
        <is>
          <t>NET REVENUE</t>
        </is>
      </c>
      <c r="C6" s="31">
        <f>'Revenue Model'!C17</f>
        <v/>
      </c>
      <c r="D6" s="31">
        <f>'Revenue Model'!D17</f>
        <v/>
      </c>
      <c r="E6" s="31">
        <f>'Revenue Model'!E17</f>
        <v/>
      </c>
      <c r="F6" s="31">
        <f>'Revenue Model'!F17</f>
        <v/>
      </c>
      <c r="G6" s="31">
        <f>'Revenue Model'!G17</f>
        <v/>
      </c>
      <c r="H6" s="31">
        <f>'Revenue Model'!H17</f>
        <v/>
      </c>
      <c r="I6" s="31">
        <f>'Revenue Model'!I17</f>
        <v/>
      </c>
      <c r="J6" s="31">
        <f>'Revenue Model'!J17</f>
        <v/>
      </c>
      <c r="K6" s="31">
        <f>'Revenue Model'!K17</f>
        <v/>
      </c>
      <c r="L6" s="31">
        <f>'Revenue Model'!L17</f>
        <v/>
      </c>
      <c r="M6" s="31">
        <f>'Revenue Model'!M17</f>
        <v/>
      </c>
      <c r="N6" s="31">
        <f>'Revenue Model'!N17</f>
        <v/>
      </c>
      <c r="O6" s="31">
        <f>'Revenue Model'!O17</f>
        <v/>
      </c>
      <c r="P6" s="31">
        <f>'Revenue Model'!P17</f>
        <v/>
      </c>
      <c r="Q6" s="31">
        <f>'Revenue Model'!Q17</f>
        <v/>
      </c>
      <c r="R6" s="31">
        <f>'Revenue Model'!R17</f>
        <v/>
      </c>
      <c r="S6" s="31">
        <f>'Revenue Model'!S17</f>
        <v/>
      </c>
      <c r="T6" s="31">
        <f>'Revenue Model'!T17</f>
        <v/>
      </c>
      <c r="U6" s="31">
        <f>'Revenue Model'!U17</f>
        <v/>
      </c>
      <c r="V6" s="3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5">
        <f>'Staffing &amp; Payroll'!C53</f>
        <v/>
      </c>
      <c r="D9" s="25">
        <f>'Staffing &amp; Payroll'!D53</f>
        <v/>
      </c>
      <c r="E9" s="25">
        <f>'Staffing &amp; Payroll'!E53</f>
        <v/>
      </c>
      <c r="F9" s="25">
        <f>'Staffing &amp; Payroll'!F53</f>
        <v/>
      </c>
      <c r="G9" s="25">
        <f>'Staffing &amp; Payroll'!G53</f>
        <v/>
      </c>
      <c r="H9" s="25">
        <f>'Staffing &amp; Payroll'!H53</f>
        <v/>
      </c>
      <c r="I9" s="25">
        <f>'Staffing &amp; Payroll'!I53</f>
        <v/>
      </c>
      <c r="J9" s="25">
        <f>'Staffing &amp; Payroll'!J53</f>
        <v/>
      </c>
      <c r="K9" s="25">
        <f>'Staffing &amp; Payroll'!K53</f>
        <v/>
      </c>
      <c r="L9" s="25">
        <f>'Staffing &amp; Payroll'!L53</f>
        <v/>
      </c>
      <c r="M9" s="25">
        <f>'Staffing &amp; Payroll'!M53</f>
        <v/>
      </c>
      <c r="N9" s="25">
        <f>'Staffing &amp; Payroll'!N53</f>
        <v/>
      </c>
      <c r="O9" s="25">
        <f>'Staffing &amp; Payroll'!O53</f>
        <v/>
      </c>
      <c r="P9" s="25">
        <f>'Staffing &amp; Payroll'!P53</f>
        <v/>
      </c>
      <c r="Q9" s="25">
        <f>'Staffing &amp; Payroll'!Q53</f>
        <v/>
      </c>
      <c r="R9" s="25">
        <f>'Staffing &amp; Payroll'!R53</f>
        <v/>
      </c>
      <c r="S9" s="25">
        <f>'Staffing &amp; Payroll'!S53</f>
        <v/>
      </c>
      <c r="T9" s="25">
        <f>'Staffing &amp; Payroll'!T53</f>
        <v/>
      </c>
      <c r="U9" s="25">
        <f>'Staffing &amp; Payroll'!U53</f>
        <v/>
      </c>
      <c r="V9" s="25">
        <f>'Staffing &amp; Payroll'!V53</f>
        <v/>
      </c>
    </row>
    <row r="10">
      <c r="A10" s="4" t="inlineStr">
        <is>
          <t>Medical supplies</t>
        </is>
      </c>
      <c r="C10" s="25">
        <f>'Revenue Model'!C12*Inputs!$B$86</f>
        <v/>
      </c>
      <c r="D10" s="25">
        <f>'Revenue Model'!D12*Inputs!$B$86</f>
        <v/>
      </c>
      <c r="E10" s="25">
        <f>'Revenue Model'!E12*Inputs!$B$86</f>
        <v/>
      </c>
      <c r="F10" s="25">
        <f>'Revenue Model'!F12*Inputs!$B$86</f>
        <v/>
      </c>
      <c r="G10" s="25">
        <f>'Revenue Model'!G12*Inputs!$B$86</f>
        <v/>
      </c>
      <c r="H10" s="25">
        <f>'Revenue Model'!H12*Inputs!$B$86</f>
        <v/>
      </c>
      <c r="I10" s="25">
        <f>'Revenue Model'!I12*Inputs!$B$86</f>
        <v/>
      </c>
      <c r="J10" s="25">
        <f>'Revenue Model'!J12*Inputs!$B$86</f>
        <v/>
      </c>
      <c r="K10" s="25">
        <f>'Revenue Model'!K12*Inputs!$B$86</f>
        <v/>
      </c>
      <c r="L10" s="25">
        <f>'Revenue Model'!L12*Inputs!$B$86</f>
        <v/>
      </c>
      <c r="M10" s="25">
        <f>'Revenue Model'!M12*Inputs!$B$86</f>
        <v/>
      </c>
      <c r="N10" s="25">
        <f>'Revenue Model'!N12*Inputs!$B$86</f>
        <v/>
      </c>
      <c r="O10" s="25">
        <f>'Revenue Model'!O12*Inputs!$B$86</f>
        <v/>
      </c>
      <c r="P10" s="25">
        <f>'Revenue Model'!P12*Inputs!$B$86</f>
        <v/>
      </c>
      <c r="Q10" s="25">
        <f>'Revenue Model'!Q12*Inputs!$B$86</f>
        <v/>
      </c>
      <c r="R10" s="25">
        <f>'Revenue Model'!R12*Inputs!$B$86</f>
        <v/>
      </c>
      <c r="S10" s="25">
        <f>'Revenue Model'!S12*Inputs!$B$86</f>
        <v/>
      </c>
      <c r="T10" s="25">
        <f>'Revenue Model'!T12*Inputs!$B$86</f>
        <v/>
      </c>
      <c r="U10" s="25">
        <f>'Revenue Model'!U12*Inputs!$B$86</f>
        <v/>
      </c>
      <c r="V10" s="25">
        <f>'Revenue Model'!V12*Inputs!$B$86</f>
        <v/>
      </c>
    </row>
    <row r="11">
      <c r="A11" s="4" t="inlineStr">
        <is>
          <t>DME</t>
        </is>
      </c>
      <c r="C11" s="25">
        <f>'Revenue Model'!C12*Inputs!$B$87</f>
        <v/>
      </c>
      <c r="D11" s="25">
        <f>'Revenue Model'!D12*Inputs!$B$87</f>
        <v/>
      </c>
      <c r="E11" s="25">
        <f>'Revenue Model'!E12*Inputs!$B$87</f>
        <v/>
      </c>
      <c r="F11" s="25">
        <f>'Revenue Model'!F12*Inputs!$B$87</f>
        <v/>
      </c>
      <c r="G11" s="25">
        <f>'Revenue Model'!G12*Inputs!$B$87</f>
        <v/>
      </c>
      <c r="H11" s="25">
        <f>'Revenue Model'!H12*Inputs!$B$87</f>
        <v/>
      </c>
      <c r="I11" s="25">
        <f>'Revenue Model'!I12*Inputs!$B$87</f>
        <v/>
      </c>
      <c r="J11" s="25">
        <f>'Revenue Model'!J12*Inputs!$B$87</f>
        <v/>
      </c>
      <c r="K11" s="25">
        <f>'Revenue Model'!K12*Inputs!$B$87</f>
        <v/>
      </c>
      <c r="L11" s="25">
        <f>'Revenue Model'!L12*Inputs!$B$87</f>
        <v/>
      </c>
      <c r="M11" s="25">
        <f>'Revenue Model'!M12*Inputs!$B$87</f>
        <v/>
      </c>
      <c r="N11" s="25">
        <f>'Revenue Model'!N12*Inputs!$B$87</f>
        <v/>
      </c>
      <c r="O11" s="25">
        <f>'Revenue Model'!O12*Inputs!$B$87</f>
        <v/>
      </c>
      <c r="P11" s="25">
        <f>'Revenue Model'!P12*Inputs!$B$87</f>
        <v/>
      </c>
      <c r="Q11" s="25">
        <f>'Revenue Model'!Q12*Inputs!$B$87</f>
        <v/>
      </c>
      <c r="R11" s="25">
        <f>'Revenue Model'!R12*Inputs!$B$87</f>
        <v/>
      </c>
      <c r="S11" s="25">
        <f>'Revenue Model'!S12*Inputs!$B$87</f>
        <v/>
      </c>
      <c r="T11" s="25">
        <f>'Revenue Model'!T12*Inputs!$B$87</f>
        <v/>
      </c>
      <c r="U11" s="25">
        <f>'Revenue Model'!U12*Inputs!$B$87</f>
        <v/>
      </c>
      <c r="V11" s="25">
        <f>'Revenue Model'!V12*Inputs!$B$87</f>
        <v/>
      </c>
    </row>
    <row r="12">
      <c r="A12" s="4" t="inlineStr">
        <is>
          <t>Pharmacy</t>
        </is>
      </c>
      <c r="C12" s="25">
        <f>'Revenue Model'!C12*Inputs!$B$88</f>
        <v/>
      </c>
      <c r="D12" s="25">
        <f>'Revenue Model'!D12*Inputs!$B$88</f>
        <v/>
      </c>
      <c r="E12" s="25">
        <f>'Revenue Model'!E12*Inputs!$B$88</f>
        <v/>
      </c>
      <c r="F12" s="25">
        <f>'Revenue Model'!F12*Inputs!$B$88</f>
        <v/>
      </c>
      <c r="G12" s="25">
        <f>'Revenue Model'!G12*Inputs!$B$88</f>
        <v/>
      </c>
      <c r="H12" s="25">
        <f>'Revenue Model'!H12*Inputs!$B$88</f>
        <v/>
      </c>
      <c r="I12" s="25">
        <f>'Revenue Model'!I12*Inputs!$B$88</f>
        <v/>
      </c>
      <c r="J12" s="25">
        <f>'Revenue Model'!J12*Inputs!$B$88</f>
        <v/>
      </c>
      <c r="K12" s="25">
        <f>'Revenue Model'!K12*Inputs!$B$88</f>
        <v/>
      </c>
      <c r="L12" s="25">
        <f>'Revenue Model'!L12*Inputs!$B$88</f>
        <v/>
      </c>
      <c r="M12" s="25">
        <f>'Revenue Model'!M12*Inputs!$B$88</f>
        <v/>
      </c>
      <c r="N12" s="25">
        <f>'Revenue Model'!N12*Inputs!$B$88</f>
        <v/>
      </c>
      <c r="O12" s="25">
        <f>'Revenue Model'!O12*Inputs!$B$88</f>
        <v/>
      </c>
      <c r="P12" s="25">
        <f>'Revenue Model'!P12*Inputs!$B$88</f>
        <v/>
      </c>
      <c r="Q12" s="25">
        <f>'Revenue Model'!Q12*Inputs!$B$88</f>
        <v/>
      </c>
      <c r="R12" s="25">
        <f>'Revenue Model'!R12*Inputs!$B$88</f>
        <v/>
      </c>
      <c r="S12" s="25">
        <f>'Revenue Model'!S12*Inputs!$B$88</f>
        <v/>
      </c>
      <c r="T12" s="25">
        <f>'Revenue Model'!T12*Inputs!$B$88</f>
        <v/>
      </c>
      <c r="U12" s="25">
        <f>'Revenue Model'!U12*Inputs!$B$88</f>
        <v/>
      </c>
      <c r="V12" s="25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6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6" t="inlineStr">
        <is>
          <t>GROSS PROFIT</t>
        </is>
      </c>
      <c r="C15" s="45">
        <f>C6-C14</f>
        <v/>
      </c>
      <c r="D15" s="45">
        <f>D6-D14</f>
        <v/>
      </c>
      <c r="E15" s="45">
        <f>E6-E14</f>
        <v/>
      </c>
      <c r="F15" s="45">
        <f>F6-F14</f>
        <v/>
      </c>
      <c r="G15" s="45">
        <f>G6-G14</f>
        <v/>
      </c>
      <c r="H15" s="45">
        <f>H6-H14</f>
        <v/>
      </c>
      <c r="I15" s="45">
        <f>I6-I14</f>
        <v/>
      </c>
      <c r="J15" s="45">
        <f>J6-J14</f>
        <v/>
      </c>
      <c r="K15" s="45">
        <f>K6-K14</f>
        <v/>
      </c>
      <c r="L15" s="45">
        <f>L6-L14</f>
        <v/>
      </c>
      <c r="M15" s="45">
        <f>M6-M14</f>
        <v/>
      </c>
      <c r="N15" s="45">
        <f>N6-N14</f>
        <v/>
      </c>
      <c r="O15" s="45">
        <f>O6-O14</f>
        <v/>
      </c>
      <c r="P15" s="45">
        <f>P6-P14</f>
        <v/>
      </c>
      <c r="Q15" s="45">
        <f>Q6-Q14</f>
        <v/>
      </c>
      <c r="R15" s="45">
        <f>R6-R14</f>
        <v/>
      </c>
      <c r="S15" s="45">
        <f>S6-S14</f>
        <v/>
      </c>
      <c r="T15" s="45">
        <f>T6-T14</f>
        <v/>
      </c>
      <c r="U15" s="45">
        <f>U6-U14</f>
        <v/>
      </c>
      <c r="V15" s="45">
        <f>V6-V14</f>
        <v/>
      </c>
    </row>
    <row r="16">
      <c r="A16" s="21" t="inlineStr">
        <is>
          <t>Gross margin %</t>
        </is>
      </c>
      <c r="C16" s="46">
        <f>IF(C6=0,0,C15/C6)</f>
        <v/>
      </c>
      <c r="D16" s="46">
        <f>IF(D6=0,0,D15/D6)</f>
        <v/>
      </c>
      <c r="E16" s="46">
        <f>IF(E6=0,0,E15/E6)</f>
        <v/>
      </c>
      <c r="F16" s="46">
        <f>IF(F6=0,0,F15/F6)</f>
        <v/>
      </c>
      <c r="G16" s="46">
        <f>IF(G6=0,0,G15/G6)</f>
        <v/>
      </c>
      <c r="H16" s="46">
        <f>IF(H6=0,0,H15/H6)</f>
        <v/>
      </c>
      <c r="I16" s="46">
        <f>IF(I6=0,0,I15/I6)</f>
        <v/>
      </c>
      <c r="J16" s="46">
        <f>IF(J6=0,0,J15/J6)</f>
        <v/>
      </c>
      <c r="K16" s="46">
        <f>IF(K6=0,0,K15/K6)</f>
        <v/>
      </c>
      <c r="L16" s="46">
        <f>IF(L6=0,0,L15/L6)</f>
        <v/>
      </c>
      <c r="M16" s="46">
        <f>IF(M6=0,0,M15/M6)</f>
        <v/>
      </c>
      <c r="N16" s="46">
        <f>IF(N6=0,0,N15/N6)</f>
        <v/>
      </c>
      <c r="O16" s="46">
        <f>IF(O6=0,0,O15/O6)</f>
        <v/>
      </c>
      <c r="P16" s="46">
        <f>IF(P6=0,0,P15/P6)</f>
        <v/>
      </c>
      <c r="Q16" s="46">
        <f>IF(Q6=0,0,Q15/Q6)</f>
        <v/>
      </c>
      <c r="R16" s="46">
        <f>IF(R6=0,0,R15/R6)</f>
        <v/>
      </c>
      <c r="S16" s="46">
        <f>IF(S6=0,0,S15/S6)</f>
        <v/>
      </c>
      <c r="T16" s="46">
        <f>IF(T6=0,0,T15/T6)</f>
        <v/>
      </c>
      <c r="U16" s="46">
        <f>IF(U6=0,0,U15/U6)</f>
        <v/>
      </c>
      <c r="V16" s="46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5">
        <f>'Staffing &amp; Payroll'!C54</f>
        <v/>
      </c>
      <c r="D19" s="25">
        <f>'Staffing &amp; Payroll'!D54</f>
        <v/>
      </c>
      <c r="E19" s="25">
        <f>'Staffing &amp; Payroll'!E54</f>
        <v/>
      </c>
      <c r="F19" s="25">
        <f>'Staffing &amp; Payroll'!F54</f>
        <v/>
      </c>
      <c r="G19" s="25">
        <f>'Staffing &amp; Payroll'!G54</f>
        <v/>
      </c>
      <c r="H19" s="25">
        <f>'Staffing &amp; Payroll'!H54</f>
        <v/>
      </c>
      <c r="I19" s="25">
        <f>'Staffing &amp; Payroll'!I54</f>
        <v/>
      </c>
      <c r="J19" s="25">
        <f>'Staffing &amp; Payroll'!J54</f>
        <v/>
      </c>
      <c r="K19" s="25">
        <f>'Staffing &amp; Payroll'!K54</f>
        <v/>
      </c>
      <c r="L19" s="25">
        <f>'Staffing &amp; Payroll'!L54</f>
        <v/>
      </c>
      <c r="M19" s="25">
        <f>'Staffing &amp; Payroll'!M54</f>
        <v/>
      </c>
      <c r="N19" s="25">
        <f>'Staffing &amp; Payroll'!N54</f>
        <v/>
      </c>
      <c r="O19" s="25">
        <f>'Staffing &amp; Payroll'!O54</f>
        <v/>
      </c>
      <c r="P19" s="25">
        <f>'Staffing &amp; Payroll'!P54</f>
        <v/>
      </c>
      <c r="Q19" s="25">
        <f>'Staffing &amp; Payroll'!Q54</f>
        <v/>
      </c>
      <c r="R19" s="25">
        <f>'Staffing &amp; Payroll'!R54</f>
        <v/>
      </c>
      <c r="S19" s="25">
        <f>'Staffing &amp; Payroll'!S54</f>
        <v/>
      </c>
      <c r="T19" s="25">
        <f>'Staffing &amp; Payroll'!T54</f>
        <v/>
      </c>
      <c r="U19" s="25">
        <f>'Staffing &amp; Payroll'!U54</f>
        <v/>
      </c>
      <c r="V19" s="25">
        <f>'Staffing &amp; Payroll'!V54</f>
        <v/>
      </c>
    </row>
    <row r="20">
      <c r="A20" s="4" t="inlineStr">
        <is>
          <t>Fixed G&amp;A (utilities, EMR, billing, rent, mktg...)</t>
        </is>
      </c>
      <c r="C20" s="25">
        <f>SUM(Inputs!$B$91:$B$103)*1</f>
        <v/>
      </c>
      <c r="D20" s="25">
        <f>SUM(Inputs!$B$91:$B$103)*1</f>
        <v/>
      </c>
      <c r="E20" s="25">
        <f>SUM(Inputs!$B$91:$B$103)*1</f>
        <v/>
      </c>
      <c r="F20" s="25">
        <f>SUM(Inputs!$B$91:$B$103)*1</f>
        <v/>
      </c>
      <c r="G20" s="25">
        <f>SUM(Inputs!$B$91:$B$103)*1</f>
        <v/>
      </c>
      <c r="H20" s="25">
        <f>SUM(Inputs!$B$91:$B$103)*1</f>
        <v/>
      </c>
      <c r="I20" s="25">
        <f>SUM(Inputs!$B$91:$B$103)*1</f>
        <v/>
      </c>
      <c r="J20" s="25">
        <f>SUM(Inputs!$B$91:$B$103)*1</f>
        <v/>
      </c>
      <c r="K20" s="25">
        <f>SUM(Inputs!$B$91:$B$103)*1</f>
        <v/>
      </c>
      <c r="L20" s="25">
        <f>SUM(Inputs!$B$91:$B$103)*1</f>
        <v/>
      </c>
      <c r="M20" s="25">
        <f>SUM(Inputs!$B$91:$B$103)*1</f>
        <v/>
      </c>
      <c r="N20" s="25">
        <f>SUM(Inputs!$B$91:$B$103)*1</f>
        <v/>
      </c>
      <c r="O20" s="25">
        <f>SUM(Inputs!$B$91:$B$103)*3</f>
        <v/>
      </c>
      <c r="P20" s="25">
        <f>SUM(Inputs!$B$91:$B$103)*3</f>
        <v/>
      </c>
      <c r="Q20" s="25">
        <f>SUM(Inputs!$B$91:$B$103)*3</f>
        <v/>
      </c>
      <c r="R20" s="25">
        <f>SUM(Inputs!$B$91:$B$103)*3</f>
        <v/>
      </c>
      <c r="S20" s="25">
        <f>SUM(Inputs!$B$91:$B$103)*3</f>
        <v/>
      </c>
      <c r="T20" s="25">
        <f>SUM(Inputs!$B$91:$B$103)*3</f>
        <v/>
      </c>
      <c r="U20" s="25">
        <f>SUM(Inputs!$B$91:$B$103)*3</f>
        <v/>
      </c>
      <c r="V20" s="25">
        <f>SUM(Inputs!$B$91:$B$103)*3</f>
        <v/>
      </c>
    </row>
    <row r="21">
      <c r="A21" s="4" t="inlineStr">
        <is>
          <t>Outsourced billing fee (1.5% of gross)</t>
        </is>
      </c>
      <c r="C21" s="25">
        <f>'Revenue Model'!C14*Inputs!$B$106</f>
        <v/>
      </c>
      <c r="D21" s="25">
        <f>'Revenue Model'!D14*Inputs!$B$106</f>
        <v/>
      </c>
      <c r="E21" s="25">
        <f>'Revenue Model'!E14*Inputs!$B$106</f>
        <v/>
      </c>
      <c r="F21" s="25">
        <f>'Revenue Model'!F14*Inputs!$B$106</f>
        <v/>
      </c>
      <c r="G21" s="25">
        <f>'Revenue Model'!G14*Inputs!$B$106</f>
        <v/>
      </c>
      <c r="H21" s="25">
        <f>'Revenue Model'!H14*Inputs!$B$106</f>
        <v/>
      </c>
      <c r="I21" s="25">
        <f>'Revenue Model'!I14*Inputs!$B$106</f>
        <v/>
      </c>
      <c r="J21" s="25">
        <f>'Revenue Model'!J14*Inputs!$B$106</f>
        <v/>
      </c>
      <c r="K21" s="25">
        <f>'Revenue Model'!K14*Inputs!$B$106</f>
        <v/>
      </c>
      <c r="L21" s="25">
        <f>'Revenue Model'!L14*Inputs!$B$106</f>
        <v/>
      </c>
      <c r="M21" s="25">
        <f>'Revenue Model'!M14*Inputs!$B$106</f>
        <v/>
      </c>
      <c r="N21" s="25">
        <f>'Revenue Model'!N14*Inputs!$B$106</f>
        <v/>
      </c>
      <c r="O21" s="25">
        <f>'Revenue Model'!O14*Inputs!$B$106</f>
        <v/>
      </c>
      <c r="P21" s="25">
        <f>'Revenue Model'!P14*Inputs!$B$106</f>
        <v/>
      </c>
      <c r="Q21" s="25">
        <f>'Revenue Model'!Q14*Inputs!$B$106</f>
        <v/>
      </c>
      <c r="R21" s="25">
        <f>'Revenue Model'!R14*Inputs!$B$106</f>
        <v/>
      </c>
      <c r="S21" s="25">
        <f>'Revenue Model'!S14*Inputs!$B$106</f>
        <v/>
      </c>
      <c r="T21" s="25">
        <f>'Revenue Model'!T14*Inputs!$B$106</f>
        <v/>
      </c>
      <c r="U21" s="25">
        <f>'Revenue Model'!U14*Inputs!$B$106</f>
        <v/>
      </c>
      <c r="V21" s="25">
        <f>'Revenue Model'!V14*Inputs!$B$106</f>
        <v/>
      </c>
    </row>
    <row r="22">
      <c r="A22" s="4" t="inlineStr">
        <is>
          <t>QR payment fee (% of gross)</t>
        </is>
      </c>
      <c r="C22" s="25">
        <f>'Revenue Model'!C14*Inputs!$B$107</f>
        <v/>
      </c>
      <c r="D22" s="25">
        <f>'Revenue Model'!D14*Inputs!$B$107</f>
        <v/>
      </c>
      <c r="E22" s="25">
        <f>'Revenue Model'!E14*Inputs!$B$107</f>
        <v/>
      </c>
      <c r="F22" s="25">
        <f>'Revenue Model'!F14*Inputs!$B$107</f>
        <v/>
      </c>
      <c r="G22" s="25">
        <f>'Revenue Model'!G14*Inputs!$B$107</f>
        <v/>
      </c>
      <c r="H22" s="25">
        <f>'Revenue Model'!H14*Inputs!$B$107</f>
        <v/>
      </c>
      <c r="I22" s="25">
        <f>'Revenue Model'!I14*Inputs!$B$107</f>
        <v/>
      </c>
      <c r="J22" s="25">
        <f>'Revenue Model'!J14*Inputs!$B$107</f>
        <v/>
      </c>
      <c r="K22" s="25">
        <f>'Revenue Model'!K14*Inputs!$B$107</f>
        <v/>
      </c>
      <c r="L22" s="25">
        <f>'Revenue Model'!L14*Inputs!$B$107</f>
        <v/>
      </c>
      <c r="M22" s="25">
        <f>'Revenue Model'!M14*Inputs!$B$107</f>
        <v/>
      </c>
      <c r="N22" s="25">
        <f>'Revenue Model'!N14*Inputs!$B$107</f>
        <v/>
      </c>
      <c r="O22" s="25">
        <f>'Revenue Model'!O14*Inputs!$B$107</f>
        <v/>
      </c>
      <c r="P22" s="25">
        <f>'Revenue Model'!P14*Inputs!$B$107</f>
        <v/>
      </c>
      <c r="Q22" s="25">
        <f>'Revenue Model'!Q14*Inputs!$B$107</f>
        <v/>
      </c>
      <c r="R22" s="25">
        <f>'Revenue Model'!R14*Inputs!$B$107</f>
        <v/>
      </c>
      <c r="S22" s="25">
        <f>'Revenue Model'!S14*Inputs!$B$107</f>
        <v/>
      </c>
      <c r="T22" s="25">
        <f>'Revenue Model'!T14*Inputs!$B$107</f>
        <v/>
      </c>
      <c r="U22" s="25">
        <f>'Revenue Model'!U14*Inputs!$B$107</f>
        <v/>
      </c>
      <c r="V22" s="25">
        <f>'Revenue Model'!V14*Inputs!$B$107</f>
        <v/>
      </c>
    </row>
    <row r="23">
      <c r="A23" s="26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6" t="inlineStr">
        <is>
          <t>EBITDA</t>
        </is>
      </c>
      <c r="C24" s="27">
        <f>C15-C23</f>
        <v/>
      </c>
      <c r="D24" s="27">
        <f>D15-D23</f>
        <v/>
      </c>
      <c r="E24" s="27">
        <f>E15-E23</f>
        <v/>
      </c>
      <c r="F24" s="27">
        <f>F15-F23</f>
        <v/>
      </c>
      <c r="G24" s="27">
        <f>G15-G23</f>
        <v/>
      </c>
      <c r="H24" s="27">
        <f>H15-H23</f>
        <v/>
      </c>
      <c r="I24" s="27">
        <f>I15-I23</f>
        <v/>
      </c>
      <c r="J24" s="27">
        <f>J15-J23</f>
        <v/>
      </c>
      <c r="K24" s="27">
        <f>K15-K23</f>
        <v/>
      </c>
      <c r="L24" s="27">
        <f>L15-L23</f>
        <v/>
      </c>
      <c r="M24" s="27">
        <f>M15-M23</f>
        <v/>
      </c>
      <c r="N24" s="27">
        <f>N15-N23</f>
        <v/>
      </c>
      <c r="O24" s="27">
        <f>O15-O23</f>
        <v/>
      </c>
      <c r="P24" s="27">
        <f>P15-P23</f>
        <v/>
      </c>
      <c r="Q24" s="27">
        <f>Q15-Q23</f>
        <v/>
      </c>
      <c r="R24" s="27">
        <f>R15-R23</f>
        <v/>
      </c>
      <c r="S24" s="27">
        <f>S15-S23</f>
        <v/>
      </c>
      <c r="T24" s="27">
        <f>T15-T23</f>
        <v/>
      </c>
      <c r="U24" s="27">
        <f>U15-U23</f>
        <v/>
      </c>
      <c r="V24" s="27">
        <f>V15-V23</f>
        <v/>
      </c>
    </row>
    <row r="25">
      <c r="A25" s="21" t="inlineStr">
        <is>
          <t>EBITDA margin %</t>
        </is>
      </c>
      <c r="C25" s="46">
        <f>IF(C6=0,0,C24/C6)</f>
        <v/>
      </c>
      <c r="D25" s="46">
        <f>IF(D6=0,0,D24/D6)</f>
        <v/>
      </c>
      <c r="E25" s="46">
        <f>IF(E6=0,0,E24/E6)</f>
        <v/>
      </c>
      <c r="F25" s="46">
        <f>IF(F6=0,0,F24/F6)</f>
        <v/>
      </c>
      <c r="G25" s="46">
        <f>IF(G6=0,0,G24/G6)</f>
        <v/>
      </c>
      <c r="H25" s="46">
        <f>IF(H6=0,0,H24/H6)</f>
        <v/>
      </c>
      <c r="I25" s="46">
        <f>IF(I6=0,0,I24/I6)</f>
        <v/>
      </c>
      <c r="J25" s="46">
        <f>IF(J6=0,0,J24/J6)</f>
        <v/>
      </c>
      <c r="K25" s="46">
        <f>IF(K6=0,0,K24/K6)</f>
        <v/>
      </c>
      <c r="L25" s="46">
        <f>IF(L6=0,0,L24/L6)</f>
        <v/>
      </c>
      <c r="M25" s="46">
        <f>IF(M6=0,0,M24/M6)</f>
        <v/>
      </c>
      <c r="N25" s="46">
        <f>IF(N6=0,0,N24/N6)</f>
        <v/>
      </c>
      <c r="O25" s="46">
        <f>IF(O6=0,0,O24/O6)</f>
        <v/>
      </c>
      <c r="P25" s="46">
        <f>IF(P6=0,0,P24/P6)</f>
        <v/>
      </c>
      <c r="Q25" s="46">
        <f>IF(Q6=0,0,Q24/Q6)</f>
        <v/>
      </c>
      <c r="R25" s="46">
        <f>IF(R6=0,0,R24/R6)</f>
        <v/>
      </c>
      <c r="S25" s="46">
        <f>IF(S6=0,0,S24/S6)</f>
        <v/>
      </c>
      <c r="T25" s="46">
        <f>IF(T6=0,0,T24/T6)</f>
        <v/>
      </c>
      <c r="U25" s="46">
        <f>IF(U6=0,0,U24/U6)</f>
        <v/>
      </c>
      <c r="V25" s="46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5">
        <f>Inputs!$B$140*1</f>
        <v/>
      </c>
      <c r="D28" s="25">
        <f>Inputs!$B$140*1</f>
        <v/>
      </c>
      <c r="E28" s="25">
        <f>Inputs!$B$140*1</f>
        <v/>
      </c>
      <c r="F28" s="25">
        <f>Inputs!$B$140*1</f>
        <v/>
      </c>
      <c r="G28" s="25">
        <f>Inputs!$B$140*1</f>
        <v/>
      </c>
      <c r="H28" s="25">
        <f>Inputs!$B$140*1</f>
        <v/>
      </c>
      <c r="I28" s="25">
        <f>Inputs!$B$140*1</f>
        <v/>
      </c>
      <c r="J28" s="25">
        <f>Inputs!$B$140*1</f>
        <v/>
      </c>
      <c r="K28" s="25">
        <f>Inputs!$B$140*1</f>
        <v/>
      </c>
      <c r="L28" s="25">
        <f>Inputs!$B$140*1</f>
        <v/>
      </c>
      <c r="M28" s="25">
        <f>Inputs!$B$140*1</f>
        <v/>
      </c>
      <c r="N28" s="25">
        <f>Inputs!$B$140*1</f>
        <v/>
      </c>
      <c r="O28" s="25">
        <f>Inputs!$B$140*3</f>
        <v/>
      </c>
      <c r="P28" s="25">
        <f>Inputs!$B$140*3</f>
        <v/>
      </c>
      <c r="Q28" s="25">
        <f>Inputs!$B$140*3</f>
        <v/>
      </c>
      <c r="R28" s="25">
        <f>Inputs!$B$140*3</f>
        <v/>
      </c>
      <c r="S28" s="25">
        <f>Inputs!$B$140*3</f>
        <v/>
      </c>
      <c r="T28" s="25">
        <f>Inputs!$B$140*3</f>
        <v/>
      </c>
      <c r="U28" s="25">
        <f>Inputs!$B$140*3</f>
        <v/>
      </c>
      <c r="V28" s="25">
        <f>Inputs!$B$140*3</f>
        <v/>
      </c>
    </row>
    <row r="29">
      <c r="A29" s="4" t="inlineStr">
        <is>
          <t>Interest - SBA loan</t>
        </is>
      </c>
      <c r="C29" s="25">
        <f>'Debt Schedule'!C13</f>
        <v/>
      </c>
      <c r="D29" s="25">
        <f>'Debt Schedule'!D13</f>
        <v/>
      </c>
      <c r="E29" s="25">
        <f>'Debt Schedule'!E13</f>
        <v/>
      </c>
      <c r="F29" s="25">
        <f>'Debt Schedule'!F13</f>
        <v/>
      </c>
      <c r="G29" s="25">
        <f>'Debt Schedule'!G13</f>
        <v/>
      </c>
      <c r="H29" s="25">
        <f>'Debt Schedule'!H13</f>
        <v/>
      </c>
      <c r="I29" s="25">
        <f>'Debt Schedule'!I13</f>
        <v/>
      </c>
      <c r="J29" s="25">
        <f>'Debt Schedule'!J13</f>
        <v/>
      </c>
      <c r="K29" s="25">
        <f>'Debt Schedule'!K13</f>
        <v/>
      </c>
      <c r="L29" s="25">
        <f>'Debt Schedule'!L13</f>
        <v/>
      </c>
      <c r="M29" s="25">
        <f>'Debt Schedule'!M13</f>
        <v/>
      </c>
      <c r="N29" s="25">
        <f>'Debt Schedule'!N13</f>
        <v/>
      </c>
      <c r="O29" s="25">
        <f>'Debt Schedule'!O13</f>
        <v/>
      </c>
      <c r="P29" s="25">
        <f>'Debt Schedule'!P13</f>
        <v/>
      </c>
      <c r="Q29" s="25">
        <f>'Debt Schedule'!Q13</f>
        <v/>
      </c>
      <c r="R29" s="25">
        <f>'Debt Schedule'!R13</f>
        <v/>
      </c>
      <c r="S29" s="25">
        <f>'Debt Schedule'!S13</f>
        <v/>
      </c>
      <c r="T29" s="25">
        <f>'Debt Schedule'!T13</f>
        <v/>
      </c>
      <c r="U29" s="25">
        <f>'Debt Schedule'!U13</f>
        <v/>
      </c>
      <c r="V29" s="25">
        <f>'Debt Schedule'!V13</f>
        <v/>
      </c>
    </row>
    <row r="30">
      <c r="A30" s="4" t="inlineStr">
        <is>
          <t>Interest - Hickory license note</t>
        </is>
      </c>
      <c r="C30" s="25">
        <f>'Debt Schedule'!C21</f>
        <v/>
      </c>
      <c r="D30" s="25">
        <f>'Debt Schedule'!D21</f>
        <v/>
      </c>
      <c r="E30" s="25">
        <f>'Debt Schedule'!E21</f>
        <v/>
      </c>
      <c r="F30" s="25">
        <f>'Debt Schedule'!F21</f>
        <v/>
      </c>
      <c r="G30" s="25">
        <f>'Debt Schedule'!G21</f>
        <v/>
      </c>
      <c r="H30" s="25">
        <f>'Debt Schedule'!H21</f>
        <v/>
      </c>
      <c r="I30" s="25">
        <f>'Debt Schedule'!I21</f>
        <v/>
      </c>
      <c r="J30" s="25">
        <f>'Debt Schedule'!J21</f>
        <v/>
      </c>
      <c r="K30" s="25">
        <f>'Debt Schedule'!K21</f>
        <v/>
      </c>
      <c r="L30" s="25">
        <f>'Debt Schedule'!L21</f>
        <v/>
      </c>
      <c r="M30" s="25">
        <f>'Debt Schedule'!M21</f>
        <v/>
      </c>
      <c r="N30" s="25">
        <f>'Debt Schedule'!N21</f>
        <v/>
      </c>
      <c r="O30" s="25">
        <f>'Debt Schedule'!O21</f>
        <v/>
      </c>
      <c r="P30" s="25">
        <f>'Debt Schedule'!P21</f>
        <v/>
      </c>
      <c r="Q30" s="25">
        <f>'Debt Schedule'!Q21</f>
        <v/>
      </c>
      <c r="R30" s="25">
        <f>'Debt Schedule'!R21</f>
        <v/>
      </c>
      <c r="S30" s="25">
        <f>'Debt Schedule'!S21</f>
        <v/>
      </c>
      <c r="T30" s="25">
        <f>'Debt Schedule'!T21</f>
        <v/>
      </c>
      <c r="U30" s="25">
        <f>'Debt Schedule'!U21</f>
        <v/>
      </c>
      <c r="V30" s="25">
        <f>'Debt Schedule'!V21</f>
        <v/>
      </c>
    </row>
    <row r="31">
      <c r="A31" s="4" t="inlineStr">
        <is>
          <t>Interest - working-capital line</t>
        </is>
      </c>
      <c r="C31" s="25">
        <f>'Cash Flow &amp; BS'!C16</f>
        <v/>
      </c>
      <c r="D31" s="25">
        <f>'Cash Flow &amp; BS'!D16</f>
        <v/>
      </c>
      <c r="E31" s="25">
        <f>'Cash Flow &amp; BS'!E16</f>
        <v/>
      </c>
      <c r="F31" s="25">
        <f>'Cash Flow &amp; BS'!F16</f>
        <v/>
      </c>
      <c r="G31" s="25">
        <f>'Cash Flow &amp; BS'!G16</f>
        <v/>
      </c>
      <c r="H31" s="25">
        <f>'Cash Flow &amp; BS'!H16</f>
        <v/>
      </c>
      <c r="I31" s="25">
        <f>'Cash Flow &amp; BS'!I16</f>
        <v/>
      </c>
      <c r="J31" s="25">
        <f>'Cash Flow &amp; BS'!J16</f>
        <v/>
      </c>
      <c r="K31" s="25">
        <f>'Cash Flow &amp; BS'!K16</f>
        <v/>
      </c>
      <c r="L31" s="25">
        <f>'Cash Flow &amp; BS'!L16</f>
        <v/>
      </c>
      <c r="M31" s="25">
        <f>'Cash Flow &amp; BS'!M16</f>
        <v/>
      </c>
      <c r="N31" s="25">
        <f>'Cash Flow &amp; BS'!N16</f>
        <v/>
      </c>
      <c r="O31" s="25">
        <f>'Cash Flow &amp; BS'!O16</f>
        <v/>
      </c>
      <c r="P31" s="25">
        <f>'Cash Flow &amp; BS'!P16</f>
        <v/>
      </c>
      <c r="Q31" s="25">
        <f>'Cash Flow &amp; BS'!Q16</f>
        <v/>
      </c>
      <c r="R31" s="25">
        <f>'Cash Flow &amp; BS'!R16</f>
        <v/>
      </c>
      <c r="S31" s="25">
        <f>'Cash Flow &amp; BS'!S16</f>
        <v/>
      </c>
      <c r="T31" s="25">
        <f>'Cash Flow &amp; BS'!T16</f>
        <v/>
      </c>
      <c r="U31" s="25">
        <f>'Cash Flow &amp; BS'!U16</f>
        <v/>
      </c>
      <c r="V31" s="25">
        <f>'Cash Flow &amp; BS'!V16</f>
        <v/>
      </c>
    </row>
    <row r="32">
      <c r="A32" s="26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6" t="inlineStr">
        <is>
          <t>NET INCOME</t>
        </is>
      </c>
      <c r="C34" s="45">
        <f>C32-C33</f>
        <v/>
      </c>
      <c r="D34" s="45">
        <f>D32-D33</f>
        <v/>
      </c>
      <c r="E34" s="45">
        <f>E32-E33</f>
        <v/>
      </c>
      <c r="F34" s="45">
        <f>F32-F33</f>
        <v/>
      </c>
      <c r="G34" s="45">
        <f>G32-G33</f>
        <v/>
      </c>
      <c r="H34" s="45">
        <f>H32-H33</f>
        <v/>
      </c>
      <c r="I34" s="45">
        <f>I32-I33</f>
        <v/>
      </c>
      <c r="J34" s="45">
        <f>J32-J33</f>
        <v/>
      </c>
      <c r="K34" s="45">
        <f>K32-K33</f>
        <v/>
      </c>
      <c r="L34" s="45">
        <f>L32-L33</f>
        <v/>
      </c>
      <c r="M34" s="45">
        <f>M32-M33</f>
        <v/>
      </c>
      <c r="N34" s="45">
        <f>N32-N33</f>
        <v/>
      </c>
      <c r="O34" s="45">
        <f>O32-O33</f>
        <v/>
      </c>
      <c r="P34" s="45">
        <f>P32-P33</f>
        <v/>
      </c>
      <c r="Q34" s="45">
        <f>Q32-Q33</f>
        <v/>
      </c>
      <c r="R34" s="45">
        <f>R32-R33</f>
        <v/>
      </c>
      <c r="S34" s="45">
        <f>S32-S33</f>
        <v/>
      </c>
      <c r="T34" s="45">
        <f>T32-T33</f>
        <v/>
      </c>
      <c r="U34" s="45">
        <f>U32-U33</f>
        <v/>
      </c>
      <c r="V34" s="45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47" t="inlineStr">
        <is>
          <t>Azalea Hospice &amp; Palliative Care - Tyler, TX</t>
        </is>
      </c>
    </row>
    <row r="2">
      <c r="A2" s="48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49" t="inlineStr">
        <is>
          <t>M1</t>
        </is>
      </c>
      <c r="C5" s="49" t="inlineStr">
        <is>
          <t>M2</t>
        </is>
      </c>
      <c r="D5" s="49" t="inlineStr">
        <is>
          <t>M3</t>
        </is>
      </c>
      <c r="E5" s="49" t="inlineStr">
        <is>
          <t>M4</t>
        </is>
      </c>
      <c r="F5" s="49" t="inlineStr">
        <is>
          <t>M5</t>
        </is>
      </c>
      <c r="G5" s="49" t="inlineStr">
        <is>
          <t>M6</t>
        </is>
      </c>
      <c r="H5" s="49" t="inlineStr">
        <is>
          <t>M7</t>
        </is>
      </c>
      <c r="I5" s="49" t="inlineStr">
        <is>
          <t>M8</t>
        </is>
      </c>
      <c r="J5" s="49" t="inlineStr">
        <is>
          <t>M9</t>
        </is>
      </c>
      <c r="K5" s="49" t="inlineStr">
        <is>
          <t>M10</t>
        </is>
      </c>
      <c r="L5" s="49" t="inlineStr">
        <is>
          <t>M11</t>
        </is>
      </c>
      <c r="M5" s="49" t="inlineStr">
        <is>
          <t>M12</t>
        </is>
      </c>
      <c r="N5" s="49" t="inlineStr">
        <is>
          <t>Year 2</t>
        </is>
      </c>
      <c r="O5" s="49" t="inlineStr">
        <is>
          <t>Year 3</t>
        </is>
      </c>
      <c r="P5" s="49" t="inlineStr">
        <is>
          <t>TOTAL</t>
        </is>
      </c>
    </row>
    <row r="6">
      <c r="A6" s="26" t="inlineStr">
        <is>
          <t>Income</t>
        </is>
      </c>
    </row>
    <row r="7">
      <c r="A7" s="4" t="inlineStr">
        <is>
          <t>Gross Billed Revenue</t>
        </is>
      </c>
      <c r="B7" s="50">
        <f>'Revenue Model'!C14</f>
        <v/>
      </c>
      <c r="C7" s="50">
        <f>'Revenue Model'!D14</f>
        <v/>
      </c>
      <c r="D7" s="50">
        <f>'Revenue Model'!E14</f>
        <v/>
      </c>
      <c r="E7" s="50">
        <f>'Revenue Model'!F14</f>
        <v/>
      </c>
      <c r="F7" s="50">
        <f>'Revenue Model'!G14</f>
        <v/>
      </c>
      <c r="G7" s="50">
        <f>'Revenue Model'!H14</f>
        <v/>
      </c>
      <c r="H7" s="50">
        <f>'Revenue Model'!I14</f>
        <v/>
      </c>
      <c r="I7" s="50">
        <f>'Revenue Model'!J14</f>
        <v/>
      </c>
      <c r="J7" s="50">
        <f>'Revenue Model'!K14</f>
        <v/>
      </c>
      <c r="K7" s="50">
        <f>'Revenue Model'!L14</f>
        <v/>
      </c>
      <c r="L7" s="50">
        <f>'Revenue Model'!M14</f>
        <v/>
      </c>
      <c r="M7" s="50">
        <f>'Revenue Model'!N14</f>
        <v/>
      </c>
      <c r="N7" s="51">
        <f>SUM('Revenue Model'!O14:R14)</f>
        <v/>
      </c>
      <c r="O7" s="51">
        <f>SUM('Revenue Model'!S14:V14)</f>
        <v/>
      </c>
      <c r="P7" s="52">
        <f>SUM(B7:M7)+N7+O7</f>
        <v/>
      </c>
    </row>
    <row r="8">
      <c r="A8" s="4" t="inlineStr">
        <is>
          <t>Less: CDAs Adjustment</t>
        </is>
      </c>
      <c r="B8" s="50">
        <f>0</f>
        <v/>
      </c>
      <c r="C8" s="50">
        <f>0</f>
        <v/>
      </c>
      <c r="D8" s="50">
        <f>0</f>
        <v/>
      </c>
      <c r="E8" s="50">
        <f>0</f>
        <v/>
      </c>
      <c r="F8" s="50">
        <f>0</f>
        <v/>
      </c>
      <c r="G8" s="50">
        <f>0</f>
        <v/>
      </c>
      <c r="H8" s="50">
        <f>0</f>
        <v/>
      </c>
      <c r="I8" s="50">
        <f>0</f>
        <v/>
      </c>
      <c r="J8" s="50">
        <f>0</f>
        <v/>
      </c>
      <c r="K8" s="50">
        <f>0</f>
        <v/>
      </c>
      <c r="L8" s="50">
        <f>0</f>
        <v/>
      </c>
      <c r="M8" s="50">
        <f>0</f>
        <v/>
      </c>
      <c r="N8" s="51">
        <f>0</f>
        <v/>
      </c>
      <c r="O8" s="51">
        <f>0</f>
        <v/>
      </c>
      <c r="P8" s="52">
        <f>SUM(B8:M8)+N8+O8</f>
        <v/>
      </c>
    </row>
    <row r="9">
      <c r="A9" s="4" t="inlineStr">
        <is>
          <t>Less: Net Due Zero (Write-offs)</t>
        </is>
      </c>
      <c r="B9" s="50">
        <f>'Revenue Model'!C14*Inputs!$B$11</f>
        <v/>
      </c>
      <c r="C9" s="50">
        <f>'Revenue Model'!D14*Inputs!$B$11</f>
        <v/>
      </c>
      <c r="D9" s="50">
        <f>'Revenue Model'!E14*Inputs!$B$11</f>
        <v/>
      </c>
      <c r="E9" s="50">
        <f>'Revenue Model'!F14*Inputs!$B$11</f>
        <v/>
      </c>
      <c r="F9" s="50">
        <f>'Revenue Model'!G14*Inputs!$B$11</f>
        <v/>
      </c>
      <c r="G9" s="50">
        <f>'Revenue Model'!H14*Inputs!$B$11</f>
        <v/>
      </c>
      <c r="H9" s="50">
        <f>'Revenue Model'!I14*Inputs!$B$11</f>
        <v/>
      </c>
      <c r="I9" s="50">
        <f>'Revenue Model'!J14*Inputs!$B$11</f>
        <v/>
      </c>
      <c r="J9" s="50">
        <f>'Revenue Model'!K14*Inputs!$B$11</f>
        <v/>
      </c>
      <c r="K9" s="50">
        <f>'Revenue Model'!L14*Inputs!$B$11</f>
        <v/>
      </c>
      <c r="L9" s="50">
        <f>'Revenue Model'!M14*Inputs!$B$11</f>
        <v/>
      </c>
      <c r="M9" s="50">
        <f>'Revenue Model'!N14*Inputs!$B$11</f>
        <v/>
      </c>
      <c r="N9" s="51">
        <f>SUM('Revenue Model'!O14:R14)*Inputs!$B$11</f>
        <v/>
      </c>
      <c r="O9" s="51">
        <f>SUM('Revenue Model'!S14:V14)*Inputs!$B$11</f>
        <v/>
      </c>
      <c r="P9" s="52">
        <f>SUM(B9:M9)+N9+O9</f>
        <v/>
      </c>
    </row>
    <row r="10">
      <c r="A10" s="4" t="inlineStr">
        <is>
          <t>Less: Sequestration</t>
        </is>
      </c>
      <c r="B10" s="50">
        <f>'Revenue Model'!C14*Inputs!$B$10</f>
        <v/>
      </c>
      <c r="C10" s="50">
        <f>'Revenue Model'!D14*Inputs!$B$10</f>
        <v/>
      </c>
      <c r="D10" s="50">
        <f>'Revenue Model'!E14*Inputs!$B$10</f>
        <v/>
      </c>
      <c r="E10" s="50">
        <f>'Revenue Model'!F14*Inputs!$B$10</f>
        <v/>
      </c>
      <c r="F10" s="50">
        <f>'Revenue Model'!G14*Inputs!$B$10</f>
        <v/>
      </c>
      <c r="G10" s="50">
        <f>'Revenue Model'!H14*Inputs!$B$10</f>
        <v/>
      </c>
      <c r="H10" s="50">
        <f>'Revenue Model'!I14*Inputs!$B$10</f>
        <v/>
      </c>
      <c r="I10" s="50">
        <f>'Revenue Model'!J14*Inputs!$B$10</f>
        <v/>
      </c>
      <c r="J10" s="50">
        <f>'Revenue Model'!K14*Inputs!$B$10</f>
        <v/>
      </c>
      <c r="K10" s="50">
        <f>'Revenue Model'!L14*Inputs!$B$10</f>
        <v/>
      </c>
      <c r="L10" s="50">
        <f>'Revenue Model'!M14*Inputs!$B$10</f>
        <v/>
      </c>
      <c r="M10" s="50">
        <f>'Revenue Model'!N14*Inputs!$B$10</f>
        <v/>
      </c>
      <c r="N10" s="51">
        <f>SUM('Revenue Model'!O14:R14)*Inputs!$B$10</f>
        <v/>
      </c>
      <c r="O10" s="51">
        <f>SUM('Revenue Model'!S14:V14)*Inputs!$B$10</f>
        <v/>
      </c>
      <c r="P10" s="52">
        <f>SUM(B10:M10)+N10+O10</f>
        <v/>
      </c>
    </row>
    <row r="11">
      <c r="A11" s="4" t="inlineStr">
        <is>
          <t>Less: Medication Adjustments</t>
        </is>
      </c>
      <c r="B11" s="50">
        <f>0</f>
        <v/>
      </c>
      <c r="C11" s="50">
        <f>0</f>
        <v/>
      </c>
      <c r="D11" s="50">
        <f>0</f>
        <v/>
      </c>
      <c r="E11" s="50">
        <f>0</f>
        <v/>
      </c>
      <c r="F11" s="50">
        <f>0</f>
        <v/>
      </c>
      <c r="G11" s="50">
        <f>0</f>
        <v/>
      </c>
      <c r="H11" s="50">
        <f>0</f>
        <v/>
      </c>
      <c r="I11" s="50">
        <f>0</f>
        <v/>
      </c>
      <c r="J11" s="50">
        <f>0</f>
        <v/>
      </c>
      <c r="K11" s="50">
        <f>0</f>
        <v/>
      </c>
      <c r="L11" s="50">
        <f>0</f>
        <v/>
      </c>
      <c r="M11" s="50">
        <f>0</f>
        <v/>
      </c>
      <c r="N11" s="51">
        <f>0</f>
        <v/>
      </c>
      <c r="O11" s="51">
        <f>0</f>
        <v/>
      </c>
      <c r="P11" s="52">
        <f>SUM(B11:M11)+N11+O11</f>
        <v/>
      </c>
    </row>
    <row r="12">
      <c r="A12" s="12" t="inlineStr">
        <is>
          <t>Total Income</t>
        </is>
      </c>
      <c r="B12" s="53">
        <f>B7-B8-B9-B10-B11</f>
        <v/>
      </c>
      <c r="C12" s="53">
        <f>C7-C8-C9-C10-C11</f>
        <v/>
      </c>
      <c r="D12" s="53">
        <f>D7-D8-D9-D10-D11</f>
        <v/>
      </c>
      <c r="E12" s="53">
        <f>E7-E8-E9-E10-E11</f>
        <v/>
      </c>
      <c r="F12" s="53">
        <f>F7-F8-F9-F10-F11</f>
        <v/>
      </c>
      <c r="G12" s="53">
        <f>G7-G8-G9-G10-G11</f>
        <v/>
      </c>
      <c r="H12" s="53">
        <f>H7-H8-H9-H10-H11</f>
        <v/>
      </c>
      <c r="I12" s="53">
        <f>I7-I8-I9-I10-I11</f>
        <v/>
      </c>
      <c r="J12" s="53">
        <f>J7-J8-J9-J10-J11</f>
        <v/>
      </c>
      <c r="K12" s="53">
        <f>K7-K8-K9-K10-K11</f>
        <v/>
      </c>
      <c r="L12" s="53">
        <f>L7-L8-L9-L10-L11</f>
        <v/>
      </c>
      <c r="M12" s="53">
        <f>M7-M8-M9-M10-M11</f>
        <v/>
      </c>
      <c r="N12" s="53">
        <f>N7-N8-N9-N10-N11</f>
        <v/>
      </c>
      <c r="O12" s="53">
        <f>O7-O8-O9-O10-O11</f>
        <v/>
      </c>
      <c r="P12" s="53">
        <f>P7-P8-P9-P10-P11</f>
        <v/>
      </c>
    </row>
    <row r="14">
      <c r="A14" s="26" t="inlineStr">
        <is>
          <t>Cost of Services</t>
        </is>
      </c>
    </row>
    <row r="15">
      <c r="A15" s="4" t="inlineStr">
        <is>
          <t>Pharmacy</t>
        </is>
      </c>
      <c r="B15" s="50">
        <f>'Revenue Model'!C12*Inputs!$B$88</f>
        <v/>
      </c>
      <c r="C15" s="50">
        <f>'Revenue Model'!D12*Inputs!$B$88</f>
        <v/>
      </c>
      <c r="D15" s="50">
        <f>'Revenue Model'!E12*Inputs!$B$88</f>
        <v/>
      </c>
      <c r="E15" s="50">
        <f>'Revenue Model'!F12*Inputs!$B$88</f>
        <v/>
      </c>
      <c r="F15" s="50">
        <f>'Revenue Model'!G12*Inputs!$B$88</f>
        <v/>
      </c>
      <c r="G15" s="50">
        <f>'Revenue Model'!H12*Inputs!$B$88</f>
        <v/>
      </c>
      <c r="H15" s="50">
        <f>'Revenue Model'!I12*Inputs!$B$88</f>
        <v/>
      </c>
      <c r="I15" s="50">
        <f>'Revenue Model'!J12*Inputs!$B$88</f>
        <v/>
      </c>
      <c r="J15" s="50">
        <f>'Revenue Model'!K12*Inputs!$B$88</f>
        <v/>
      </c>
      <c r="K15" s="50">
        <f>'Revenue Model'!L12*Inputs!$B$88</f>
        <v/>
      </c>
      <c r="L15" s="50">
        <f>'Revenue Model'!M12*Inputs!$B$88</f>
        <v/>
      </c>
      <c r="M15" s="50">
        <f>'Revenue Model'!N12*Inputs!$B$88</f>
        <v/>
      </c>
      <c r="N15" s="51">
        <f>SUM('Revenue Model'!O12:R12)*Inputs!$B$88</f>
        <v/>
      </c>
      <c r="O15" s="51">
        <f>SUM('Revenue Model'!S12:V12)*Inputs!$B$88</f>
        <v/>
      </c>
      <c r="P15" s="52">
        <f>SUM(B15:M15)+N15+O15</f>
        <v/>
      </c>
    </row>
    <row r="16">
      <c r="A16" s="4" t="inlineStr">
        <is>
          <t>Medical Supplies</t>
        </is>
      </c>
      <c r="B16" s="50">
        <f>'Revenue Model'!C12*Inputs!$B$86</f>
        <v/>
      </c>
      <c r="C16" s="50">
        <f>'Revenue Model'!D12*Inputs!$B$86</f>
        <v/>
      </c>
      <c r="D16" s="50">
        <f>'Revenue Model'!E12*Inputs!$B$86</f>
        <v/>
      </c>
      <c r="E16" s="50">
        <f>'Revenue Model'!F12*Inputs!$B$86</f>
        <v/>
      </c>
      <c r="F16" s="50">
        <f>'Revenue Model'!G12*Inputs!$B$86</f>
        <v/>
      </c>
      <c r="G16" s="50">
        <f>'Revenue Model'!H12*Inputs!$B$86</f>
        <v/>
      </c>
      <c r="H16" s="50">
        <f>'Revenue Model'!I12*Inputs!$B$86</f>
        <v/>
      </c>
      <c r="I16" s="50">
        <f>'Revenue Model'!J12*Inputs!$B$86</f>
        <v/>
      </c>
      <c r="J16" s="50">
        <f>'Revenue Model'!K12*Inputs!$B$86</f>
        <v/>
      </c>
      <c r="K16" s="50">
        <f>'Revenue Model'!L12*Inputs!$B$86</f>
        <v/>
      </c>
      <c r="L16" s="50">
        <f>'Revenue Model'!M12*Inputs!$B$86</f>
        <v/>
      </c>
      <c r="M16" s="50">
        <f>'Revenue Model'!N12*Inputs!$B$86</f>
        <v/>
      </c>
      <c r="N16" s="51">
        <f>SUM('Revenue Model'!O12:R12)*Inputs!$B$86</f>
        <v/>
      </c>
      <c r="O16" s="51">
        <f>SUM('Revenue Model'!S12:V12)*Inputs!$B$86</f>
        <v/>
      </c>
      <c r="P16" s="52">
        <f>SUM(B16:M16)+N16+O16</f>
        <v/>
      </c>
    </row>
    <row r="17">
      <c r="A17" s="4" t="inlineStr">
        <is>
          <t>Durable Medical Equipment (DME)</t>
        </is>
      </c>
      <c r="B17" s="50">
        <f>'Revenue Model'!C12*Inputs!$B$87</f>
        <v/>
      </c>
      <c r="C17" s="50">
        <f>'Revenue Model'!D12*Inputs!$B$87</f>
        <v/>
      </c>
      <c r="D17" s="50">
        <f>'Revenue Model'!E12*Inputs!$B$87</f>
        <v/>
      </c>
      <c r="E17" s="50">
        <f>'Revenue Model'!F12*Inputs!$B$87</f>
        <v/>
      </c>
      <c r="F17" s="50">
        <f>'Revenue Model'!G12*Inputs!$B$87</f>
        <v/>
      </c>
      <c r="G17" s="50">
        <f>'Revenue Model'!H12*Inputs!$B$87</f>
        <v/>
      </c>
      <c r="H17" s="50">
        <f>'Revenue Model'!I12*Inputs!$B$87</f>
        <v/>
      </c>
      <c r="I17" s="50">
        <f>'Revenue Model'!J12*Inputs!$B$87</f>
        <v/>
      </c>
      <c r="J17" s="50">
        <f>'Revenue Model'!K12*Inputs!$B$87</f>
        <v/>
      </c>
      <c r="K17" s="50">
        <f>'Revenue Model'!L12*Inputs!$B$87</f>
        <v/>
      </c>
      <c r="L17" s="50">
        <f>'Revenue Model'!M12*Inputs!$B$87</f>
        <v/>
      </c>
      <c r="M17" s="50">
        <f>'Revenue Model'!N12*Inputs!$B$87</f>
        <v/>
      </c>
      <c r="N17" s="51">
        <f>SUM('Revenue Model'!O12:R12)*Inputs!$B$87</f>
        <v/>
      </c>
      <c r="O17" s="51">
        <f>SUM('Revenue Model'!S12:V12)*Inputs!$B$87</f>
        <v/>
      </c>
      <c r="P17" s="52">
        <f>SUM(B17:M17)+N17+O17</f>
        <v/>
      </c>
    </row>
    <row r="18">
      <c r="A18" s="4" t="inlineStr">
        <is>
          <t>Respite Care</t>
        </is>
      </c>
      <c r="B18" s="50">
        <f>0</f>
        <v/>
      </c>
      <c r="C18" s="50">
        <f>0</f>
        <v/>
      </c>
      <c r="D18" s="50">
        <f>0</f>
        <v/>
      </c>
      <c r="E18" s="50">
        <f>0</f>
        <v/>
      </c>
      <c r="F18" s="50">
        <f>0</f>
        <v/>
      </c>
      <c r="G18" s="50">
        <f>0</f>
        <v/>
      </c>
      <c r="H18" s="50">
        <f>0</f>
        <v/>
      </c>
      <c r="I18" s="50">
        <f>0</f>
        <v/>
      </c>
      <c r="J18" s="50">
        <f>0</f>
        <v/>
      </c>
      <c r="K18" s="50">
        <f>0</f>
        <v/>
      </c>
      <c r="L18" s="50">
        <f>0</f>
        <v/>
      </c>
      <c r="M18" s="50">
        <f>0</f>
        <v/>
      </c>
      <c r="N18" s="51">
        <f>0</f>
        <v/>
      </c>
      <c r="O18" s="51">
        <f>0</f>
        <v/>
      </c>
      <c r="P18" s="52">
        <f>SUM(B18:M18)+N18+O18</f>
        <v/>
      </c>
    </row>
    <row r="19">
      <c r="A19" s="4" t="inlineStr">
        <is>
          <t>Transportation</t>
        </is>
      </c>
      <c r="B19" s="50">
        <f>0</f>
        <v/>
      </c>
      <c r="C19" s="50">
        <f>0</f>
        <v/>
      </c>
      <c r="D19" s="50">
        <f>0</f>
        <v/>
      </c>
      <c r="E19" s="50">
        <f>0</f>
        <v/>
      </c>
      <c r="F19" s="50">
        <f>0</f>
        <v/>
      </c>
      <c r="G19" s="50">
        <f>0</f>
        <v/>
      </c>
      <c r="H19" s="50">
        <f>0</f>
        <v/>
      </c>
      <c r="I19" s="50">
        <f>0</f>
        <v/>
      </c>
      <c r="J19" s="50">
        <f>0</f>
        <v/>
      </c>
      <c r="K19" s="50">
        <f>0</f>
        <v/>
      </c>
      <c r="L19" s="50">
        <f>0</f>
        <v/>
      </c>
      <c r="M19" s="50">
        <f>0</f>
        <v/>
      </c>
      <c r="N19" s="51">
        <f>0</f>
        <v/>
      </c>
      <c r="O19" s="51">
        <f>0</f>
        <v/>
      </c>
      <c r="P19" s="52">
        <f>SUM(B19:M19)+N19+O19</f>
        <v/>
      </c>
    </row>
    <row r="20">
      <c r="A20" s="4" t="inlineStr">
        <is>
          <t>Infusion / Labs</t>
        </is>
      </c>
      <c r="B20" s="50">
        <f>0</f>
        <v/>
      </c>
      <c r="C20" s="50">
        <f>0</f>
        <v/>
      </c>
      <c r="D20" s="50">
        <f>0</f>
        <v/>
      </c>
      <c r="E20" s="50">
        <f>0</f>
        <v/>
      </c>
      <c r="F20" s="50">
        <f>0</f>
        <v/>
      </c>
      <c r="G20" s="50">
        <f>0</f>
        <v/>
      </c>
      <c r="H20" s="50">
        <f>0</f>
        <v/>
      </c>
      <c r="I20" s="50">
        <f>0</f>
        <v/>
      </c>
      <c r="J20" s="50">
        <f>0</f>
        <v/>
      </c>
      <c r="K20" s="50">
        <f>0</f>
        <v/>
      </c>
      <c r="L20" s="50">
        <f>0</f>
        <v/>
      </c>
      <c r="M20" s="50">
        <f>0</f>
        <v/>
      </c>
      <c r="N20" s="51">
        <f>0</f>
        <v/>
      </c>
      <c r="O20" s="51">
        <f>0</f>
        <v/>
      </c>
      <c r="P20" s="52">
        <f>SUM(B20:M20)+N20+O20</f>
        <v/>
      </c>
    </row>
    <row r="21">
      <c r="A21" s="4" t="inlineStr">
        <is>
          <t>PT / OT / ST</t>
        </is>
      </c>
      <c r="B21" s="50">
        <f>0</f>
        <v/>
      </c>
      <c r="C21" s="50">
        <f>0</f>
        <v/>
      </c>
      <c r="D21" s="50">
        <f>0</f>
        <v/>
      </c>
      <c r="E21" s="50">
        <f>0</f>
        <v/>
      </c>
      <c r="F21" s="50">
        <f>0</f>
        <v/>
      </c>
      <c r="G21" s="50">
        <f>0</f>
        <v/>
      </c>
      <c r="H21" s="50">
        <f>0</f>
        <v/>
      </c>
      <c r="I21" s="50">
        <f>0</f>
        <v/>
      </c>
      <c r="J21" s="50">
        <f>0</f>
        <v/>
      </c>
      <c r="K21" s="50">
        <f>0</f>
        <v/>
      </c>
      <c r="L21" s="50">
        <f>0</f>
        <v/>
      </c>
      <c r="M21" s="50">
        <f>0</f>
        <v/>
      </c>
      <c r="N21" s="51">
        <f>0</f>
        <v/>
      </c>
      <c r="O21" s="51">
        <f>0</f>
        <v/>
      </c>
      <c r="P21" s="52">
        <f>SUM(B21:M21)+N21+O21</f>
        <v/>
      </c>
    </row>
    <row r="22">
      <c r="A22" s="12" t="inlineStr">
        <is>
          <t>Total Cost of Services</t>
        </is>
      </c>
      <c r="B22" s="53">
        <f>SUM(B15:B21)</f>
        <v/>
      </c>
      <c r="C22" s="53">
        <f>SUM(C15:C21)</f>
        <v/>
      </c>
      <c r="D22" s="53">
        <f>SUM(D15:D21)</f>
        <v/>
      </c>
      <c r="E22" s="53">
        <f>SUM(E15:E21)</f>
        <v/>
      </c>
      <c r="F22" s="53">
        <f>SUM(F15:F21)</f>
        <v/>
      </c>
      <c r="G22" s="53">
        <f>SUM(G15:G21)</f>
        <v/>
      </c>
      <c r="H22" s="53">
        <f>SUM(H15:H21)</f>
        <v/>
      </c>
      <c r="I22" s="53">
        <f>SUM(I15:I21)</f>
        <v/>
      </c>
      <c r="J22" s="53">
        <f>SUM(J15:J21)</f>
        <v/>
      </c>
      <c r="K22" s="53">
        <f>SUM(K15:K21)</f>
        <v/>
      </c>
      <c r="L22" s="53">
        <f>SUM(L15:L21)</f>
        <v/>
      </c>
      <c r="M22" s="53">
        <f>SUM(M15:M21)</f>
        <v/>
      </c>
      <c r="N22" s="53">
        <f>SUM(N15:N21)</f>
        <v/>
      </c>
      <c r="O22" s="53">
        <f>SUM(O15:O21)</f>
        <v/>
      </c>
      <c r="P22" s="53">
        <f>SUM(P15:P21)</f>
        <v/>
      </c>
    </row>
    <row r="24">
      <c r="A24" s="26" t="inlineStr">
        <is>
          <t>Gross Profit</t>
        </is>
      </c>
      <c r="B24" s="53">
        <f>B12-B22</f>
        <v/>
      </c>
      <c r="C24" s="53">
        <f>C12-C22</f>
        <v/>
      </c>
      <c r="D24" s="53">
        <f>D12-D22</f>
        <v/>
      </c>
      <c r="E24" s="53">
        <f>E12-E22</f>
        <v/>
      </c>
      <c r="F24" s="53">
        <f>F12-F22</f>
        <v/>
      </c>
      <c r="G24" s="53">
        <f>G12-G22</f>
        <v/>
      </c>
      <c r="H24" s="53">
        <f>H12-H22</f>
        <v/>
      </c>
      <c r="I24" s="53">
        <f>I12-I22</f>
        <v/>
      </c>
      <c r="J24" s="53">
        <f>J12-J22</f>
        <v/>
      </c>
      <c r="K24" s="53">
        <f>K12-K22</f>
        <v/>
      </c>
      <c r="L24" s="53">
        <f>L12-L22</f>
        <v/>
      </c>
      <c r="M24" s="53">
        <f>M12-M22</f>
        <v/>
      </c>
      <c r="N24" s="53">
        <f>N12-N22</f>
        <v/>
      </c>
      <c r="O24" s="53">
        <f>O12-O22</f>
        <v/>
      </c>
      <c r="P24" s="53">
        <f>P12-P22</f>
        <v/>
      </c>
    </row>
    <row r="26">
      <c r="A26" s="26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4" t="inlineStr">
        <is>
          <t>Payroll - 1st Half</t>
        </is>
      </c>
      <c r="B28" s="50">
        <f>('Staffing &amp; Payroll'!C30+'Staffing &amp; Payroll'!C42+'Staffing &amp; Payroll'!C38+'Staffing &amp; Payroll'!C43)/2</f>
        <v/>
      </c>
      <c r="C28" s="50">
        <f>('Staffing &amp; Payroll'!D30+'Staffing &amp; Payroll'!D42+'Staffing &amp; Payroll'!D38+'Staffing &amp; Payroll'!D43)/2</f>
        <v/>
      </c>
      <c r="D28" s="50">
        <f>('Staffing &amp; Payroll'!E30+'Staffing &amp; Payroll'!E42+'Staffing &amp; Payroll'!E38+'Staffing &amp; Payroll'!E43)/2</f>
        <v/>
      </c>
      <c r="E28" s="50">
        <f>('Staffing &amp; Payroll'!F30+'Staffing &amp; Payroll'!F42+'Staffing &amp; Payroll'!F38+'Staffing &amp; Payroll'!F43)/2</f>
        <v/>
      </c>
      <c r="F28" s="50">
        <f>('Staffing &amp; Payroll'!G30+'Staffing &amp; Payroll'!G42+'Staffing &amp; Payroll'!G38+'Staffing &amp; Payroll'!G43)/2</f>
        <v/>
      </c>
      <c r="G28" s="50">
        <f>('Staffing &amp; Payroll'!H30+'Staffing &amp; Payroll'!H42+'Staffing &amp; Payroll'!H38+'Staffing &amp; Payroll'!H43)/2</f>
        <v/>
      </c>
      <c r="H28" s="50">
        <f>('Staffing &amp; Payroll'!I30+'Staffing &amp; Payroll'!I42+'Staffing &amp; Payroll'!I38+'Staffing &amp; Payroll'!I43)/2</f>
        <v/>
      </c>
      <c r="I28" s="50">
        <f>('Staffing &amp; Payroll'!J30+'Staffing &amp; Payroll'!J42+'Staffing &amp; Payroll'!J38+'Staffing &amp; Payroll'!J43)/2</f>
        <v/>
      </c>
      <c r="J28" s="50">
        <f>('Staffing &amp; Payroll'!K30+'Staffing &amp; Payroll'!K42+'Staffing &amp; Payroll'!K38+'Staffing &amp; Payroll'!K43)/2</f>
        <v/>
      </c>
      <c r="K28" s="50">
        <f>('Staffing &amp; Payroll'!L30+'Staffing &amp; Payroll'!L42+'Staffing &amp; Payroll'!L38+'Staffing &amp; Payroll'!L43)/2</f>
        <v/>
      </c>
      <c r="L28" s="50">
        <f>('Staffing &amp; Payroll'!M30+'Staffing &amp; Payroll'!M42+'Staffing &amp; Payroll'!M38+'Staffing &amp; Payroll'!M43)/2</f>
        <v/>
      </c>
      <c r="M28" s="50">
        <f>('Staffing &amp; Payroll'!N30+'Staffing &amp; Payroll'!N42+'Staffing &amp; Payroll'!N38+'Staffing &amp; Payroll'!N43)/2</f>
        <v/>
      </c>
      <c r="N28" s="51">
        <f>(SUM('Staffing &amp; Payroll'!O30:R30)+SUM('Staffing &amp; Payroll'!O42:R42)+SUM('Staffing &amp; Payroll'!O38:R38)+SUM('Staffing &amp; Payroll'!O43:R43))/2</f>
        <v/>
      </c>
      <c r="O28" s="51">
        <f>(SUM('Staffing &amp; Payroll'!S30:V30)+SUM('Staffing &amp; Payroll'!S42:V42)+SUM('Staffing &amp; Payroll'!S38:V38)+SUM('Staffing &amp; Payroll'!S43:V43))/2</f>
        <v/>
      </c>
      <c r="P28" s="52">
        <f>SUM(B28:M28)+N28+O28</f>
        <v/>
      </c>
    </row>
    <row r="29">
      <c r="A29" s="54" t="inlineStr">
        <is>
          <t>Payroll - 2nd Half</t>
        </is>
      </c>
      <c r="B29" s="50">
        <f>('Staffing &amp; Payroll'!C30+'Staffing &amp; Payroll'!C42+'Staffing &amp; Payroll'!C38+'Staffing &amp; Payroll'!C43)/2</f>
        <v/>
      </c>
      <c r="C29" s="50">
        <f>('Staffing &amp; Payroll'!D30+'Staffing &amp; Payroll'!D42+'Staffing &amp; Payroll'!D38+'Staffing &amp; Payroll'!D43)/2</f>
        <v/>
      </c>
      <c r="D29" s="50">
        <f>('Staffing &amp; Payroll'!E30+'Staffing &amp; Payroll'!E42+'Staffing &amp; Payroll'!E38+'Staffing &amp; Payroll'!E43)/2</f>
        <v/>
      </c>
      <c r="E29" s="50">
        <f>('Staffing &amp; Payroll'!F30+'Staffing &amp; Payroll'!F42+'Staffing &amp; Payroll'!F38+'Staffing &amp; Payroll'!F43)/2</f>
        <v/>
      </c>
      <c r="F29" s="50">
        <f>('Staffing &amp; Payroll'!G30+'Staffing &amp; Payroll'!G42+'Staffing &amp; Payroll'!G38+'Staffing &amp; Payroll'!G43)/2</f>
        <v/>
      </c>
      <c r="G29" s="50">
        <f>('Staffing &amp; Payroll'!H30+'Staffing &amp; Payroll'!H42+'Staffing &amp; Payroll'!H38+'Staffing &amp; Payroll'!H43)/2</f>
        <v/>
      </c>
      <c r="H29" s="50">
        <f>('Staffing &amp; Payroll'!I30+'Staffing &amp; Payroll'!I42+'Staffing &amp; Payroll'!I38+'Staffing &amp; Payroll'!I43)/2</f>
        <v/>
      </c>
      <c r="I29" s="50">
        <f>('Staffing &amp; Payroll'!J30+'Staffing &amp; Payroll'!J42+'Staffing &amp; Payroll'!J38+'Staffing &amp; Payroll'!J43)/2</f>
        <v/>
      </c>
      <c r="J29" s="50">
        <f>('Staffing &amp; Payroll'!K30+'Staffing &amp; Payroll'!K42+'Staffing &amp; Payroll'!K38+'Staffing &amp; Payroll'!K43)/2</f>
        <v/>
      </c>
      <c r="K29" s="50">
        <f>('Staffing &amp; Payroll'!L30+'Staffing &amp; Payroll'!L42+'Staffing &amp; Payroll'!L38+'Staffing &amp; Payroll'!L43)/2</f>
        <v/>
      </c>
      <c r="L29" s="50">
        <f>('Staffing &amp; Payroll'!M30+'Staffing &amp; Payroll'!M42+'Staffing &amp; Payroll'!M38+'Staffing &amp; Payroll'!M43)/2</f>
        <v/>
      </c>
      <c r="M29" s="50">
        <f>('Staffing &amp; Payroll'!N30+'Staffing &amp; Payroll'!N42+'Staffing &amp; Payroll'!N38+'Staffing &amp; Payroll'!N43)/2</f>
        <v/>
      </c>
      <c r="N29" s="51">
        <f>(SUM('Staffing &amp; Payroll'!O30:R30)+SUM('Staffing &amp; Payroll'!O42:R42)+SUM('Staffing &amp; Payroll'!O38:R38)+SUM('Staffing &amp; Payroll'!O43:R43))/2</f>
        <v/>
      </c>
      <c r="O29" s="51">
        <f>(SUM('Staffing &amp; Payroll'!S30:V30)+SUM('Staffing &amp; Payroll'!S42:V42)+SUM('Staffing &amp; Payroll'!S38:V38)+SUM('Staffing &amp; Payroll'!S43:V43))/2</f>
        <v/>
      </c>
      <c r="P29" s="52">
        <f>SUM(B29:M29)+N29+O29</f>
        <v/>
      </c>
    </row>
    <row r="30">
      <c r="A30" s="54" t="inlineStr">
        <is>
          <t>Payroll YTD Adjustments</t>
        </is>
      </c>
      <c r="B30" s="50">
        <f>0</f>
        <v/>
      </c>
      <c r="C30" s="50">
        <f>0</f>
        <v/>
      </c>
      <c r="D30" s="50">
        <f>0</f>
        <v/>
      </c>
      <c r="E30" s="50">
        <f>0</f>
        <v/>
      </c>
      <c r="F30" s="50">
        <f>0</f>
        <v/>
      </c>
      <c r="G30" s="50">
        <f>0</f>
        <v/>
      </c>
      <c r="H30" s="50">
        <f>0</f>
        <v/>
      </c>
      <c r="I30" s="50">
        <f>0</f>
        <v/>
      </c>
      <c r="J30" s="50">
        <f>0</f>
        <v/>
      </c>
      <c r="K30" s="50">
        <f>0</f>
        <v/>
      </c>
      <c r="L30" s="50">
        <f>0</f>
        <v/>
      </c>
      <c r="M30" s="50">
        <f>0</f>
        <v/>
      </c>
      <c r="N30" s="51">
        <f>0</f>
        <v/>
      </c>
      <c r="O30" s="51">
        <f>0</f>
        <v/>
      </c>
      <c r="P30" s="52">
        <f>SUM(B30:M30)+N30+O30</f>
        <v/>
      </c>
    </row>
    <row r="31">
      <c r="A31" s="54" t="inlineStr">
        <is>
          <t>Employer Taxes (FUTA/SUI/FICA/WC)</t>
        </is>
      </c>
      <c r="B31" s="50">
        <f>'Staffing &amp; Payroll'!C48+'Staffing &amp; Payroll'!C49</f>
        <v/>
      </c>
      <c r="C31" s="50">
        <f>'Staffing &amp; Payroll'!D48+'Staffing &amp; Payroll'!D49</f>
        <v/>
      </c>
      <c r="D31" s="50">
        <f>'Staffing &amp; Payroll'!E48+'Staffing &amp; Payroll'!E49</f>
        <v/>
      </c>
      <c r="E31" s="50">
        <f>'Staffing &amp; Payroll'!F48+'Staffing &amp; Payroll'!F49</f>
        <v/>
      </c>
      <c r="F31" s="50">
        <f>'Staffing &amp; Payroll'!G48+'Staffing &amp; Payroll'!G49</f>
        <v/>
      </c>
      <c r="G31" s="50">
        <f>'Staffing &amp; Payroll'!H48+'Staffing &amp; Payroll'!H49</f>
        <v/>
      </c>
      <c r="H31" s="50">
        <f>'Staffing &amp; Payroll'!I48+'Staffing &amp; Payroll'!I49</f>
        <v/>
      </c>
      <c r="I31" s="50">
        <f>'Staffing &amp; Payroll'!J48+'Staffing &amp; Payroll'!J49</f>
        <v/>
      </c>
      <c r="J31" s="50">
        <f>'Staffing &amp; Payroll'!K48+'Staffing &amp; Payroll'!K49</f>
        <v/>
      </c>
      <c r="K31" s="50">
        <f>'Staffing &amp; Payroll'!L48+'Staffing &amp; Payroll'!L49</f>
        <v/>
      </c>
      <c r="L31" s="50">
        <f>'Staffing &amp; Payroll'!M48+'Staffing &amp; Payroll'!M49</f>
        <v/>
      </c>
      <c r="M31" s="50">
        <f>'Staffing &amp; Payroll'!N48+'Staffing &amp; Payroll'!N49</f>
        <v/>
      </c>
      <c r="N31" s="51">
        <f>SUM('Staffing &amp; Payroll'!O48:R48)+SUM('Staffing &amp; Payroll'!O49:R49)</f>
        <v/>
      </c>
      <c r="O31" s="51">
        <f>SUM('Staffing &amp; Payroll'!S48:V48)+SUM('Staffing &amp; Payroll'!S49:V49)</f>
        <v/>
      </c>
      <c r="P31" s="52">
        <f>SUM(B31:M31)+N31+O31</f>
        <v/>
      </c>
    </row>
    <row r="32">
      <c r="A32" s="54" t="inlineStr">
        <is>
          <t>Contract Labor</t>
        </is>
      </c>
      <c r="B32" s="50">
        <f>0</f>
        <v/>
      </c>
      <c r="C32" s="50">
        <f>0</f>
        <v/>
      </c>
      <c r="D32" s="50">
        <f>0</f>
        <v/>
      </c>
      <c r="E32" s="50">
        <f>0</f>
        <v/>
      </c>
      <c r="F32" s="50">
        <f>0</f>
        <v/>
      </c>
      <c r="G32" s="50">
        <f>0</f>
        <v/>
      </c>
      <c r="H32" s="50">
        <f>0</f>
        <v/>
      </c>
      <c r="I32" s="50">
        <f>0</f>
        <v/>
      </c>
      <c r="J32" s="50">
        <f>0</f>
        <v/>
      </c>
      <c r="K32" s="50">
        <f>0</f>
        <v/>
      </c>
      <c r="L32" s="50">
        <f>0</f>
        <v/>
      </c>
      <c r="M32" s="50">
        <f>0</f>
        <v/>
      </c>
      <c r="N32" s="51">
        <f>0</f>
        <v/>
      </c>
      <c r="O32" s="51">
        <f>0</f>
        <v/>
      </c>
      <c r="P32" s="52">
        <f>SUM(B32:M32)+N32+O32</f>
        <v/>
      </c>
    </row>
    <row r="33">
      <c r="A33" s="54" t="inlineStr">
        <is>
          <t>Medical Director</t>
        </is>
      </c>
      <c r="B33" s="50">
        <f>'Staffing &amp; Payroll'!C39</f>
        <v/>
      </c>
      <c r="C33" s="50">
        <f>'Staffing &amp; Payroll'!D39</f>
        <v/>
      </c>
      <c r="D33" s="50">
        <f>'Staffing &amp; Payroll'!E39</f>
        <v/>
      </c>
      <c r="E33" s="50">
        <f>'Staffing &amp; Payroll'!F39</f>
        <v/>
      </c>
      <c r="F33" s="50">
        <f>'Staffing &amp; Payroll'!G39</f>
        <v/>
      </c>
      <c r="G33" s="50">
        <f>'Staffing &amp; Payroll'!H39</f>
        <v/>
      </c>
      <c r="H33" s="50">
        <f>'Staffing &amp; Payroll'!I39</f>
        <v/>
      </c>
      <c r="I33" s="50">
        <f>'Staffing &amp; Payroll'!J39</f>
        <v/>
      </c>
      <c r="J33" s="50">
        <f>'Staffing &amp; Payroll'!K39</f>
        <v/>
      </c>
      <c r="K33" s="50">
        <f>'Staffing &amp; Payroll'!L39</f>
        <v/>
      </c>
      <c r="L33" s="50">
        <f>'Staffing &amp; Payroll'!M39</f>
        <v/>
      </c>
      <c r="M33" s="50">
        <f>'Staffing &amp; Payroll'!N39</f>
        <v/>
      </c>
      <c r="N33" s="51">
        <f>SUM('Staffing &amp; Payroll'!O39:R39)</f>
        <v/>
      </c>
      <c r="O33" s="51">
        <f>SUM('Staffing &amp; Payroll'!S39:V39)</f>
        <v/>
      </c>
      <c r="P33" s="52">
        <f>SUM(B33:M33)+N33+O33</f>
        <v/>
      </c>
    </row>
    <row r="34">
      <c r="A34" s="54" t="inlineStr">
        <is>
          <t>Medical Director 2</t>
        </is>
      </c>
      <c r="B34" s="50">
        <f>0</f>
        <v/>
      </c>
      <c r="C34" s="50">
        <f>0</f>
        <v/>
      </c>
      <c r="D34" s="50">
        <f>0</f>
        <v/>
      </c>
      <c r="E34" s="50">
        <f>0</f>
        <v/>
      </c>
      <c r="F34" s="50">
        <f>0</f>
        <v/>
      </c>
      <c r="G34" s="50">
        <f>0</f>
        <v/>
      </c>
      <c r="H34" s="50">
        <f>0</f>
        <v/>
      </c>
      <c r="I34" s="50">
        <f>0</f>
        <v/>
      </c>
      <c r="J34" s="50">
        <f>0</f>
        <v/>
      </c>
      <c r="K34" s="50">
        <f>0</f>
        <v/>
      </c>
      <c r="L34" s="50">
        <f>0</f>
        <v/>
      </c>
      <c r="M34" s="50">
        <f>0</f>
        <v/>
      </c>
      <c r="N34" s="51">
        <f>0</f>
        <v/>
      </c>
      <c r="O34" s="51">
        <f>0</f>
        <v/>
      </c>
      <c r="P34" s="52">
        <f>SUM(B34:M34)+N34+O34</f>
        <v/>
      </c>
    </row>
    <row r="35">
      <c r="A35" s="54" t="inlineStr">
        <is>
          <t>Intercompany Transfer</t>
        </is>
      </c>
      <c r="B35" s="50">
        <f>0</f>
        <v/>
      </c>
      <c r="C35" s="50">
        <f>0</f>
        <v/>
      </c>
      <c r="D35" s="50">
        <f>0</f>
        <v/>
      </c>
      <c r="E35" s="50">
        <f>0</f>
        <v/>
      </c>
      <c r="F35" s="50">
        <f>0</f>
        <v/>
      </c>
      <c r="G35" s="50">
        <f>0</f>
        <v/>
      </c>
      <c r="H35" s="50">
        <f>0</f>
        <v/>
      </c>
      <c r="I35" s="50">
        <f>0</f>
        <v/>
      </c>
      <c r="J35" s="50">
        <f>0</f>
        <v/>
      </c>
      <c r="K35" s="50">
        <f>0</f>
        <v/>
      </c>
      <c r="L35" s="50">
        <f>0</f>
        <v/>
      </c>
      <c r="M35" s="50">
        <f>0</f>
        <v/>
      </c>
      <c r="N35" s="51">
        <f>0</f>
        <v/>
      </c>
      <c r="O35" s="51">
        <f>0</f>
        <v/>
      </c>
      <c r="P35" s="52">
        <f>SUM(B35:M35)+N35+O35</f>
        <v/>
      </c>
    </row>
    <row r="36">
      <c r="A36" s="54" t="inlineStr">
        <is>
          <t>Staff Other (health insurance)</t>
        </is>
      </c>
      <c r="B36" s="50">
        <f>'Staffing &amp; Payroll'!C50+'Staffing &amp; Payroll'!C51</f>
        <v/>
      </c>
      <c r="C36" s="50">
        <f>'Staffing &amp; Payroll'!D50+'Staffing &amp; Payroll'!D51</f>
        <v/>
      </c>
      <c r="D36" s="50">
        <f>'Staffing &amp; Payroll'!E50+'Staffing &amp; Payroll'!E51</f>
        <v/>
      </c>
      <c r="E36" s="50">
        <f>'Staffing &amp; Payroll'!F50+'Staffing &amp; Payroll'!F51</f>
        <v/>
      </c>
      <c r="F36" s="50">
        <f>'Staffing &amp; Payroll'!G50+'Staffing &amp; Payroll'!G51</f>
        <v/>
      </c>
      <c r="G36" s="50">
        <f>'Staffing &amp; Payroll'!H50+'Staffing &amp; Payroll'!H51</f>
        <v/>
      </c>
      <c r="H36" s="50">
        <f>'Staffing &amp; Payroll'!I50+'Staffing &amp; Payroll'!I51</f>
        <v/>
      </c>
      <c r="I36" s="50">
        <f>'Staffing &amp; Payroll'!J50+'Staffing &amp; Payroll'!J51</f>
        <v/>
      </c>
      <c r="J36" s="50">
        <f>'Staffing &amp; Payroll'!K50+'Staffing &amp; Payroll'!K51</f>
        <v/>
      </c>
      <c r="K36" s="50">
        <f>'Staffing &amp; Payroll'!L50+'Staffing &amp; Payroll'!L51</f>
        <v/>
      </c>
      <c r="L36" s="50">
        <f>'Staffing &amp; Payroll'!M50+'Staffing &amp; Payroll'!M51</f>
        <v/>
      </c>
      <c r="M36" s="50">
        <f>'Staffing &amp; Payroll'!N50+'Staffing &amp; Payroll'!N51</f>
        <v/>
      </c>
      <c r="N36" s="51">
        <f>SUM('Staffing &amp; Payroll'!O50:R50)+SUM('Staffing &amp; Payroll'!O51:R51)</f>
        <v/>
      </c>
      <c r="O36" s="51">
        <f>SUM('Staffing &amp; Payroll'!S50:V50)+SUM('Staffing &amp; Payroll'!S51:V51)</f>
        <v/>
      </c>
      <c r="P36" s="52">
        <f>SUM(B36:M36)+N36+O36</f>
        <v/>
      </c>
    </row>
    <row r="37">
      <c r="A37" s="12" t="inlineStr">
        <is>
          <t>Total Payroll &amp; Related</t>
        </is>
      </c>
      <c r="B37" s="53">
        <f>SUM(B28:B36)</f>
        <v/>
      </c>
      <c r="C37" s="53">
        <f>SUM(C28:C36)</f>
        <v/>
      </c>
      <c r="D37" s="53">
        <f>SUM(D28:D36)</f>
        <v/>
      </c>
      <c r="E37" s="53">
        <f>SUM(E28:E36)</f>
        <v/>
      </c>
      <c r="F37" s="53">
        <f>SUM(F28:F36)</f>
        <v/>
      </c>
      <c r="G37" s="53">
        <f>SUM(G28:G36)</f>
        <v/>
      </c>
      <c r="H37" s="53">
        <f>SUM(H28:H36)</f>
        <v/>
      </c>
      <c r="I37" s="53">
        <f>SUM(I28:I36)</f>
        <v/>
      </c>
      <c r="J37" s="53">
        <f>SUM(J28:J36)</f>
        <v/>
      </c>
      <c r="K37" s="53">
        <f>SUM(K28:K36)</f>
        <v/>
      </c>
      <c r="L37" s="53">
        <f>SUM(L28:L36)</f>
        <v/>
      </c>
      <c r="M37" s="53">
        <f>SUM(M28:M36)</f>
        <v/>
      </c>
      <c r="N37" s="53">
        <f>SUM(N28:N36)</f>
        <v/>
      </c>
      <c r="O37" s="53">
        <f>SUM(O28:O36)</f>
        <v/>
      </c>
      <c r="P37" s="53">
        <f>SUM(P28:P36)</f>
        <v/>
      </c>
    </row>
    <row r="39">
      <c r="A39" s="12" t="inlineStr">
        <is>
          <t>General &amp; Administrative</t>
        </is>
      </c>
    </row>
    <row r="40">
      <c r="A40" s="54" t="inlineStr">
        <is>
          <t>Bank / Payroll Fees</t>
        </is>
      </c>
      <c r="B40" s="50">
        <f>Inputs!$B$101</f>
        <v/>
      </c>
      <c r="C40" s="50">
        <f>Inputs!$B$101</f>
        <v/>
      </c>
      <c r="D40" s="50">
        <f>Inputs!$B$101</f>
        <v/>
      </c>
      <c r="E40" s="50">
        <f>Inputs!$B$101</f>
        <v/>
      </c>
      <c r="F40" s="50">
        <f>Inputs!$B$101</f>
        <v/>
      </c>
      <c r="G40" s="50">
        <f>Inputs!$B$101</f>
        <v/>
      </c>
      <c r="H40" s="50">
        <f>Inputs!$B$101</f>
        <v/>
      </c>
      <c r="I40" s="50">
        <f>Inputs!$B$101</f>
        <v/>
      </c>
      <c r="J40" s="50">
        <f>Inputs!$B$101</f>
        <v/>
      </c>
      <c r="K40" s="50">
        <f>Inputs!$B$101</f>
        <v/>
      </c>
      <c r="L40" s="50">
        <f>Inputs!$B$101</f>
        <v/>
      </c>
      <c r="M40" s="50">
        <f>Inputs!$B$101</f>
        <v/>
      </c>
      <c r="N40" s="51">
        <f>Inputs!$B$101*12</f>
        <v/>
      </c>
      <c r="O40" s="51">
        <f>Inputs!$B$101*12</f>
        <v/>
      </c>
      <c r="P40" s="52">
        <f>SUM(B40:M40)+N40+O40</f>
        <v/>
      </c>
    </row>
    <row r="41">
      <c r="A41" s="54" t="inlineStr">
        <is>
          <t>Triple Net Rent</t>
        </is>
      </c>
      <c r="B41" s="50">
        <f>Inputs!$B$102</f>
        <v/>
      </c>
      <c r="C41" s="50">
        <f>Inputs!$B$102</f>
        <v/>
      </c>
      <c r="D41" s="50">
        <f>Inputs!$B$102</f>
        <v/>
      </c>
      <c r="E41" s="50">
        <f>Inputs!$B$102</f>
        <v/>
      </c>
      <c r="F41" s="50">
        <f>Inputs!$B$102</f>
        <v/>
      </c>
      <c r="G41" s="50">
        <f>Inputs!$B$102</f>
        <v/>
      </c>
      <c r="H41" s="50">
        <f>Inputs!$B$102</f>
        <v/>
      </c>
      <c r="I41" s="50">
        <f>Inputs!$B$102</f>
        <v/>
      </c>
      <c r="J41" s="50">
        <f>Inputs!$B$102</f>
        <v/>
      </c>
      <c r="K41" s="50">
        <f>Inputs!$B$102</f>
        <v/>
      </c>
      <c r="L41" s="50">
        <f>Inputs!$B$102</f>
        <v/>
      </c>
      <c r="M41" s="50">
        <f>Inputs!$B$102</f>
        <v/>
      </c>
      <c r="N41" s="51">
        <f>Inputs!$B$102*12</f>
        <v/>
      </c>
      <c r="O41" s="51">
        <f>Inputs!$B$102*12</f>
        <v/>
      </c>
      <c r="P41" s="52">
        <f>SUM(B41:M41)+N41+O41</f>
        <v/>
      </c>
    </row>
    <row r="42">
      <c r="A42" s="54" t="inlineStr">
        <is>
          <t>Utilities</t>
        </is>
      </c>
      <c r="B42" s="50">
        <f>Inputs!$B$91</f>
        <v/>
      </c>
      <c r="C42" s="50">
        <f>Inputs!$B$91</f>
        <v/>
      </c>
      <c r="D42" s="50">
        <f>Inputs!$B$91</f>
        <v/>
      </c>
      <c r="E42" s="50">
        <f>Inputs!$B$91</f>
        <v/>
      </c>
      <c r="F42" s="50">
        <f>Inputs!$B$91</f>
        <v/>
      </c>
      <c r="G42" s="50">
        <f>Inputs!$B$91</f>
        <v/>
      </c>
      <c r="H42" s="50">
        <f>Inputs!$B$91</f>
        <v/>
      </c>
      <c r="I42" s="50">
        <f>Inputs!$B$91</f>
        <v/>
      </c>
      <c r="J42" s="50">
        <f>Inputs!$B$91</f>
        <v/>
      </c>
      <c r="K42" s="50">
        <f>Inputs!$B$91</f>
        <v/>
      </c>
      <c r="L42" s="50">
        <f>Inputs!$B$91</f>
        <v/>
      </c>
      <c r="M42" s="50">
        <f>Inputs!$B$91</f>
        <v/>
      </c>
      <c r="N42" s="51">
        <f>Inputs!$B$91*12</f>
        <v/>
      </c>
      <c r="O42" s="51">
        <f>Inputs!$B$91*12</f>
        <v/>
      </c>
      <c r="P42" s="52">
        <f>SUM(B42:M42)+N42+O42</f>
        <v/>
      </c>
    </row>
    <row r="43">
      <c r="A43" s="54" t="inlineStr">
        <is>
          <t>Internet</t>
        </is>
      </c>
      <c r="B43" s="50">
        <f>Inputs!$B$92</f>
        <v/>
      </c>
      <c r="C43" s="50">
        <f>Inputs!$B$92</f>
        <v/>
      </c>
      <c r="D43" s="50">
        <f>Inputs!$B$92</f>
        <v/>
      </c>
      <c r="E43" s="50">
        <f>Inputs!$B$92</f>
        <v/>
      </c>
      <c r="F43" s="50">
        <f>Inputs!$B$92</f>
        <v/>
      </c>
      <c r="G43" s="50">
        <f>Inputs!$B$92</f>
        <v/>
      </c>
      <c r="H43" s="50">
        <f>Inputs!$B$92</f>
        <v/>
      </c>
      <c r="I43" s="50">
        <f>Inputs!$B$92</f>
        <v/>
      </c>
      <c r="J43" s="50">
        <f>Inputs!$B$92</f>
        <v/>
      </c>
      <c r="K43" s="50">
        <f>Inputs!$B$92</f>
        <v/>
      </c>
      <c r="L43" s="50">
        <f>Inputs!$B$92</f>
        <v/>
      </c>
      <c r="M43" s="50">
        <f>Inputs!$B$92</f>
        <v/>
      </c>
      <c r="N43" s="51">
        <f>Inputs!$B$92*12</f>
        <v/>
      </c>
      <c r="O43" s="51">
        <f>Inputs!$B$92*12</f>
        <v/>
      </c>
      <c r="P43" s="52">
        <f>SUM(B43:M43)+N43+O43</f>
        <v/>
      </c>
    </row>
    <row r="44">
      <c r="A44" s="54" t="inlineStr">
        <is>
          <t>Telephone / Fax</t>
        </is>
      </c>
      <c r="B44" s="50">
        <f>Inputs!$B$93</f>
        <v/>
      </c>
      <c r="C44" s="50">
        <f>Inputs!$B$93</f>
        <v/>
      </c>
      <c r="D44" s="50">
        <f>Inputs!$B$93</f>
        <v/>
      </c>
      <c r="E44" s="50">
        <f>Inputs!$B$93</f>
        <v/>
      </c>
      <c r="F44" s="50">
        <f>Inputs!$B$93</f>
        <v/>
      </c>
      <c r="G44" s="50">
        <f>Inputs!$B$93</f>
        <v/>
      </c>
      <c r="H44" s="50">
        <f>Inputs!$B$93</f>
        <v/>
      </c>
      <c r="I44" s="50">
        <f>Inputs!$B$93</f>
        <v/>
      </c>
      <c r="J44" s="50">
        <f>Inputs!$B$93</f>
        <v/>
      </c>
      <c r="K44" s="50">
        <f>Inputs!$B$93</f>
        <v/>
      </c>
      <c r="L44" s="50">
        <f>Inputs!$B$93</f>
        <v/>
      </c>
      <c r="M44" s="50">
        <f>Inputs!$B$93</f>
        <v/>
      </c>
      <c r="N44" s="51">
        <f>Inputs!$B$93*12</f>
        <v/>
      </c>
      <c r="O44" s="51">
        <f>Inputs!$B$93*12</f>
        <v/>
      </c>
      <c r="P44" s="52">
        <f>SUM(B44:M44)+N44+O44</f>
        <v/>
      </c>
    </row>
    <row r="45">
      <c r="A45" s="54" t="inlineStr">
        <is>
          <t>After Hours Messaging (BVTM)</t>
        </is>
      </c>
      <c r="B45" s="50">
        <f>Inputs!$B$94</f>
        <v/>
      </c>
      <c r="C45" s="50">
        <f>Inputs!$B$94</f>
        <v/>
      </c>
      <c r="D45" s="50">
        <f>Inputs!$B$94</f>
        <v/>
      </c>
      <c r="E45" s="50">
        <f>Inputs!$B$94</f>
        <v/>
      </c>
      <c r="F45" s="50">
        <f>Inputs!$B$94</f>
        <v/>
      </c>
      <c r="G45" s="50">
        <f>Inputs!$B$94</f>
        <v/>
      </c>
      <c r="H45" s="50">
        <f>Inputs!$B$94</f>
        <v/>
      </c>
      <c r="I45" s="50">
        <f>Inputs!$B$94</f>
        <v/>
      </c>
      <c r="J45" s="50">
        <f>Inputs!$B$94</f>
        <v/>
      </c>
      <c r="K45" s="50">
        <f>Inputs!$B$94</f>
        <v/>
      </c>
      <c r="L45" s="50">
        <f>Inputs!$B$94</f>
        <v/>
      </c>
      <c r="M45" s="50">
        <f>Inputs!$B$94</f>
        <v/>
      </c>
      <c r="N45" s="51">
        <f>Inputs!$B$94*12</f>
        <v/>
      </c>
      <c r="O45" s="51">
        <f>Inputs!$B$94*12</f>
        <v/>
      </c>
      <c r="P45" s="52">
        <f>SUM(B45:M45)+N45+O45</f>
        <v/>
      </c>
    </row>
    <row r="46">
      <c r="A46" s="54" t="inlineStr">
        <is>
          <t>CFO / AP Support</t>
        </is>
      </c>
      <c r="B46" s="50">
        <f>0</f>
        <v/>
      </c>
      <c r="C46" s="50">
        <f>0</f>
        <v/>
      </c>
      <c r="D46" s="50">
        <f>0</f>
        <v/>
      </c>
      <c r="E46" s="50">
        <f>0</f>
        <v/>
      </c>
      <c r="F46" s="50">
        <f>0</f>
        <v/>
      </c>
      <c r="G46" s="50">
        <f>0</f>
        <v/>
      </c>
      <c r="H46" s="50">
        <f>0</f>
        <v/>
      </c>
      <c r="I46" s="50">
        <f>0</f>
        <v/>
      </c>
      <c r="J46" s="50">
        <f>0</f>
        <v/>
      </c>
      <c r="K46" s="50">
        <f>0</f>
        <v/>
      </c>
      <c r="L46" s="50">
        <f>0</f>
        <v/>
      </c>
      <c r="M46" s="50">
        <f>0</f>
        <v/>
      </c>
      <c r="N46" s="51">
        <f>0</f>
        <v/>
      </c>
      <c r="O46" s="51">
        <f>0</f>
        <v/>
      </c>
      <c r="P46" s="52">
        <f>SUM(B46:M46)+N46+O46</f>
        <v/>
      </c>
    </row>
    <row r="47">
      <c r="A47" s="54" t="inlineStr">
        <is>
          <t>Support Services</t>
        </is>
      </c>
      <c r="B47" s="50">
        <f>0</f>
        <v/>
      </c>
      <c r="C47" s="50">
        <f>0</f>
        <v/>
      </c>
      <c r="D47" s="50">
        <f>0</f>
        <v/>
      </c>
      <c r="E47" s="50">
        <f>0</f>
        <v/>
      </c>
      <c r="F47" s="50">
        <f>0</f>
        <v/>
      </c>
      <c r="G47" s="50">
        <f>0</f>
        <v/>
      </c>
      <c r="H47" s="50">
        <f>0</f>
        <v/>
      </c>
      <c r="I47" s="50">
        <f>0</f>
        <v/>
      </c>
      <c r="J47" s="50">
        <f>0</f>
        <v/>
      </c>
      <c r="K47" s="50">
        <f>0</f>
        <v/>
      </c>
      <c r="L47" s="50">
        <f>0</f>
        <v/>
      </c>
      <c r="M47" s="50">
        <f>0</f>
        <v/>
      </c>
      <c r="N47" s="51">
        <f>0</f>
        <v/>
      </c>
      <c r="O47" s="51">
        <f>0</f>
        <v/>
      </c>
      <c r="P47" s="52">
        <f>SUM(B47:M47)+N47+O47</f>
        <v/>
      </c>
    </row>
    <row r="48">
      <c r="A48" s="54" t="inlineStr">
        <is>
          <t>Messaging / CRG Signer</t>
        </is>
      </c>
      <c r="B48" s="50">
        <f>0</f>
        <v/>
      </c>
      <c r="C48" s="50">
        <f>0</f>
        <v/>
      </c>
      <c r="D48" s="50">
        <f>0</f>
        <v/>
      </c>
      <c r="E48" s="50">
        <f>0</f>
        <v/>
      </c>
      <c r="F48" s="50">
        <f>0</f>
        <v/>
      </c>
      <c r="G48" s="50">
        <f>0</f>
        <v/>
      </c>
      <c r="H48" s="50">
        <f>0</f>
        <v/>
      </c>
      <c r="I48" s="50">
        <f>0</f>
        <v/>
      </c>
      <c r="J48" s="50">
        <f>0</f>
        <v/>
      </c>
      <c r="K48" s="50">
        <f>0</f>
        <v/>
      </c>
      <c r="L48" s="50">
        <f>0</f>
        <v/>
      </c>
      <c r="M48" s="50">
        <f>0</f>
        <v/>
      </c>
      <c r="N48" s="51">
        <f>0</f>
        <v/>
      </c>
      <c r="O48" s="51">
        <f>0</f>
        <v/>
      </c>
      <c r="P48" s="52">
        <f>SUM(B48:M48)+N48+O48</f>
        <v/>
      </c>
    </row>
    <row r="49">
      <c r="A49" s="54" t="inlineStr">
        <is>
          <t>NM Room &amp; Board</t>
        </is>
      </c>
      <c r="B49" s="50">
        <f>0</f>
        <v/>
      </c>
      <c r="C49" s="50">
        <f>0</f>
        <v/>
      </c>
      <c r="D49" s="50">
        <f>0</f>
        <v/>
      </c>
      <c r="E49" s="50">
        <f>0</f>
        <v/>
      </c>
      <c r="F49" s="50">
        <f>0</f>
        <v/>
      </c>
      <c r="G49" s="50">
        <f>0</f>
        <v/>
      </c>
      <c r="H49" s="50">
        <f>0</f>
        <v/>
      </c>
      <c r="I49" s="50">
        <f>0</f>
        <v/>
      </c>
      <c r="J49" s="50">
        <f>0</f>
        <v/>
      </c>
      <c r="K49" s="50">
        <f>0</f>
        <v/>
      </c>
      <c r="L49" s="50">
        <f>0</f>
        <v/>
      </c>
      <c r="M49" s="50">
        <f>0</f>
        <v/>
      </c>
      <c r="N49" s="51">
        <f>0</f>
        <v/>
      </c>
      <c r="O49" s="51">
        <f>0</f>
        <v/>
      </c>
      <c r="P49" s="52">
        <f>SUM(B49:M49)+N49+O49</f>
        <v/>
      </c>
    </row>
    <row r="50">
      <c r="A50" s="54" t="inlineStr">
        <is>
          <t>Corporate Labor</t>
        </is>
      </c>
      <c r="B50" s="50">
        <f>0</f>
        <v/>
      </c>
      <c r="C50" s="50">
        <f>0</f>
        <v/>
      </c>
      <c r="D50" s="50">
        <f>0</f>
        <v/>
      </c>
      <c r="E50" s="50">
        <f>0</f>
        <v/>
      </c>
      <c r="F50" s="50">
        <f>0</f>
        <v/>
      </c>
      <c r="G50" s="50">
        <f>0</f>
        <v/>
      </c>
      <c r="H50" s="50">
        <f>0</f>
        <v/>
      </c>
      <c r="I50" s="50">
        <f>0</f>
        <v/>
      </c>
      <c r="J50" s="50">
        <f>0</f>
        <v/>
      </c>
      <c r="K50" s="50">
        <f>0</f>
        <v/>
      </c>
      <c r="L50" s="50">
        <f>0</f>
        <v/>
      </c>
      <c r="M50" s="50">
        <f>0</f>
        <v/>
      </c>
      <c r="N50" s="51">
        <f>0</f>
        <v/>
      </c>
      <c r="O50" s="51">
        <f>0</f>
        <v/>
      </c>
      <c r="P50" s="52">
        <f>SUM(B50:M50)+N50+O50</f>
        <v/>
      </c>
    </row>
    <row r="51">
      <c r="A51" s="54" t="inlineStr">
        <is>
          <t>Marketing</t>
        </is>
      </c>
      <c r="B51" s="50">
        <f>Inputs!$B$103</f>
        <v/>
      </c>
      <c r="C51" s="50">
        <f>Inputs!$B$103</f>
        <v/>
      </c>
      <c r="D51" s="50">
        <f>Inputs!$B$103</f>
        <v/>
      </c>
      <c r="E51" s="50">
        <f>Inputs!$B$103</f>
        <v/>
      </c>
      <c r="F51" s="50">
        <f>Inputs!$B$103</f>
        <v/>
      </c>
      <c r="G51" s="50">
        <f>Inputs!$B$103</f>
        <v/>
      </c>
      <c r="H51" s="50">
        <f>Inputs!$B$103</f>
        <v/>
      </c>
      <c r="I51" s="50">
        <f>Inputs!$B$103</f>
        <v/>
      </c>
      <c r="J51" s="50">
        <f>Inputs!$B$103</f>
        <v/>
      </c>
      <c r="K51" s="50">
        <f>Inputs!$B$103</f>
        <v/>
      </c>
      <c r="L51" s="50">
        <f>Inputs!$B$103</f>
        <v/>
      </c>
      <c r="M51" s="50">
        <f>Inputs!$B$103</f>
        <v/>
      </c>
      <c r="N51" s="51">
        <f>Inputs!$B$103*12</f>
        <v/>
      </c>
      <c r="O51" s="51">
        <f>Inputs!$B$103*12</f>
        <v/>
      </c>
      <c r="P51" s="52">
        <f>SUM(B51:M51)+N51+O51</f>
        <v/>
      </c>
    </row>
    <row r="52">
      <c r="A52" s="54" t="inlineStr">
        <is>
          <t>Outsourced Billing Fee (1.5%)</t>
        </is>
      </c>
      <c r="B52" s="50">
        <f>'Revenue Model'!C14*Inputs!$B$106</f>
        <v/>
      </c>
      <c r="C52" s="50">
        <f>'Revenue Model'!D14*Inputs!$B$106</f>
        <v/>
      </c>
      <c r="D52" s="50">
        <f>'Revenue Model'!E14*Inputs!$B$106</f>
        <v/>
      </c>
      <c r="E52" s="50">
        <f>'Revenue Model'!F14*Inputs!$B$106</f>
        <v/>
      </c>
      <c r="F52" s="50">
        <f>'Revenue Model'!G14*Inputs!$B$106</f>
        <v/>
      </c>
      <c r="G52" s="50">
        <f>'Revenue Model'!H14*Inputs!$B$106</f>
        <v/>
      </c>
      <c r="H52" s="50">
        <f>'Revenue Model'!I14*Inputs!$B$106</f>
        <v/>
      </c>
      <c r="I52" s="50">
        <f>'Revenue Model'!J14*Inputs!$B$106</f>
        <v/>
      </c>
      <c r="J52" s="50">
        <f>'Revenue Model'!K14*Inputs!$B$106</f>
        <v/>
      </c>
      <c r="K52" s="50">
        <f>'Revenue Model'!L14*Inputs!$B$106</f>
        <v/>
      </c>
      <c r="L52" s="50">
        <f>'Revenue Model'!M14*Inputs!$B$106</f>
        <v/>
      </c>
      <c r="M52" s="50">
        <f>'Revenue Model'!N14*Inputs!$B$106</f>
        <v/>
      </c>
      <c r="N52" s="51">
        <f>SUM('Revenue Model'!O14:R14)*Inputs!$B$106</f>
        <v/>
      </c>
      <c r="O52" s="51">
        <f>SUM('Revenue Model'!S14:V14)*Inputs!$B$106</f>
        <v/>
      </c>
      <c r="P52" s="52">
        <f>SUM(B52:M52)+N52+O52</f>
        <v/>
      </c>
    </row>
    <row r="53">
      <c r="A53" s="54" t="inlineStr">
        <is>
          <t>EMR System</t>
        </is>
      </c>
      <c r="B53" s="50">
        <f>Inputs!$B$95</f>
        <v/>
      </c>
      <c r="C53" s="50">
        <f>Inputs!$B$95</f>
        <v/>
      </c>
      <c r="D53" s="50">
        <f>Inputs!$B$95</f>
        <v/>
      </c>
      <c r="E53" s="50">
        <f>Inputs!$B$95</f>
        <v/>
      </c>
      <c r="F53" s="50">
        <f>Inputs!$B$95</f>
        <v/>
      </c>
      <c r="G53" s="50">
        <f>Inputs!$B$95</f>
        <v/>
      </c>
      <c r="H53" s="50">
        <f>Inputs!$B$95</f>
        <v/>
      </c>
      <c r="I53" s="50">
        <f>Inputs!$B$95</f>
        <v/>
      </c>
      <c r="J53" s="50">
        <f>Inputs!$B$95</f>
        <v/>
      </c>
      <c r="K53" s="50">
        <f>Inputs!$B$95</f>
        <v/>
      </c>
      <c r="L53" s="50">
        <f>Inputs!$B$95</f>
        <v/>
      </c>
      <c r="M53" s="50">
        <f>Inputs!$B$95</f>
        <v/>
      </c>
      <c r="N53" s="51">
        <f>Inputs!$B$95*12</f>
        <v/>
      </c>
      <c r="O53" s="51">
        <f>Inputs!$B$95*12</f>
        <v/>
      </c>
      <c r="P53" s="52">
        <f>SUM(B53:M53)+N53+O53</f>
        <v/>
      </c>
    </row>
    <row r="54">
      <c r="A54" s="54" t="inlineStr">
        <is>
          <t>Other EMR</t>
        </is>
      </c>
      <c r="B54" s="50">
        <f>0</f>
        <v/>
      </c>
      <c r="C54" s="50">
        <f>0</f>
        <v/>
      </c>
      <c r="D54" s="50">
        <f>0</f>
        <v/>
      </c>
      <c r="E54" s="50">
        <f>0</f>
        <v/>
      </c>
      <c r="F54" s="50">
        <f>0</f>
        <v/>
      </c>
      <c r="G54" s="50">
        <f>0</f>
        <v/>
      </c>
      <c r="H54" s="50">
        <f>0</f>
        <v/>
      </c>
      <c r="I54" s="50">
        <f>0</f>
        <v/>
      </c>
      <c r="J54" s="50">
        <f>0</f>
        <v/>
      </c>
      <c r="K54" s="50">
        <f>0</f>
        <v/>
      </c>
      <c r="L54" s="50">
        <f>0</f>
        <v/>
      </c>
      <c r="M54" s="50">
        <f>0</f>
        <v/>
      </c>
      <c r="N54" s="51">
        <f>0</f>
        <v/>
      </c>
      <c r="O54" s="51">
        <f>0</f>
        <v/>
      </c>
      <c r="P54" s="52">
        <f>SUM(B54:M54)+N54+O54</f>
        <v/>
      </c>
    </row>
    <row r="55">
      <c r="A55" s="54" t="inlineStr">
        <is>
          <t>PCR (CPM)</t>
        </is>
      </c>
      <c r="B55" s="50">
        <f>Inputs!$B$96</f>
        <v/>
      </c>
      <c r="C55" s="50">
        <f>Inputs!$B$96</f>
        <v/>
      </c>
      <c r="D55" s="50">
        <f>Inputs!$B$96</f>
        <v/>
      </c>
      <c r="E55" s="50">
        <f>Inputs!$B$96</f>
        <v/>
      </c>
      <c r="F55" s="50">
        <f>Inputs!$B$96</f>
        <v/>
      </c>
      <c r="G55" s="50">
        <f>Inputs!$B$96</f>
        <v/>
      </c>
      <c r="H55" s="50">
        <f>Inputs!$B$96</f>
        <v/>
      </c>
      <c r="I55" s="50">
        <f>Inputs!$B$96</f>
        <v/>
      </c>
      <c r="J55" s="50">
        <f>Inputs!$B$96</f>
        <v/>
      </c>
      <c r="K55" s="50">
        <f>Inputs!$B$96</f>
        <v/>
      </c>
      <c r="L55" s="50">
        <f>Inputs!$B$96</f>
        <v/>
      </c>
      <c r="M55" s="50">
        <f>Inputs!$B$96</f>
        <v/>
      </c>
      <c r="N55" s="51">
        <f>Inputs!$B$96*12</f>
        <v/>
      </c>
      <c r="O55" s="51">
        <f>Inputs!$B$96*12</f>
        <v/>
      </c>
      <c r="P55" s="52">
        <f>SUM(B55:M55)+N55+O55</f>
        <v/>
      </c>
    </row>
    <row r="56">
      <c r="A56" s="54" t="inlineStr">
        <is>
          <t>Ancillary</t>
        </is>
      </c>
      <c r="B56" s="50">
        <f>0</f>
        <v/>
      </c>
      <c r="C56" s="50">
        <f>0</f>
        <v/>
      </c>
      <c r="D56" s="50">
        <f>0</f>
        <v/>
      </c>
      <c r="E56" s="50">
        <f>0</f>
        <v/>
      </c>
      <c r="F56" s="50">
        <f>0</f>
        <v/>
      </c>
      <c r="G56" s="50">
        <f>0</f>
        <v/>
      </c>
      <c r="H56" s="50">
        <f>0</f>
        <v/>
      </c>
      <c r="I56" s="50">
        <f>0</f>
        <v/>
      </c>
      <c r="J56" s="50">
        <f>0</f>
        <v/>
      </c>
      <c r="K56" s="50">
        <f>0</f>
        <v/>
      </c>
      <c r="L56" s="50">
        <f>0</f>
        <v/>
      </c>
      <c r="M56" s="50">
        <f>0</f>
        <v/>
      </c>
      <c r="N56" s="51">
        <f>0</f>
        <v/>
      </c>
      <c r="O56" s="51">
        <f>0</f>
        <v/>
      </c>
      <c r="P56" s="52">
        <f>SUM(B56:M56)+N56+O56</f>
        <v/>
      </c>
    </row>
    <row r="57">
      <c r="A57" s="54" t="inlineStr">
        <is>
          <t>Liability Insurance (D&amp;O)</t>
        </is>
      </c>
      <c r="B57" s="50">
        <f>Inputs!$B$98</f>
        <v/>
      </c>
      <c r="C57" s="50">
        <f>Inputs!$B$98</f>
        <v/>
      </c>
      <c r="D57" s="50">
        <f>Inputs!$B$98</f>
        <v/>
      </c>
      <c r="E57" s="50">
        <f>Inputs!$B$98</f>
        <v/>
      </c>
      <c r="F57" s="50">
        <f>Inputs!$B$98</f>
        <v/>
      </c>
      <c r="G57" s="50">
        <f>Inputs!$B$98</f>
        <v/>
      </c>
      <c r="H57" s="50">
        <f>Inputs!$B$98</f>
        <v/>
      </c>
      <c r="I57" s="50">
        <f>Inputs!$B$98</f>
        <v/>
      </c>
      <c r="J57" s="50">
        <f>Inputs!$B$98</f>
        <v/>
      </c>
      <c r="K57" s="50">
        <f>Inputs!$B$98</f>
        <v/>
      </c>
      <c r="L57" s="50">
        <f>Inputs!$B$98</f>
        <v/>
      </c>
      <c r="M57" s="50">
        <f>Inputs!$B$98</f>
        <v/>
      </c>
      <c r="N57" s="51">
        <f>Inputs!$B$98*12</f>
        <v/>
      </c>
      <c r="O57" s="51">
        <f>Inputs!$B$98*12</f>
        <v/>
      </c>
      <c r="P57" s="52">
        <f>SUM(B57:M57)+N57+O57</f>
        <v/>
      </c>
    </row>
    <row r="58">
      <c r="A58" s="54" t="inlineStr">
        <is>
          <t>QR Payment Fee (0.75%)</t>
        </is>
      </c>
      <c r="B58" s="50">
        <f>'Revenue Model'!C14*Inputs!$B$107</f>
        <v/>
      </c>
      <c r="C58" s="50">
        <f>'Revenue Model'!D14*Inputs!$B$107</f>
        <v/>
      </c>
      <c r="D58" s="50">
        <f>'Revenue Model'!E14*Inputs!$B$107</f>
        <v/>
      </c>
      <c r="E58" s="50">
        <f>'Revenue Model'!F14*Inputs!$B$107</f>
        <v/>
      </c>
      <c r="F58" s="50">
        <f>'Revenue Model'!G14*Inputs!$B$107</f>
        <v/>
      </c>
      <c r="G58" s="50">
        <f>'Revenue Model'!H14*Inputs!$B$107</f>
        <v/>
      </c>
      <c r="H58" s="50">
        <f>'Revenue Model'!I14*Inputs!$B$107</f>
        <v/>
      </c>
      <c r="I58" s="50">
        <f>'Revenue Model'!J14*Inputs!$B$107</f>
        <v/>
      </c>
      <c r="J58" s="50">
        <f>'Revenue Model'!K14*Inputs!$B$107</f>
        <v/>
      </c>
      <c r="K58" s="50">
        <f>'Revenue Model'!L14*Inputs!$B$107</f>
        <v/>
      </c>
      <c r="L58" s="50">
        <f>'Revenue Model'!M14*Inputs!$B$107</f>
        <v/>
      </c>
      <c r="M58" s="50">
        <f>'Revenue Model'!N14*Inputs!$B$107</f>
        <v/>
      </c>
      <c r="N58" s="51">
        <f>SUM('Revenue Model'!O14:R14)*Inputs!$B$107</f>
        <v/>
      </c>
      <c r="O58" s="51">
        <f>SUM('Revenue Model'!S14:V14)*Inputs!$B$107</f>
        <v/>
      </c>
      <c r="P58" s="52">
        <f>SUM(B58:M58)+N58+O58</f>
        <v/>
      </c>
    </row>
    <row r="59">
      <c r="A59" s="54" t="inlineStr">
        <is>
          <t>Training / CEUs</t>
        </is>
      </c>
      <c r="B59" s="50">
        <f>Inputs!$B$99</f>
        <v/>
      </c>
      <c r="C59" s="50">
        <f>Inputs!$B$99</f>
        <v/>
      </c>
      <c r="D59" s="50">
        <f>Inputs!$B$99</f>
        <v/>
      </c>
      <c r="E59" s="50">
        <f>Inputs!$B$99</f>
        <v/>
      </c>
      <c r="F59" s="50">
        <f>Inputs!$B$99</f>
        <v/>
      </c>
      <c r="G59" s="50">
        <f>Inputs!$B$99</f>
        <v/>
      </c>
      <c r="H59" s="50">
        <f>Inputs!$B$99</f>
        <v/>
      </c>
      <c r="I59" s="50">
        <f>Inputs!$B$99</f>
        <v/>
      </c>
      <c r="J59" s="50">
        <f>Inputs!$B$99</f>
        <v/>
      </c>
      <c r="K59" s="50">
        <f>Inputs!$B$99</f>
        <v/>
      </c>
      <c r="L59" s="50">
        <f>Inputs!$B$99</f>
        <v/>
      </c>
      <c r="M59" s="50">
        <f>Inputs!$B$99</f>
        <v/>
      </c>
      <c r="N59" s="51">
        <f>Inputs!$B$99*12</f>
        <v/>
      </c>
      <c r="O59" s="51">
        <f>Inputs!$B$99*12</f>
        <v/>
      </c>
      <c r="P59" s="52">
        <f>SUM(B59:M59)+N59+O59</f>
        <v/>
      </c>
    </row>
    <row r="60">
      <c r="A60" s="54" t="inlineStr">
        <is>
          <t>Credit Card Fees</t>
        </is>
      </c>
      <c r="B60" s="50">
        <f>Inputs!$B$97</f>
        <v/>
      </c>
      <c r="C60" s="50">
        <f>Inputs!$B$97</f>
        <v/>
      </c>
      <c r="D60" s="50">
        <f>Inputs!$B$97</f>
        <v/>
      </c>
      <c r="E60" s="50">
        <f>Inputs!$B$97</f>
        <v/>
      </c>
      <c r="F60" s="50">
        <f>Inputs!$B$97</f>
        <v/>
      </c>
      <c r="G60" s="50">
        <f>Inputs!$B$97</f>
        <v/>
      </c>
      <c r="H60" s="50">
        <f>Inputs!$B$97</f>
        <v/>
      </c>
      <c r="I60" s="50">
        <f>Inputs!$B$97</f>
        <v/>
      </c>
      <c r="J60" s="50">
        <f>Inputs!$B$97</f>
        <v/>
      </c>
      <c r="K60" s="50">
        <f>Inputs!$B$97</f>
        <v/>
      </c>
      <c r="L60" s="50">
        <f>Inputs!$B$97</f>
        <v/>
      </c>
      <c r="M60" s="50">
        <f>Inputs!$B$97</f>
        <v/>
      </c>
      <c r="N60" s="51">
        <f>Inputs!$B$97*12</f>
        <v/>
      </c>
      <c r="O60" s="51">
        <f>Inputs!$B$97*12</f>
        <v/>
      </c>
      <c r="P60" s="52">
        <f>SUM(B60:M60)+N60+O60</f>
        <v/>
      </c>
    </row>
    <row r="61">
      <c r="A61" s="54" t="inlineStr">
        <is>
          <t>Other (QPf)</t>
        </is>
      </c>
      <c r="B61" s="50">
        <f>0</f>
        <v/>
      </c>
      <c r="C61" s="50">
        <f>0</f>
        <v/>
      </c>
      <c r="D61" s="50">
        <f>0</f>
        <v/>
      </c>
      <c r="E61" s="50">
        <f>0</f>
        <v/>
      </c>
      <c r="F61" s="50">
        <f>0</f>
        <v/>
      </c>
      <c r="G61" s="50">
        <f>0</f>
        <v/>
      </c>
      <c r="H61" s="50">
        <f>0</f>
        <v/>
      </c>
      <c r="I61" s="50">
        <f>0</f>
        <v/>
      </c>
      <c r="J61" s="50">
        <f>0</f>
        <v/>
      </c>
      <c r="K61" s="50">
        <f>0</f>
        <v/>
      </c>
      <c r="L61" s="50">
        <f>0</f>
        <v/>
      </c>
      <c r="M61" s="50">
        <f>0</f>
        <v/>
      </c>
      <c r="N61" s="51">
        <f>0</f>
        <v/>
      </c>
      <c r="O61" s="51">
        <f>0</f>
        <v/>
      </c>
      <c r="P61" s="52">
        <f>SUM(B61:M61)+N61+O61</f>
        <v/>
      </c>
    </row>
    <row r="62">
      <c r="A62" s="54" t="inlineStr">
        <is>
          <t>Other (Client)</t>
        </is>
      </c>
      <c r="B62" s="50">
        <f>Inputs!$B$100</f>
        <v/>
      </c>
      <c r="C62" s="50">
        <f>Inputs!$B$100</f>
        <v/>
      </c>
      <c r="D62" s="50">
        <f>Inputs!$B$100</f>
        <v/>
      </c>
      <c r="E62" s="50">
        <f>Inputs!$B$100</f>
        <v/>
      </c>
      <c r="F62" s="50">
        <f>Inputs!$B$100</f>
        <v/>
      </c>
      <c r="G62" s="50">
        <f>Inputs!$B$100</f>
        <v/>
      </c>
      <c r="H62" s="50">
        <f>Inputs!$B$100</f>
        <v/>
      </c>
      <c r="I62" s="50">
        <f>Inputs!$B$100</f>
        <v/>
      </c>
      <c r="J62" s="50">
        <f>Inputs!$B$100</f>
        <v/>
      </c>
      <c r="K62" s="50">
        <f>Inputs!$B$100</f>
        <v/>
      </c>
      <c r="L62" s="50">
        <f>Inputs!$B$100</f>
        <v/>
      </c>
      <c r="M62" s="50">
        <f>Inputs!$B$100</f>
        <v/>
      </c>
      <c r="N62" s="51">
        <f>Inputs!$B$100*12</f>
        <v/>
      </c>
      <c r="O62" s="51">
        <f>Inputs!$B$100*12</f>
        <v/>
      </c>
      <c r="P62" s="52">
        <f>SUM(B62:M62)+N62+O62</f>
        <v/>
      </c>
    </row>
    <row r="63">
      <c r="A63" s="12" t="inlineStr">
        <is>
          <t>Total General &amp; Administrative</t>
        </is>
      </c>
      <c r="B63" s="53">
        <f>SUM(B40:B62)</f>
        <v/>
      </c>
      <c r="C63" s="53">
        <f>SUM(C40:C62)</f>
        <v/>
      </c>
      <c r="D63" s="53">
        <f>SUM(D40:D62)</f>
        <v/>
      </c>
      <c r="E63" s="53">
        <f>SUM(E40:E62)</f>
        <v/>
      </c>
      <c r="F63" s="53">
        <f>SUM(F40:F62)</f>
        <v/>
      </c>
      <c r="G63" s="53">
        <f>SUM(G40:G62)</f>
        <v/>
      </c>
      <c r="H63" s="53">
        <f>SUM(H40:H62)</f>
        <v/>
      </c>
      <c r="I63" s="53">
        <f>SUM(I40:I62)</f>
        <v/>
      </c>
      <c r="J63" s="53">
        <f>SUM(J40:J62)</f>
        <v/>
      </c>
      <c r="K63" s="53">
        <f>SUM(K40:K62)</f>
        <v/>
      </c>
      <c r="L63" s="53">
        <f>SUM(L40:L62)</f>
        <v/>
      </c>
      <c r="M63" s="53">
        <f>SUM(M40:M62)</f>
        <v/>
      </c>
      <c r="N63" s="53">
        <f>SUM(N40:N62)</f>
        <v/>
      </c>
      <c r="O63" s="53">
        <f>SUM(O40:O62)</f>
        <v/>
      </c>
      <c r="P63" s="53">
        <f>SUM(P40:P62)</f>
        <v/>
      </c>
    </row>
    <row r="65">
      <c r="A65" s="26" t="inlineStr">
        <is>
          <t>Total Operating Expenses</t>
        </is>
      </c>
      <c r="B65" s="53">
        <f>B37+B63</f>
        <v/>
      </c>
      <c r="C65" s="53">
        <f>C37+C63</f>
        <v/>
      </c>
      <c r="D65" s="53">
        <f>D37+D63</f>
        <v/>
      </c>
      <c r="E65" s="53">
        <f>E37+E63</f>
        <v/>
      </c>
      <c r="F65" s="53">
        <f>F37+F63</f>
        <v/>
      </c>
      <c r="G65" s="53">
        <f>G37+G63</f>
        <v/>
      </c>
      <c r="H65" s="53">
        <f>H37+H63</f>
        <v/>
      </c>
      <c r="I65" s="53">
        <f>I37+I63</f>
        <v/>
      </c>
      <c r="J65" s="53">
        <f>J37+J63</f>
        <v/>
      </c>
      <c r="K65" s="53">
        <f>K37+K63</f>
        <v/>
      </c>
      <c r="L65" s="53">
        <f>L37+L63</f>
        <v/>
      </c>
      <c r="M65" s="53">
        <f>M37+M63</f>
        <v/>
      </c>
      <c r="N65" s="53">
        <f>N37+N63</f>
        <v/>
      </c>
      <c r="O65" s="53">
        <f>O37+O63</f>
        <v/>
      </c>
      <c r="P65" s="53">
        <f>P37+P63</f>
        <v/>
      </c>
    </row>
    <row r="67">
      <c r="A67" s="26" t="inlineStr">
        <is>
          <t>Net Income</t>
        </is>
      </c>
      <c r="B67" s="55">
        <f>B24-B65</f>
        <v/>
      </c>
      <c r="C67" s="55">
        <f>C24-C65</f>
        <v/>
      </c>
      <c r="D67" s="55">
        <f>D24-D65</f>
        <v/>
      </c>
      <c r="E67" s="55">
        <f>E24-E65</f>
        <v/>
      </c>
      <c r="F67" s="55">
        <f>F24-F65</f>
        <v/>
      </c>
      <c r="G67" s="55">
        <f>G24-G65</f>
        <v/>
      </c>
      <c r="H67" s="55">
        <f>H24-H65</f>
        <v/>
      </c>
      <c r="I67" s="55">
        <f>I24-I65</f>
        <v/>
      </c>
      <c r="J67" s="55">
        <f>J24-J65</f>
        <v/>
      </c>
      <c r="K67" s="55">
        <f>K24-K65</f>
        <v/>
      </c>
      <c r="L67" s="55">
        <f>L24-L65</f>
        <v/>
      </c>
      <c r="M67" s="55">
        <f>M24-M65</f>
        <v/>
      </c>
      <c r="N67" s="55">
        <f>N24-N65</f>
        <v/>
      </c>
      <c r="O67" s="55">
        <f>O24-O65</f>
        <v/>
      </c>
      <c r="P67" s="55">
        <f>P24-P65</f>
        <v/>
      </c>
    </row>
    <row r="69">
      <c r="A69" s="12" t="inlineStr">
        <is>
          <t>Net Margin %</t>
        </is>
      </c>
      <c r="B69" s="56">
        <f>IF(B12=0,0,B67/B12)</f>
        <v/>
      </c>
      <c r="C69" s="56">
        <f>IF(C12=0,0,C67/C12)</f>
        <v/>
      </c>
      <c r="D69" s="56">
        <f>IF(D12=0,0,D67/D12)</f>
        <v/>
      </c>
      <c r="E69" s="56">
        <f>IF(E12=0,0,E67/E12)</f>
        <v/>
      </c>
      <c r="F69" s="56">
        <f>IF(F12=0,0,F67/F12)</f>
        <v/>
      </c>
      <c r="G69" s="56">
        <f>IF(G12=0,0,G67/G12)</f>
        <v/>
      </c>
      <c r="H69" s="56">
        <f>IF(H12=0,0,H67/H12)</f>
        <v/>
      </c>
      <c r="I69" s="56">
        <f>IF(I12=0,0,I67/I12)</f>
        <v/>
      </c>
      <c r="J69" s="56">
        <f>IF(J12=0,0,J67/J12)</f>
        <v/>
      </c>
      <c r="K69" s="56">
        <f>IF(K12=0,0,K67/K12)</f>
        <v/>
      </c>
      <c r="L69" s="56">
        <f>IF(L12=0,0,L67/L12)</f>
        <v/>
      </c>
      <c r="M69" s="56">
        <f>IF(M12=0,0,M67/M12)</f>
        <v/>
      </c>
      <c r="N69" s="56">
        <f>IF(N12=0,0,N67/N12)</f>
        <v/>
      </c>
      <c r="O69" s="56">
        <f>IF(O12=0,0,O67/O12)</f>
        <v/>
      </c>
      <c r="P69" s="56">
        <f>IF(P12=0,0,P67/P12)</f>
        <v/>
      </c>
    </row>
    <row r="71">
      <c r="A71" s="29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only (seller paid at close) |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0" t="inlineStr">
        <is>
          <t>($ per period)</t>
        </is>
      </c>
      <c r="C8" s="41" t="inlineStr">
        <is>
          <t>YEAR 1 - monthly</t>
        </is>
      </c>
      <c r="O8" s="41" t="inlineStr">
        <is>
          <t>YEAR 2 - quarterly</t>
        </is>
      </c>
      <c r="S8" s="41" t="inlineStr">
        <is>
          <t>YEAR 3 - quarterly</t>
        </is>
      </c>
    </row>
    <row r="9">
      <c r="A9" s="42" t="inlineStr"/>
      <c r="C9" s="30" t="inlineStr">
        <is>
          <t>M1</t>
        </is>
      </c>
      <c r="D9" s="30" t="inlineStr">
        <is>
          <t>M2</t>
        </is>
      </c>
      <c r="E9" s="30" t="inlineStr">
        <is>
          <t>M3</t>
        </is>
      </c>
      <c r="F9" s="30" t="inlineStr">
        <is>
          <t>M4</t>
        </is>
      </c>
      <c r="G9" s="30" t="inlineStr">
        <is>
          <t>M5</t>
        </is>
      </c>
      <c r="H9" s="30" t="inlineStr">
        <is>
          <t>M6</t>
        </is>
      </c>
      <c r="I9" s="30" t="inlineStr">
        <is>
          <t>M7</t>
        </is>
      </c>
      <c r="J9" s="30" t="inlineStr">
        <is>
          <t>M8</t>
        </is>
      </c>
      <c r="K9" s="30" t="inlineStr">
        <is>
          <t>M9</t>
        </is>
      </c>
      <c r="L9" s="30" t="inlineStr">
        <is>
          <t>M10</t>
        </is>
      </c>
      <c r="M9" s="30" t="inlineStr">
        <is>
          <t>M11</t>
        </is>
      </c>
      <c r="N9" s="30" t="inlineStr">
        <is>
          <t>M12</t>
        </is>
      </c>
      <c r="O9" s="30" t="inlineStr">
        <is>
          <t>Y2 Q1</t>
        </is>
      </c>
      <c r="P9" s="30" t="inlineStr">
        <is>
          <t>Y2 Q2</t>
        </is>
      </c>
      <c r="Q9" s="30" t="inlineStr">
        <is>
          <t>Y2 Q3</t>
        </is>
      </c>
      <c r="R9" s="30" t="inlineStr">
        <is>
          <t>Y2 Q4</t>
        </is>
      </c>
      <c r="S9" s="30" t="inlineStr">
        <is>
          <t>Y3 Q1</t>
        </is>
      </c>
      <c r="T9" s="30" t="inlineStr">
        <is>
          <t>Y3 Q2</t>
        </is>
      </c>
      <c r="U9" s="30" t="inlineStr">
        <is>
          <t>Y3 Q3</t>
        </is>
      </c>
      <c r="V9" s="30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5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6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- PAID AT CLOSE (no seller note; schedule zeroed)</t>
        </is>
      </c>
    </row>
    <row r="18">
      <c r="A18" s="20" t="inlineStr">
        <is>
          <t>Beginning balance</t>
        </is>
      </c>
      <c r="C18" s="25" t="n">
        <v>0</v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6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6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5">
        <f>'Operating Budget'!C24</f>
        <v/>
      </c>
      <c r="D28" s="25">
        <f>'Operating Budget'!D24</f>
        <v/>
      </c>
      <c r="E28" s="25">
        <f>'Operating Budget'!E24</f>
        <v/>
      </c>
      <c r="F28" s="25">
        <f>'Operating Budget'!F24</f>
        <v/>
      </c>
      <c r="G28" s="25">
        <f>'Operating Budget'!G24</f>
        <v/>
      </c>
      <c r="H28" s="25">
        <f>'Operating Budget'!H24</f>
        <v/>
      </c>
      <c r="I28" s="25">
        <f>'Operating Budget'!I24</f>
        <v/>
      </c>
      <c r="J28" s="25">
        <f>'Operating Budget'!J24</f>
        <v/>
      </c>
      <c r="K28" s="25">
        <f>'Operating Budget'!K24</f>
        <v/>
      </c>
      <c r="L28" s="25">
        <f>'Operating Budget'!L24</f>
        <v/>
      </c>
      <c r="M28" s="25">
        <f>'Operating Budget'!M24</f>
        <v/>
      </c>
      <c r="N28" s="25">
        <f>'Operating Budget'!N24</f>
        <v/>
      </c>
      <c r="O28" s="25">
        <f>'Operating Budget'!O24</f>
        <v/>
      </c>
      <c r="P28" s="25">
        <f>'Operating Budget'!P24</f>
        <v/>
      </c>
      <c r="Q28" s="25">
        <f>'Operating Budget'!Q24</f>
        <v/>
      </c>
      <c r="R28" s="25">
        <f>'Operating Budget'!R24</f>
        <v/>
      </c>
      <c r="S28" s="25">
        <f>'Operating Budget'!S24</f>
        <v/>
      </c>
      <c r="T28" s="25">
        <f>'Operating Budget'!T24</f>
        <v/>
      </c>
      <c r="U28" s="25">
        <f>'Operating Budget'!U24</f>
        <v/>
      </c>
      <c r="V28" s="25">
        <f>'Operating Budget'!V24</f>
        <v/>
      </c>
    </row>
    <row r="29">
      <c r="A29" s="26" t="inlineStr">
        <is>
          <t>COMBINED DSCR (period)</t>
        </is>
      </c>
      <c r="C29" s="67">
        <f>IF(C27=0,0,C28/C27)</f>
        <v/>
      </c>
      <c r="D29" s="67">
        <f>IF(D27=0,0,D28/D27)</f>
        <v/>
      </c>
      <c r="E29" s="67">
        <f>IF(E27=0,0,E28/E27)</f>
        <v/>
      </c>
      <c r="F29" s="67">
        <f>IF(F27=0,0,F28/F27)</f>
        <v/>
      </c>
      <c r="G29" s="67">
        <f>IF(G27=0,0,G28/G27)</f>
        <v/>
      </c>
      <c r="H29" s="67">
        <f>IF(H27=0,0,H28/H27)</f>
        <v/>
      </c>
      <c r="I29" s="67">
        <f>IF(I27=0,0,I28/I27)</f>
        <v/>
      </c>
      <c r="J29" s="67">
        <f>IF(J27=0,0,J28/J27)</f>
        <v/>
      </c>
      <c r="K29" s="67">
        <f>IF(K27=0,0,K28/K27)</f>
        <v/>
      </c>
      <c r="L29" s="67">
        <f>IF(L27=0,0,L28/L27)</f>
        <v/>
      </c>
      <c r="M29" s="67">
        <f>IF(M27=0,0,M28/M27)</f>
        <v/>
      </c>
      <c r="N29" s="67">
        <f>IF(N27=0,0,N28/N27)</f>
        <v/>
      </c>
      <c r="O29" s="67">
        <f>IF(O27=0,0,O28/O27)</f>
        <v/>
      </c>
      <c r="P29" s="67">
        <f>IF(P27=0,0,P28/P27)</f>
        <v/>
      </c>
      <c r="Q29" s="67">
        <f>IF(Q27=0,0,Q28/Q27)</f>
        <v/>
      </c>
      <c r="R29" s="67">
        <f>IF(R27=0,0,R28/R27)</f>
        <v/>
      </c>
      <c r="S29" s="67">
        <f>IF(S27=0,0,S28/S27)</f>
        <v/>
      </c>
      <c r="T29" s="67">
        <f>IF(T27=0,0,T28/T27)</f>
        <v/>
      </c>
      <c r="U29" s="67">
        <f>IF(U27=0,0,U28/U27)</f>
        <v/>
      </c>
      <c r="V29" s="67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0" t="inlineStr">
        <is>
          <t>($ per period)</t>
        </is>
      </c>
      <c r="B4" s="41" t="inlineStr">
        <is>
          <t>Opening</t>
        </is>
      </c>
      <c r="C4" s="41" t="inlineStr">
        <is>
          <t>YEAR 1 - monthly</t>
        </is>
      </c>
      <c r="O4" s="41" t="inlineStr">
        <is>
          <t>YEAR 2 - quarterly</t>
        </is>
      </c>
      <c r="S4" s="41" t="inlineStr">
        <is>
          <t>YEAR 3 - quarterly</t>
        </is>
      </c>
    </row>
    <row r="5">
      <c r="A5" s="42" t="inlineStr"/>
      <c r="C5" s="30" t="inlineStr">
        <is>
          <t>M1</t>
        </is>
      </c>
      <c r="D5" s="30" t="inlineStr">
        <is>
          <t>M2</t>
        </is>
      </c>
      <c r="E5" s="30" t="inlineStr">
        <is>
          <t>M3</t>
        </is>
      </c>
      <c r="F5" s="30" t="inlineStr">
        <is>
          <t>M4</t>
        </is>
      </c>
      <c r="G5" s="30" t="inlineStr">
        <is>
          <t>M5</t>
        </is>
      </c>
      <c r="H5" s="30" t="inlineStr">
        <is>
          <t>M6</t>
        </is>
      </c>
      <c r="I5" s="30" t="inlineStr">
        <is>
          <t>M7</t>
        </is>
      </c>
      <c r="J5" s="30" t="inlineStr">
        <is>
          <t>M8</t>
        </is>
      </c>
      <c r="K5" s="30" t="inlineStr">
        <is>
          <t>M9</t>
        </is>
      </c>
      <c r="L5" s="30" t="inlineStr">
        <is>
          <t>M10</t>
        </is>
      </c>
      <c r="M5" s="30" t="inlineStr">
        <is>
          <t>M11</t>
        </is>
      </c>
      <c r="N5" s="30" t="inlineStr">
        <is>
          <t>M12</t>
        </is>
      </c>
      <c r="O5" s="30" t="inlineStr">
        <is>
          <t>Y2 Q1</t>
        </is>
      </c>
      <c r="P5" s="30" t="inlineStr">
        <is>
          <t>Y2 Q2</t>
        </is>
      </c>
      <c r="Q5" s="30" t="inlineStr">
        <is>
          <t>Y2 Q3</t>
        </is>
      </c>
      <c r="R5" s="30" t="inlineStr">
        <is>
          <t>Y2 Q4</t>
        </is>
      </c>
      <c r="S5" s="30" t="inlineStr">
        <is>
          <t>Y3 Q1</t>
        </is>
      </c>
      <c r="T5" s="30" t="inlineStr">
        <is>
          <t>Y3 Q2</t>
        </is>
      </c>
      <c r="U5" s="30" t="inlineStr">
        <is>
          <t>Y3 Q3</t>
        </is>
      </c>
      <c r="V5" s="30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5">
        <f>'Operating Budget'!C34</f>
        <v/>
      </c>
      <c r="D7" s="25">
        <f>'Operating Budget'!D34</f>
        <v/>
      </c>
      <c r="E7" s="25">
        <f>'Operating Budget'!E34</f>
        <v/>
      </c>
      <c r="F7" s="25">
        <f>'Operating Budget'!F34</f>
        <v/>
      </c>
      <c r="G7" s="25">
        <f>'Operating Budget'!G34</f>
        <v/>
      </c>
      <c r="H7" s="25">
        <f>'Operating Budget'!H34</f>
        <v/>
      </c>
      <c r="I7" s="25">
        <f>'Operating Budget'!I34</f>
        <v/>
      </c>
      <c r="J7" s="25">
        <f>'Operating Budget'!J34</f>
        <v/>
      </c>
      <c r="K7" s="25">
        <f>'Operating Budget'!K34</f>
        <v/>
      </c>
      <c r="L7" s="25">
        <f>'Operating Budget'!L34</f>
        <v/>
      </c>
      <c r="M7" s="25">
        <f>'Operating Budget'!M34</f>
        <v/>
      </c>
      <c r="N7" s="25">
        <f>'Operating Budget'!N34</f>
        <v/>
      </c>
      <c r="O7" s="25">
        <f>'Operating Budget'!O34</f>
        <v/>
      </c>
      <c r="P7" s="25">
        <f>'Operating Budget'!P34</f>
        <v/>
      </c>
      <c r="Q7" s="25">
        <f>'Operating Budget'!Q34</f>
        <v/>
      </c>
      <c r="R7" s="25">
        <f>'Operating Budget'!R34</f>
        <v/>
      </c>
      <c r="S7" s="25">
        <f>'Operating Budget'!S34</f>
        <v/>
      </c>
      <c r="T7" s="25">
        <f>'Operating Budget'!T34</f>
        <v/>
      </c>
      <c r="U7" s="25">
        <f>'Operating Budget'!U34</f>
        <v/>
      </c>
      <c r="V7" s="25">
        <f>'Operating Budget'!V34</f>
        <v/>
      </c>
    </row>
    <row r="8">
      <c r="A8" s="4" t="inlineStr">
        <is>
          <t>+ Depreciation &amp; amortization</t>
        </is>
      </c>
      <c r="C8" s="25">
        <f>'Operating Budget'!C28</f>
        <v/>
      </c>
      <c r="D8" s="25">
        <f>'Operating Budget'!D28</f>
        <v/>
      </c>
      <c r="E8" s="25">
        <f>'Operating Budget'!E28</f>
        <v/>
      </c>
      <c r="F8" s="25">
        <f>'Operating Budget'!F28</f>
        <v/>
      </c>
      <c r="G8" s="25">
        <f>'Operating Budget'!G28</f>
        <v/>
      </c>
      <c r="H8" s="25">
        <f>'Operating Budget'!H28</f>
        <v/>
      </c>
      <c r="I8" s="25">
        <f>'Operating Budget'!I28</f>
        <v/>
      </c>
      <c r="J8" s="25">
        <f>'Operating Budget'!J28</f>
        <v/>
      </c>
      <c r="K8" s="25">
        <f>'Operating Budget'!K28</f>
        <v/>
      </c>
      <c r="L8" s="25">
        <f>'Operating Budget'!L28</f>
        <v/>
      </c>
      <c r="M8" s="25">
        <f>'Operating Budget'!M28</f>
        <v/>
      </c>
      <c r="N8" s="25">
        <f>'Operating Budget'!N28</f>
        <v/>
      </c>
      <c r="O8" s="25">
        <f>'Operating Budget'!O28</f>
        <v/>
      </c>
      <c r="P8" s="25">
        <f>'Operating Budget'!P28</f>
        <v/>
      </c>
      <c r="Q8" s="25">
        <f>'Operating Budget'!Q28</f>
        <v/>
      </c>
      <c r="R8" s="25">
        <f>'Operating Budget'!R28</f>
        <v/>
      </c>
      <c r="S8" s="25">
        <f>'Operating Budget'!S28</f>
        <v/>
      </c>
      <c r="T8" s="25">
        <f>'Operating Budget'!T28</f>
        <v/>
      </c>
      <c r="U8" s="25">
        <f>'Operating Budget'!U28</f>
        <v/>
      </c>
      <c r="V8" s="25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5">
        <f>'Revenue Model'!C17*Inputs!$B$134/'Revenue Model'!C11</f>
        <v/>
      </c>
      <c r="D9" s="25">
        <f>'Revenue Model'!D17*Inputs!$B$134/'Revenue Model'!D11</f>
        <v/>
      </c>
      <c r="E9" s="25">
        <f>'Revenue Model'!E17*Inputs!$B$134/'Revenue Model'!E11</f>
        <v/>
      </c>
      <c r="F9" s="25">
        <f>'Revenue Model'!F17*Inputs!$B$134/'Revenue Model'!F11</f>
        <v/>
      </c>
      <c r="G9" s="25">
        <f>'Revenue Model'!G17*Inputs!$B$134/'Revenue Model'!G11</f>
        <v/>
      </c>
      <c r="H9" s="25">
        <f>'Revenue Model'!H17*Inputs!$B$134/'Revenue Model'!H11</f>
        <v/>
      </c>
      <c r="I9" s="25">
        <f>'Revenue Model'!I17*Inputs!$B$134/'Revenue Model'!I11</f>
        <v/>
      </c>
      <c r="J9" s="25">
        <f>'Revenue Model'!J17*Inputs!$B$134/'Revenue Model'!J11</f>
        <v/>
      </c>
      <c r="K9" s="25">
        <f>'Revenue Model'!K17*Inputs!$B$134/'Revenue Model'!K11</f>
        <v/>
      </c>
      <c r="L9" s="25">
        <f>'Revenue Model'!L17*Inputs!$B$134/'Revenue Model'!L11</f>
        <v/>
      </c>
      <c r="M9" s="25">
        <f>'Revenue Model'!M17*Inputs!$B$134/'Revenue Model'!M11</f>
        <v/>
      </c>
      <c r="N9" s="25">
        <f>'Revenue Model'!N17*Inputs!$B$134/'Revenue Model'!N11</f>
        <v/>
      </c>
      <c r="O9" s="25">
        <f>'Revenue Model'!O17*Inputs!$B$134/'Revenue Model'!O11</f>
        <v/>
      </c>
      <c r="P9" s="25">
        <f>'Revenue Model'!P17*Inputs!$B$134/'Revenue Model'!P11</f>
        <v/>
      </c>
      <c r="Q9" s="25">
        <f>'Revenue Model'!Q17*Inputs!$B$134/'Revenue Model'!Q11</f>
        <v/>
      </c>
      <c r="R9" s="25">
        <f>'Revenue Model'!R17*Inputs!$B$134/'Revenue Model'!R11</f>
        <v/>
      </c>
      <c r="S9" s="25">
        <f>'Revenue Model'!S17*Inputs!$B$134/'Revenue Model'!S11</f>
        <v/>
      </c>
      <c r="T9" s="25">
        <f>'Revenue Model'!T17*Inputs!$B$134/'Revenue Model'!T11</f>
        <v/>
      </c>
      <c r="U9" s="25">
        <f>'Revenue Model'!U17*Inputs!$B$134/'Revenue Model'!U11</f>
        <v/>
      </c>
      <c r="V9" s="25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5">
        <f>('Operating Budget'!C20+'Operating Budget'!C22+'Operating Budget'!C13)*Inputs!$B$135/'Revenue Model'!C11</f>
        <v/>
      </c>
      <c r="D10" s="25">
        <f>('Operating Budget'!D20+'Operating Budget'!D22+'Operating Budget'!D13)*Inputs!$B$135/'Revenue Model'!D11</f>
        <v/>
      </c>
      <c r="E10" s="25">
        <f>('Operating Budget'!E20+'Operating Budget'!E22+'Operating Budget'!E13)*Inputs!$B$135/'Revenue Model'!E11</f>
        <v/>
      </c>
      <c r="F10" s="25">
        <f>('Operating Budget'!F20+'Operating Budget'!F22+'Operating Budget'!F13)*Inputs!$B$135/'Revenue Model'!F11</f>
        <v/>
      </c>
      <c r="G10" s="25">
        <f>('Operating Budget'!G20+'Operating Budget'!G22+'Operating Budget'!G13)*Inputs!$B$135/'Revenue Model'!G11</f>
        <v/>
      </c>
      <c r="H10" s="25">
        <f>('Operating Budget'!H20+'Operating Budget'!H22+'Operating Budget'!H13)*Inputs!$B$135/'Revenue Model'!H11</f>
        <v/>
      </c>
      <c r="I10" s="25">
        <f>('Operating Budget'!I20+'Operating Budget'!I22+'Operating Budget'!I13)*Inputs!$B$135/'Revenue Model'!I11</f>
        <v/>
      </c>
      <c r="J10" s="25">
        <f>('Operating Budget'!J20+'Operating Budget'!J22+'Operating Budget'!J13)*Inputs!$B$135/'Revenue Model'!J11</f>
        <v/>
      </c>
      <c r="K10" s="25">
        <f>('Operating Budget'!K20+'Operating Budget'!K22+'Operating Budget'!K13)*Inputs!$B$135/'Revenue Model'!K11</f>
        <v/>
      </c>
      <c r="L10" s="25">
        <f>('Operating Budget'!L20+'Operating Budget'!L22+'Operating Budget'!L13)*Inputs!$B$135/'Revenue Model'!L11</f>
        <v/>
      </c>
      <c r="M10" s="25">
        <f>('Operating Budget'!M20+'Operating Budget'!M22+'Operating Budget'!M13)*Inputs!$B$135/'Revenue Model'!M11</f>
        <v/>
      </c>
      <c r="N10" s="25">
        <f>('Operating Budget'!N20+'Operating Budget'!N22+'Operating Budget'!N13)*Inputs!$B$135/'Revenue Model'!N11</f>
        <v/>
      </c>
      <c r="O10" s="25">
        <f>('Operating Budget'!O20+'Operating Budget'!O22+'Operating Budget'!O13)*Inputs!$B$135/'Revenue Model'!O11</f>
        <v/>
      </c>
      <c r="P10" s="25">
        <f>('Operating Budget'!P20+'Operating Budget'!P22+'Operating Budget'!P13)*Inputs!$B$135/'Revenue Model'!P11</f>
        <v/>
      </c>
      <c r="Q10" s="25">
        <f>('Operating Budget'!Q20+'Operating Budget'!Q22+'Operating Budget'!Q13)*Inputs!$B$135/'Revenue Model'!Q11</f>
        <v/>
      </c>
      <c r="R10" s="25">
        <f>('Operating Budget'!R20+'Operating Budget'!R22+'Operating Budget'!R13)*Inputs!$B$135/'Revenue Model'!R11</f>
        <v/>
      </c>
      <c r="S10" s="25">
        <f>('Operating Budget'!S20+'Operating Budget'!S22+'Operating Budget'!S13)*Inputs!$B$135/'Revenue Model'!S11</f>
        <v/>
      </c>
      <c r="T10" s="25">
        <f>('Operating Budget'!T20+'Operating Budget'!T22+'Operating Budget'!T13)*Inputs!$B$135/'Revenue Model'!T11</f>
        <v/>
      </c>
      <c r="U10" s="25">
        <f>('Operating Budget'!U20+'Operating Budget'!U22+'Operating Budget'!U13)*Inputs!$B$135/'Revenue Model'!U11</f>
        <v/>
      </c>
      <c r="V10" s="25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6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25">
        <f>-'Debt Schedule'!C14</f>
        <v/>
      </c>
      <c r="D14" s="25">
        <f>-'Debt Schedule'!D14</f>
        <v/>
      </c>
      <c r="E14" s="25">
        <f>-'Debt Schedule'!E14</f>
        <v/>
      </c>
      <c r="F14" s="25">
        <f>-'Debt Schedule'!F14</f>
        <v/>
      </c>
      <c r="G14" s="25">
        <f>-'Debt Schedule'!G14</f>
        <v/>
      </c>
      <c r="H14" s="25">
        <f>-'Debt Schedule'!H14</f>
        <v/>
      </c>
      <c r="I14" s="25">
        <f>-'Debt Schedule'!I14</f>
        <v/>
      </c>
      <c r="J14" s="25">
        <f>-'Debt Schedule'!J14</f>
        <v/>
      </c>
      <c r="K14" s="25">
        <f>-'Debt Schedule'!K14</f>
        <v/>
      </c>
      <c r="L14" s="25">
        <f>-'Debt Schedule'!L14</f>
        <v/>
      </c>
      <c r="M14" s="25">
        <f>-'Debt Schedule'!M14</f>
        <v/>
      </c>
      <c r="N14" s="25">
        <f>-'Debt Schedule'!N14</f>
        <v/>
      </c>
      <c r="O14" s="25">
        <f>-'Debt Schedule'!O14</f>
        <v/>
      </c>
      <c r="P14" s="25">
        <f>-'Debt Schedule'!P14</f>
        <v/>
      </c>
      <c r="Q14" s="25">
        <f>-'Debt Schedule'!Q14</f>
        <v/>
      </c>
      <c r="R14" s="25">
        <f>-'Debt Schedule'!R14</f>
        <v/>
      </c>
      <c r="S14" s="25">
        <f>-'Debt Schedule'!S14</f>
        <v/>
      </c>
      <c r="T14" s="25">
        <f>-'Debt Schedule'!T14</f>
        <v/>
      </c>
      <c r="U14" s="25">
        <f>-'Debt Schedule'!U14</f>
        <v/>
      </c>
      <c r="V14" s="25">
        <f>-'Debt Schedule'!V14</f>
        <v/>
      </c>
    </row>
    <row r="15">
      <c r="A15" s="4" t="inlineStr">
        <is>
          <t>- Hickory license note principal</t>
        </is>
      </c>
      <c r="C15" s="25">
        <f>-'Debt Schedule'!C20</f>
        <v/>
      </c>
      <c r="D15" s="25">
        <f>-'Debt Schedule'!D20</f>
        <v/>
      </c>
      <c r="E15" s="25">
        <f>-'Debt Schedule'!E20</f>
        <v/>
      </c>
      <c r="F15" s="25">
        <f>-'Debt Schedule'!F20</f>
        <v/>
      </c>
      <c r="G15" s="25">
        <f>-'Debt Schedule'!G20</f>
        <v/>
      </c>
      <c r="H15" s="25">
        <f>-'Debt Schedule'!H20</f>
        <v/>
      </c>
      <c r="I15" s="25">
        <f>-'Debt Schedule'!I20</f>
        <v/>
      </c>
      <c r="J15" s="25">
        <f>-'Debt Schedule'!J20</f>
        <v/>
      </c>
      <c r="K15" s="25">
        <f>-'Debt Schedule'!K20</f>
        <v/>
      </c>
      <c r="L15" s="25">
        <f>-'Debt Schedule'!L20</f>
        <v/>
      </c>
      <c r="M15" s="25">
        <f>-'Debt Schedule'!M20</f>
        <v/>
      </c>
      <c r="N15" s="25">
        <f>-'Debt Schedule'!N20</f>
        <v/>
      </c>
      <c r="O15" s="25">
        <f>-'Debt Schedule'!O20</f>
        <v/>
      </c>
      <c r="P15" s="25">
        <f>-'Debt Schedule'!P20</f>
        <v/>
      </c>
      <c r="Q15" s="25">
        <f>-'Debt Schedule'!Q20</f>
        <v/>
      </c>
      <c r="R15" s="25">
        <f>-'Debt Schedule'!R20</f>
        <v/>
      </c>
      <c r="S15" s="25">
        <f>-'Debt Schedule'!S20</f>
        <v/>
      </c>
      <c r="T15" s="25">
        <f>-'Debt Schedule'!T20</f>
        <v/>
      </c>
      <c r="U15" s="25">
        <f>-'Debt Schedule'!U20</f>
        <v/>
      </c>
      <c r="V15" s="25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5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6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6" t="inlineStr">
        <is>
          <t>ENDING CASH</t>
        </is>
      </c>
      <c r="C21" s="45">
        <f>C18+C19</f>
        <v/>
      </c>
      <c r="D21" s="45">
        <f>D18+D19</f>
        <v/>
      </c>
      <c r="E21" s="45">
        <f>E18+E19</f>
        <v/>
      </c>
      <c r="F21" s="45">
        <f>F18+F19</f>
        <v/>
      </c>
      <c r="G21" s="45">
        <f>G18+G19</f>
        <v/>
      </c>
      <c r="H21" s="45">
        <f>H18+H19</f>
        <v/>
      </c>
      <c r="I21" s="45">
        <f>I18+I19</f>
        <v/>
      </c>
      <c r="J21" s="45">
        <f>J18+J19</f>
        <v/>
      </c>
      <c r="K21" s="45">
        <f>K18+K19</f>
        <v/>
      </c>
      <c r="L21" s="45">
        <f>L18+L19</f>
        <v/>
      </c>
      <c r="M21" s="45">
        <f>M18+M19</f>
        <v/>
      </c>
      <c r="N21" s="45">
        <f>N18+N19</f>
        <v/>
      </c>
      <c r="O21" s="45">
        <f>O18+O19</f>
        <v/>
      </c>
      <c r="P21" s="45">
        <f>P18+P19</f>
        <v/>
      </c>
      <c r="Q21" s="45">
        <f>Q18+Q19</f>
        <v/>
      </c>
      <c r="R21" s="45">
        <f>R18+R19</f>
        <v/>
      </c>
      <c r="S21" s="45">
        <f>S18+S19</f>
        <v/>
      </c>
      <c r="T21" s="45">
        <f>T18+T19</f>
        <v/>
      </c>
      <c r="U21" s="45">
        <f>U18+U19</f>
        <v/>
      </c>
      <c r="V21" s="45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5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5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5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5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6" t="inlineStr">
        <is>
          <t>TOTAL ASSETS</t>
        </is>
      </c>
      <c r="B29" s="58">
        <f>B24+B25+B26+B27+B28</f>
        <v/>
      </c>
      <c r="C29" s="58">
        <f>C24+C25+C26+C27+C28</f>
        <v/>
      </c>
      <c r="D29" s="58">
        <f>D24+D25+D26+D27+D28</f>
        <v/>
      </c>
      <c r="E29" s="58">
        <f>E24+E25+E26+E27+E28</f>
        <v/>
      </c>
      <c r="F29" s="58">
        <f>F24+F25+F26+F27+F28</f>
        <v/>
      </c>
      <c r="G29" s="58">
        <f>G24+G25+G26+G27+G28</f>
        <v/>
      </c>
      <c r="H29" s="58">
        <f>H24+H25+H26+H27+H28</f>
        <v/>
      </c>
      <c r="I29" s="58">
        <f>I24+I25+I26+I27+I28</f>
        <v/>
      </c>
      <c r="J29" s="58">
        <f>J24+J25+J26+J27+J28</f>
        <v/>
      </c>
      <c r="K29" s="58">
        <f>K24+K25+K26+K27+K28</f>
        <v/>
      </c>
      <c r="L29" s="58">
        <f>L24+L25+L26+L27+L28</f>
        <v/>
      </c>
      <c r="M29" s="58">
        <f>M24+M25+M26+M27+M28</f>
        <v/>
      </c>
      <c r="N29" s="58">
        <f>N24+N25+N26+N27+N28</f>
        <v/>
      </c>
      <c r="O29" s="58">
        <f>O24+O25+O26+O27+O28</f>
        <v/>
      </c>
      <c r="P29" s="58">
        <f>P24+P25+P26+P27+P28</f>
        <v/>
      </c>
      <c r="Q29" s="58">
        <f>Q24+Q25+Q26+Q27+Q28</f>
        <v/>
      </c>
      <c r="R29" s="58">
        <f>R24+R25+R26+R27+R28</f>
        <v/>
      </c>
      <c r="S29" s="58">
        <f>S24+S25+S26+S27+S28</f>
        <v/>
      </c>
      <c r="T29" s="58">
        <f>T24+T25+T26+T27+T28</f>
        <v/>
      </c>
      <c r="U29" s="58">
        <f>U24+U25+U26+U27+U28</f>
        <v/>
      </c>
      <c r="V29" s="58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5">
        <f>Inputs!$B$110</f>
        <v/>
      </c>
      <c r="C33" s="25">
        <f>'Debt Schedule'!C15</f>
        <v/>
      </c>
      <c r="D33" s="25">
        <f>'Debt Schedule'!D15</f>
        <v/>
      </c>
      <c r="E33" s="25">
        <f>'Debt Schedule'!E15</f>
        <v/>
      </c>
      <c r="F33" s="25">
        <f>'Debt Schedule'!F15</f>
        <v/>
      </c>
      <c r="G33" s="25">
        <f>'Debt Schedule'!G15</f>
        <v/>
      </c>
      <c r="H33" s="25">
        <f>'Debt Schedule'!H15</f>
        <v/>
      </c>
      <c r="I33" s="25">
        <f>'Debt Schedule'!I15</f>
        <v/>
      </c>
      <c r="J33" s="25">
        <f>'Debt Schedule'!J15</f>
        <v/>
      </c>
      <c r="K33" s="25">
        <f>'Debt Schedule'!K15</f>
        <v/>
      </c>
      <c r="L33" s="25">
        <f>'Debt Schedule'!L15</f>
        <v/>
      </c>
      <c r="M33" s="25">
        <f>'Debt Schedule'!M15</f>
        <v/>
      </c>
      <c r="N33" s="25">
        <f>'Debt Schedule'!N15</f>
        <v/>
      </c>
      <c r="O33" s="25">
        <f>'Debt Schedule'!O15</f>
        <v/>
      </c>
      <c r="P33" s="25">
        <f>'Debt Schedule'!P15</f>
        <v/>
      </c>
      <c r="Q33" s="25">
        <f>'Debt Schedule'!Q15</f>
        <v/>
      </c>
      <c r="R33" s="25">
        <f>'Debt Schedule'!R15</f>
        <v/>
      </c>
      <c r="S33" s="25">
        <f>'Debt Schedule'!S15</f>
        <v/>
      </c>
      <c r="T33" s="25">
        <f>'Debt Schedule'!T15</f>
        <v/>
      </c>
      <c r="U33" s="25">
        <f>'Debt Schedule'!U15</f>
        <v/>
      </c>
      <c r="V33" s="25">
        <f>'Debt Schedule'!V15</f>
        <v/>
      </c>
    </row>
    <row r="34">
      <c r="A34" s="4" t="inlineStr">
        <is>
          <t>Hickory license note balance</t>
        </is>
      </c>
      <c r="B34" s="25" t="n">
        <v>0</v>
      </c>
      <c r="C34" s="25">
        <f>'Debt Schedule'!C22</f>
        <v/>
      </c>
      <c r="D34" s="25">
        <f>'Debt Schedule'!D22</f>
        <v/>
      </c>
      <c r="E34" s="25">
        <f>'Debt Schedule'!E22</f>
        <v/>
      </c>
      <c r="F34" s="25">
        <f>'Debt Schedule'!F22</f>
        <v/>
      </c>
      <c r="G34" s="25">
        <f>'Debt Schedule'!G22</f>
        <v/>
      </c>
      <c r="H34" s="25">
        <f>'Debt Schedule'!H22</f>
        <v/>
      </c>
      <c r="I34" s="25">
        <f>'Debt Schedule'!I22</f>
        <v/>
      </c>
      <c r="J34" s="25">
        <f>'Debt Schedule'!J22</f>
        <v/>
      </c>
      <c r="K34" s="25">
        <f>'Debt Schedule'!K22</f>
        <v/>
      </c>
      <c r="L34" s="25">
        <f>'Debt Schedule'!L22</f>
        <v/>
      </c>
      <c r="M34" s="25">
        <f>'Debt Schedule'!M22</f>
        <v/>
      </c>
      <c r="N34" s="25">
        <f>'Debt Schedule'!N22</f>
        <v/>
      </c>
      <c r="O34" s="25">
        <f>'Debt Schedule'!O22</f>
        <v/>
      </c>
      <c r="P34" s="25">
        <f>'Debt Schedule'!P22</f>
        <v/>
      </c>
      <c r="Q34" s="25">
        <f>'Debt Schedule'!Q22</f>
        <v/>
      </c>
      <c r="R34" s="25">
        <f>'Debt Schedule'!R22</f>
        <v/>
      </c>
      <c r="S34" s="25">
        <f>'Debt Schedule'!S22</f>
        <v/>
      </c>
      <c r="T34" s="25">
        <f>'Debt Schedule'!T22</f>
        <v/>
      </c>
      <c r="U34" s="25">
        <f>'Debt Schedule'!U22</f>
        <v/>
      </c>
      <c r="V34" s="25">
        <f>'Debt Schedule'!V22</f>
        <v/>
      </c>
    </row>
    <row r="35">
      <c r="A35" s="4" t="inlineStr">
        <is>
          <t>Paid-in equity</t>
        </is>
      </c>
      <c r="B35" s="59">
        <f>Inputs!$B$113</f>
        <v/>
      </c>
      <c r="C35" s="59">
        <f>Inputs!$B$113</f>
        <v/>
      </c>
      <c r="D35" s="59">
        <f>Inputs!$B$113</f>
        <v/>
      </c>
      <c r="E35" s="59">
        <f>Inputs!$B$113</f>
        <v/>
      </c>
      <c r="F35" s="59">
        <f>Inputs!$B$113</f>
        <v/>
      </c>
      <c r="G35" s="59">
        <f>Inputs!$B$113</f>
        <v/>
      </c>
      <c r="H35" s="59">
        <f>Inputs!$B$113</f>
        <v/>
      </c>
      <c r="I35" s="59">
        <f>Inputs!$B$113</f>
        <v/>
      </c>
      <c r="J35" s="59">
        <f>Inputs!$B$113</f>
        <v/>
      </c>
      <c r="K35" s="59">
        <f>Inputs!$B$113</f>
        <v/>
      </c>
      <c r="L35" s="59">
        <f>Inputs!$B$113</f>
        <v/>
      </c>
      <c r="M35" s="59">
        <f>Inputs!$B$113</f>
        <v/>
      </c>
      <c r="N35" s="59">
        <f>Inputs!$B$113</f>
        <v/>
      </c>
      <c r="O35" s="59">
        <f>Inputs!$B$113</f>
        <v/>
      </c>
      <c r="P35" s="59">
        <f>Inputs!$B$113</f>
        <v/>
      </c>
      <c r="Q35" s="59">
        <f>Inputs!$B$113</f>
        <v/>
      </c>
      <c r="R35" s="59">
        <f>Inputs!$B$113</f>
        <v/>
      </c>
      <c r="S35" s="59">
        <f>Inputs!$B$113</f>
        <v/>
      </c>
      <c r="T35" s="59">
        <f>Inputs!$B$113</f>
        <v/>
      </c>
      <c r="U35" s="59">
        <f>Inputs!$B$113</f>
        <v/>
      </c>
      <c r="V35" s="59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6" t="inlineStr">
        <is>
          <t>TOTAL LIABILITIES &amp; EQUITY</t>
        </is>
      </c>
      <c r="B37" s="58">
        <f>B31+B32+B33+B34+B35+B36</f>
        <v/>
      </c>
      <c r="C37" s="58">
        <f>C31+C32+C33+C34+C35+C36</f>
        <v/>
      </c>
      <c r="D37" s="58">
        <f>D31+D32+D33+D34+D35+D36</f>
        <v/>
      </c>
      <c r="E37" s="58">
        <f>E31+E32+E33+E34+E35+E36</f>
        <v/>
      </c>
      <c r="F37" s="58">
        <f>F31+F32+F33+F34+F35+F36</f>
        <v/>
      </c>
      <c r="G37" s="58">
        <f>G31+G32+G33+G34+G35+G36</f>
        <v/>
      </c>
      <c r="H37" s="58">
        <f>H31+H32+H33+H34+H35+H36</f>
        <v/>
      </c>
      <c r="I37" s="58">
        <f>I31+I32+I33+I34+I35+I36</f>
        <v/>
      </c>
      <c r="J37" s="58">
        <f>J31+J32+J33+J34+J35+J36</f>
        <v/>
      </c>
      <c r="K37" s="58">
        <f>K31+K32+K33+K34+K35+K36</f>
        <v/>
      </c>
      <c r="L37" s="58">
        <f>L31+L32+L33+L34+L35+L36</f>
        <v/>
      </c>
      <c r="M37" s="58">
        <f>M31+M32+M33+M34+M35+M36</f>
        <v/>
      </c>
      <c r="N37" s="58">
        <f>N31+N32+N33+N34+N35+N36</f>
        <v/>
      </c>
      <c r="O37" s="58">
        <f>O31+O32+O33+O34+O35+O36</f>
        <v/>
      </c>
      <c r="P37" s="58">
        <f>P31+P32+P33+P34+P35+P36</f>
        <v/>
      </c>
      <c r="Q37" s="58">
        <f>Q31+Q32+Q33+Q34+Q35+Q36</f>
        <v/>
      </c>
      <c r="R37" s="58">
        <f>R31+R32+R33+R34+R35+R36</f>
        <v/>
      </c>
      <c r="S37" s="58">
        <f>S31+S32+S33+S34+S35+S36</f>
        <v/>
      </c>
      <c r="T37" s="58">
        <f>T31+T32+T33+T34+T35+T36</f>
        <v/>
      </c>
      <c r="U37" s="58">
        <f>U31+U32+U33+U34+U35+U36</f>
        <v/>
      </c>
      <c r="V37" s="58">
        <f>V31+V32+V33+V34+V35+V36</f>
        <v/>
      </c>
    </row>
    <row r="38">
      <c r="A38" s="26" t="inlineStr">
        <is>
          <t>CHECK: Assets - (L+E) to 0</t>
        </is>
      </c>
      <c r="B38" s="60">
        <f>B29-B37</f>
        <v/>
      </c>
      <c r="C38" s="60">
        <f>C29-C37</f>
        <v/>
      </c>
      <c r="D38" s="60">
        <f>D29-D37</f>
        <v/>
      </c>
      <c r="E38" s="60">
        <f>E29-E37</f>
        <v/>
      </c>
      <c r="F38" s="60">
        <f>F29-F37</f>
        <v/>
      </c>
      <c r="G38" s="60">
        <f>G29-G37</f>
        <v/>
      </c>
      <c r="H38" s="60">
        <f>H29-H37</f>
        <v/>
      </c>
      <c r="I38" s="60">
        <f>I29-I37</f>
        <v/>
      </c>
      <c r="J38" s="60">
        <f>J29-J37</f>
        <v/>
      </c>
      <c r="K38" s="60">
        <f>K29-K37</f>
        <v/>
      </c>
      <c r="L38" s="60">
        <f>L29-L37</f>
        <v/>
      </c>
      <c r="M38" s="60">
        <f>M29-M37</f>
        <v/>
      </c>
      <c r="N38" s="60">
        <f>N29-N37</f>
        <v/>
      </c>
      <c r="O38" s="60">
        <f>O29-O37</f>
        <v/>
      </c>
      <c r="P38" s="60">
        <f>P29-P37</f>
        <v/>
      </c>
      <c r="Q38" s="60">
        <f>Q29-Q37</f>
        <v/>
      </c>
      <c r="R38" s="60">
        <f>R29-R37</f>
        <v/>
      </c>
      <c r="S38" s="60">
        <f>S29-S37</f>
        <v/>
      </c>
      <c r="T38" s="60">
        <f>T29-T37</f>
        <v/>
      </c>
      <c r="U38" s="60">
        <f>U29-U37</f>
        <v/>
      </c>
      <c r="V38" s="60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61" t="inlineStr">
        <is>
          <t>Metric</t>
        </is>
      </c>
      <c r="B4" s="30" t="inlineStr">
        <is>
          <t>Mar 2025</t>
        </is>
      </c>
      <c r="C4" s="30" t="inlineStr">
        <is>
          <t>Apr 2025</t>
        </is>
      </c>
      <c r="D4" s="30" t="inlineStr">
        <is>
          <t>May 2025</t>
        </is>
      </c>
      <c r="E4" s="30" t="inlineStr">
        <is>
          <t>Jun 2025</t>
        </is>
      </c>
      <c r="F4" s="30" t="inlineStr">
        <is>
          <t>Apr-Jun avg</t>
        </is>
      </c>
      <c r="G4" s="30" t="inlineStr">
        <is>
          <t>Model (M3)</t>
        </is>
      </c>
      <c r="H4" s="30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5">
        <f>'Revenue Model'!E14</f>
        <v/>
      </c>
      <c r="H5" s="46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6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31">
        <f>'Revenue Model'!E17</f>
        <v/>
      </c>
      <c r="H8" s="56">
        <f>IF(F8=0,0,(G8-F8)/F8)</f>
        <v/>
      </c>
    </row>
    <row r="9">
      <c r="A9" s="21" t="inlineStr">
        <is>
          <t>Implied ADC (net ÷ $181 ÷ days)</t>
        </is>
      </c>
      <c r="B9" s="36">
        <f>B8/Inputs!$B$12/31</f>
        <v/>
      </c>
      <c r="C9" s="36">
        <f>C8/Inputs!$B$12/30</f>
        <v/>
      </c>
      <c r="D9" s="36">
        <f>D8/Inputs!$B$12/31</f>
        <v/>
      </c>
      <c r="E9" s="36">
        <f>E8/Inputs!$B$12/30</f>
        <v/>
      </c>
      <c r="F9" s="36">
        <f>AVERAGE(C9:E9)</f>
        <v/>
      </c>
      <c r="G9" s="43">
        <f>'Revenue Model'!E10</f>
        <v/>
      </c>
      <c r="H9" s="46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5">
        <f>'Revenue Model'!E12*Inputs!$B$88</f>
        <v/>
      </c>
      <c r="H12" s="46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5">
        <f>'Revenue Model'!E12*Inputs!$B$86</f>
        <v/>
      </c>
      <c r="H13" s="46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5">
        <f>'Revenue Model'!E12*Inputs!$B$87</f>
        <v/>
      </c>
      <c r="H14" s="46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6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31">
        <f>'Staffing &amp; Payroll'!E53+'Staffing &amp; Payroll'!E54</f>
        <v/>
      </c>
    </row>
    <row r="21">
      <c r="A21" s="29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Azalea Hospice</dc:creator>
  <dc:title xmlns:dc="http://purl.org/dc/elements/1.1/">Azalea Hospice - SBA Loan Package</dc:title>
  <dc:description xmlns:dc="http://purl.org/dc/elements/1.1/">Financial model for Azalea Hospice &amp; Palliative Care.</dc:description>
  <dc:subject xmlns:dc="http://purl.org/dc/elements/1.1/">Azalea Hospice</dc:subject>
  <dcterms:created xmlns:dcterms="http://purl.org/dc/terms/" xmlns:xsi="http://www.w3.org/2001/XMLSchema-instance" xsi:type="dcterms:W3CDTF">2026-06-02T19:55:50Z</dcterms:created>
  <dcterms:modified xmlns:dcterms="http://purl.org/dc/terms/" xmlns:xsi="http://www.w3.org/2001/XMLSchema-instance" xsi:type="dcterms:W3CDTF">2026-06-07T14:18:36Z</dcterms:modified>
  <cp:lastModifiedBy>Azalea Hospice</cp:lastModifiedBy>
  <cp:keywords>hospice, financial model</cp:keywords>
</cp:coreProperties>
</file>