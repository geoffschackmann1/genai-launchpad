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tructure" sheetId="1" state="visible" r:id="rId1"/>
    <sheet xmlns:r="http://schemas.openxmlformats.org/officeDocument/2006/relationships" name="Working Capital Detail" sheetId="2" state="visible" r:id="rId2"/>
    <sheet xmlns:r="http://schemas.openxmlformats.org/officeDocument/2006/relationships" name="Financing Timeline" sheetId="3" state="visible" r:id="rId3"/>
    <sheet xmlns:r="http://schemas.openxmlformats.org/officeDocument/2006/relationships" name="Equity Injection Tr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6">
    <font>
      <name val="Calibri"/>
      <family val="2"/>
      <color theme="1"/>
      <sz val="11"/>
      <scheme val="minor"/>
    </font>
    <font>
      <b val="1"/>
      <color rgb="001F3B2D"/>
      <sz val="12"/>
    </font>
    <font>
      <i val="1"/>
      <sz val="9"/>
    </font>
    <font>
      <b val="1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A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PROPOSED SBA 7(a) LOAN STRUCTURE - AZALEA HOSPICE &amp; PALLIATIVE CARE</t>
        </is>
      </c>
    </row>
    <row r="2">
      <c r="A2" s="2" t="inlineStr">
        <is>
          <t>Tyler Hospice Hold, LLC (EIN 41-4966640) | Refuge Hospice acquisition | Rev 2.00 basis: Rev 4.10 proforma | 7/16/2026</t>
        </is>
      </c>
    </row>
    <row r="4">
      <c r="A4" s="3" t="inlineStr">
        <is>
          <t>OVERALL PROJECT (all phases)</t>
        </is>
      </c>
    </row>
    <row r="5">
      <c r="A5" t="inlineStr">
        <is>
          <t>Refuge Hospice, LLC license purchase price</t>
        </is>
      </c>
      <c r="B5" s="4" t="n">
        <v>500000</v>
      </c>
    </row>
    <row r="6">
      <c r="A6" t="inlineStr">
        <is>
          <t>Working capital (ramp payroll ahead of Medicare collections)</t>
        </is>
      </c>
      <c r="B6" s="4" t="n">
        <v>235000</v>
      </c>
    </row>
    <row r="7">
      <c r="A7" t="inlineStr">
        <is>
          <t>Soft costs (SBA packaging, guaranty fee, legal/closing)</t>
        </is>
      </c>
      <c r="B7" s="4" t="n">
        <v>15000</v>
      </c>
    </row>
    <row r="8">
      <c r="A8" s="5" t="inlineStr">
        <is>
          <t>TOTAL PROJECT</t>
        </is>
      </c>
      <c r="B8" s="6">
        <f>B5+B6+B7</f>
        <v/>
      </c>
    </row>
    <row r="9">
      <c r="A9" t="inlineStr">
        <is>
          <t>Equity injection (Bullard $195K + Schackmann $55K - see Injection Trace tab)</t>
        </is>
      </c>
      <c r="B9" s="4" t="n">
        <v>250000</v>
      </c>
      <c r="C9" s="7">
        <f>B9/B8</f>
        <v/>
      </c>
    </row>
    <row r="10">
      <c r="A10" s="5" t="inlineStr">
        <is>
          <t>SBA 7(a) loan request</t>
        </is>
      </c>
      <c r="B10" s="6" t="n">
        <v>500000</v>
      </c>
      <c r="C10" s="7">
        <f>B10/B8</f>
        <v/>
      </c>
    </row>
    <row r="11">
      <c r="A11" t="inlineStr">
        <is>
          <t>Check: sources - uses (0 = tied)</t>
        </is>
      </c>
      <c r="B11" s="4">
        <f>B9+B10-B8</f>
        <v/>
      </c>
    </row>
    <row r="13">
      <c r="A13" s="3" t="inlineStr">
        <is>
          <t>FINANCING SEQUENCE (how the project is funded through SBA closing)</t>
        </is>
      </c>
    </row>
    <row r="14">
      <c r="A14" t="inlineStr">
        <is>
          <t>~8/1/2026 - Equity pays license down payment (49% interest transfers)</t>
        </is>
      </c>
      <c r="B14" t="inlineStr">
        <is>
          <t>$125,000</t>
        </is>
      </c>
    </row>
    <row r="15">
      <c r="A15" t="inlineStr">
        <is>
          <t>Aug-Dec - Equity balance funds ramp working capital</t>
        </is>
      </c>
      <c r="B15" t="inlineStr">
        <is>
          <t>$125,000</t>
        </is>
      </c>
    </row>
    <row r="16">
      <c r="A16" t="inlineStr">
        <is>
          <t>Sept 2026 - Interim bank note (Bullard-relationship TX bank, $500K, 6%, 36-mo) pays sellers in full</t>
        </is>
      </c>
      <c r="B16" t="inlineStr">
        <is>
          <t>$375,000 + interest</t>
        </is>
      </c>
    </row>
    <row r="17">
      <c r="A17" t="inlineStr">
        <is>
          <t>Sept 2026 - Bank note surplus to working capital</t>
        </is>
      </c>
      <c r="B17" t="inlineStr">
        <is>
          <t>~$123,000</t>
        </is>
      </c>
    </row>
    <row r="18">
      <c r="A18" t="inlineStr">
        <is>
          <t>Oct-Dec - Bank note service (interim)</t>
        </is>
      </c>
      <c r="B18" t="inlineStr">
        <is>
          <t>$15,211/mo</t>
        </is>
      </c>
    </row>
    <row r="19">
      <c r="A19" t="inlineStr">
        <is>
          <t>1/15/2027 - SBA 7(a) funds at the 51% transfer; REFINANCES the bank note</t>
        </is>
      </c>
      <c r="B19" t="inlineStr">
        <is>
          <t>~$461,676 payoff</t>
        </is>
      </c>
    </row>
    <row r="20">
      <c r="A20" t="inlineStr">
        <is>
          <t>1/15/2027 - SBA surplus: soft costs + additional working capital</t>
        </is>
      </c>
      <c r="B20" t="inlineStr">
        <is>
          <t>~$38,324</t>
        </is>
      </c>
    </row>
    <row r="21">
      <c r="A21" t="inlineStr">
        <is>
          <t>From Feb 2027 - single SBA debt service</t>
        </is>
      </c>
      <c r="B21" t="inlineStr">
        <is>
          <t>$6,747/mo</t>
        </is>
      </c>
    </row>
    <row r="23">
      <c r="A23" s="3" t="inlineStr">
        <is>
          <t>USE OF SBA PROCEEDS (at January closing)</t>
        </is>
      </c>
    </row>
    <row r="24">
      <c r="A24" t="inlineStr">
        <is>
          <t>Refinance interim bank acquisition note (payoff incl. accrued interest)</t>
        </is>
      </c>
      <c r="B24" s="4" t="n">
        <v>461676</v>
      </c>
    </row>
    <row r="25">
      <c r="A25" t="inlineStr">
        <is>
          <t>SBA soft costs (packaging $2,500 + guaranty fee est. + legal)</t>
        </is>
      </c>
      <c r="B25" s="4" t="n">
        <v>15000</v>
      </c>
    </row>
    <row r="26">
      <c r="A26" t="inlineStr">
        <is>
          <t>Additional working capital</t>
        </is>
      </c>
      <c r="B26" s="4">
        <f>B28-B24-B25</f>
        <v/>
      </c>
    </row>
    <row r="27">
      <c r="A27" t="inlineStr">
        <is>
          <t>Guaranty fee est.: 75% x $500K x 1.7% =</t>
        </is>
      </c>
      <c r="B27" s="4">
        <f>ROUND(500000*0.75*0.017,0)</f>
        <v/>
      </c>
    </row>
    <row r="28">
      <c r="A28" s="5" t="inlineStr">
        <is>
          <t>TOTAL SBA LOAN</t>
        </is>
      </c>
      <c r="B28" s="6" t="n">
        <v>500000</v>
      </c>
    </row>
    <row r="29">
      <c r="A29" s="2" t="inlineStr">
        <is>
          <t>Why this refinance is SBA-clean: the bank note funded the business acquisition;</t>
        </is>
      </c>
    </row>
    <row r="30">
      <c r="A30" s="2" t="inlineStr">
        <is>
          <t>SBA funds at the 100% ownership transfer (42 CFR 424.550(b) date), so no seller guaranties apply.</t>
        </is>
      </c>
    </row>
    <row r="32">
      <c r="A32" s="3" t="inlineStr">
        <is>
          <t>PROPOSED SBA TERMS &amp; COVERAGE (EBITDA per Rev 4.10 proforma, pre-debt-service)</t>
        </is>
      </c>
    </row>
    <row r="33">
      <c r="A33" t="inlineStr">
        <is>
          <t>Rate (est. Prime + spread; lender to confirm)</t>
        </is>
      </c>
      <c r="B33" s="8" t="n">
        <v>0.105</v>
      </c>
    </row>
    <row r="34">
      <c r="A34" t="inlineStr">
        <is>
          <t>Term (years)</t>
        </is>
      </c>
      <c r="B34" t="n">
        <v>10</v>
      </c>
    </row>
    <row r="35">
      <c r="A35" t="inlineStr">
        <is>
          <t>Monthly payment</t>
        </is>
      </c>
      <c r="B35" s="4">
        <f>-PMT(B33/12,B34*12,B28)</f>
        <v/>
      </c>
    </row>
    <row r="36">
      <c r="A36" t="inlineStr">
        <is>
          <t>Annual debt service</t>
        </is>
      </c>
      <c r="B36" s="4">
        <f>B35*12</f>
        <v/>
      </c>
    </row>
    <row r="37">
      <c r="A37" t="inlineStr">
        <is>
          <t>Year</t>
        </is>
      </c>
      <c r="B37" s="5" t="inlineStr">
        <is>
          <t>EBITDA</t>
        </is>
      </c>
      <c r="C37" s="5" t="inlineStr">
        <is>
          <t>Debt service</t>
        </is>
      </c>
      <c r="D37" s="5" t="inlineStr">
        <is>
          <t>DSCR</t>
        </is>
      </c>
    </row>
    <row r="38">
      <c r="A38" t="inlineStr">
        <is>
          <t>Year 1</t>
        </is>
      </c>
      <c r="B38" s="4" t="n">
        <v>299195</v>
      </c>
      <c r="C38" s="4">
        <f>$B$36</f>
        <v/>
      </c>
      <c r="D38" s="9">
        <f>B38/C38</f>
        <v/>
      </c>
    </row>
    <row r="39">
      <c r="A39" t="inlineStr">
        <is>
          <t>Year 2</t>
        </is>
      </c>
      <c r="B39" s="4" t="n">
        <v>695981</v>
      </c>
      <c r="C39" s="4">
        <f>$B$36</f>
        <v/>
      </c>
      <c r="D39" s="9">
        <f>B39/C39</f>
        <v/>
      </c>
    </row>
    <row r="40">
      <c r="A40" t="inlineStr">
        <is>
          <t>Year 3</t>
        </is>
      </c>
      <c r="B40" s="4" t="n">
        <v>985429</v>
      </c>
      <c r="C40" s="4">
        <f>$B$36</f>
        <v/>
      </c>
      <c r="D40" s="9">
        <f>B40/C40</f>
        <v/>
      </c>
    </row>
    <row r="42">
      <c r="A42" s="2" t="inlineStr">
        <is>
          <t>Interim-period note: Oct-Dec debt service is the bank note at $15,211/mo, fully covered</t>
        </is>
      </c>
    </row>
    <row r="43">
      <c r="A43" s="2" t="inlineStr">
        <is>
          <t>by operations + working capital per the monthly proforma (cash never goes negative in base).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WORKING CAPITAL - COMPONENTS &amp; MONTHLY DRAW TIMELINE</t>
        </is>
      </c>
    </row>
    <row r="2">
      <c r="A2" s="2" t="inlineStr">
        <is>
          <t>Responds to SourceFunding note of 6/3 (break WC into components with a draw timeline). Borrower consents to lender-controlled disbursement tied to census milestones.</t>
        </is>
      </c>
    </row>
    <row r="3">
      <c r="A3" s="2" t="inlineStr">
        <is>
          <t>Funding sequence: equity ($125K after the down payment) covers Aug-Sep; the bank-note surplus (~$123K) covers Oct-Dec; the SBA surplus (~$23K net of soft costs) tops up at January closing. Base case cash never goes negative (min month ~$3.4K - tight, disclosed).</t>
        </is>
      </c>
    </row>
    <row r="5">
      <c r="A5" s="3" t="inlineStr">
        <is>
          <t>Component / month</t>
        </is>
      </c>
      <c r="B5" s="3" t="inlineStr">
        <is>
          <t>Aug-26</t>
        </is>
      </c>
      <c r="C5" s="3" t="inlineStr">
        <is>
          <t>Sep-26</t>
        </is>
      </c>
      <c r="D5" s="3" t="inlineStr">
        <is>
          <t>Oct-26</t>
        </is>
      </c>
      <c r="E5" s="3" t="inlineStr">
        <is>
          <t>Nov-26</t>
        </is>
      </c>
      <c r="F5" s="3" t="inlineStr">
        <is>
          <t>Dec-26</t>
        </is>
      </c>
      <c r="G5" s="3" t="inlineStr">
        <is>
          <t>Jan-27</t>
        </is>
      </c>
      <c r="H5" s="3" t="inlineStr">
        <is>
          <t>Feb-27</t>
        </is>
      </c>
      <c r="I5" s="3" t="inlineStr">
        <is>
          <t>Mar-27</t>
        </is>
      </c>
      <c r="J5" s="3" t="inlineStr">
        <is>
          <t>Apr-27</t>
        </is>
      </c>
      <c r="K5" s="3" t="inlineStr">
        <is>
          <t>May-27</t>
        </is>
      </c>
      <c r="L5" s="3" t="inlineStr">
        <is>
          <t>Jun-27</t>
        </is>
      </c>
      <c r="M5" s="3" t="inlineStr">
        <is>
          <t>Jul-27</t>
        </is>
      </c>
      <c r="N5" s="3" t="inlineStr">
        <is>
          <t>Total</t>
        </is>
      </c>
    </row>
    <row r="6">
      <c r="A6" t="inlineStr">
        <is>
          <t>Clinical payroll &amp; benefits (net of collections)</t>
        </is>
      </c>
      <c r="B6" s="4" t="n">
        <v>24000</v>
      </c>
      <c r="C6" s="4" t="n">
        <v>21000</v>
      </c>
      <c r="D6" s="4" t="n">
        <v>17000</v>
      </c>
      <c r="E6" s="4" t="n">
        <v>13000</v>
      </c>
      <c r="F6" s="4" t="n">
        <v>10000</v>
      </c>
      <c r="G6" s="4" t="n">
        <v>8000</v>
      </c>
      <c r="H6" s="4" t="n">
        <v>6000</v>
      </c>
      <c r="I6" s="4" t="n">
        <v>4000</v>
      </c>
      <c r="J6" s="4" t="n">
        <v>2000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Administrative payroll (net of collections)</t>
        </is>
      </c>
      <c r="B7" s="4" t="n">
        <v>10000</v>
      </c>
      <c r="C7" s="4" t="n">
        <v>9000</v>
      </c>
      <c r="D7" s="4" t="n">
        <v>7000</v>
      </c>
      <c r="E7" s="4" t="n">
        <v>6000</v>
      </c>
      <c r="F7" s="4" t="n">
        <v>5000</v>
      </c>
      <c r="G7" s="4" t="n">
        <v>4000</v>
      </c>
      <c r="H7" s="4" t="n">
        <v>2000</v>
      </c>
      <c r="I7" s="4" t="n">
        <v>2000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Patient care costs (pharmacy, DME, supplies)</t>
        </is>
      </c>
      <c r="B8" s="4" t="n">
        <v>6000</v>
      </c>
      <c r="C8" s="4" t="n">
        <v>5500</v>
      </c>
      <c r="D8" s="4" t="n">
        <v>5000</v>
      </c>
      <c r="E8" s="4" t="n">
        <v>4000</v>
      </c>
      <c r="F8" s="4" t="n">
        <v>3500</v>
      </c>
      <c r="G8" s="4" t="n">
        <v>2500</v>
      </c>
      <c r="H8" s="4" t="n">
        <v>2000</v>
      </c>
      <c r="I8" s="4" t="n">
        <v>1500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Rent + CAM (13387 Hwy 69 N per executed lease)</t>
        </is>
      </c>
      <c r="B9" s="4" t="n">
        <v>2143</v>
      </c>
      <c r="C9" s="4" t="n">
        <v>2143</v>
      </c>
      <c r="D9" s="4" t="n">
        <v>2143</v>
      </c>
      <c r="E9" s="4" t="n">
        <v>2143</v>
      </c>
      <c r="F9" s="4" t="n">
        <v>2143</v>
      </c>
      <c r="G9" s="4" t="n">
        <v>2143</v>
      </c>
      <c r="H9" s="4" t="n">
        <v>2143</v>
      </c>
      <c r="I9" s="4" t="n">
        <v>2149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Insurance (GL/PL, workers comp)</t>
        </is>
      </c>
      <c r="B10" s="4" t="n">
        <v>2000</v>
      </c>
      <c r="C10" s="4" t="n">
        <v>1750</v>
      </c>
      <c r="D10" s="4" t="n">
        <v>1750</v>
      </c>
      <c r="E10" s="4" t="n">
        <v>1500</v>
      </c>
      <c r="F10" s="4" t="n">
        <v>1500</v>
      </c>
      <c r="G10" s="4" t="n">
        <v>1250</v>
      </c>
      <c r="H10" s="4" t="n">
        <v>1250</v>
      </c>
      <c r="I10" s="4" t="n">
        <v>1000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t="inlineStr">
        <is>
          <t>Billing, EMR, IT &amp; communications</t>
        </is>
      </c>
      <c r="B11" s="4" t="n">
        <v>1600</v>
      </c>
      <c r="C11" s="4" t="n">
        <v>1500</v>
      </c>
      <c r="D11" s="4" t="n">
        <v>1400</v>
      </c>
      <c r="E11" s="4" t="n">
        <v>1300</v>
      </c>
      <c r="F11" s="4" t="n">
        <v>1200</v>
      </c>
      <c r="G11" s="4" t="n">
        <v>1200</v>
      </c>
      <c r="H11" s="4" t="n">
        <v>1200</v>
      </c>
      <c r="I11" s="4" t="n">
        <v>1450</v>
      </c>
      <c r="J11" s="4" t="n">
        <v>0</v>
      </c>
      <c r="K11" s="4" t="n">
        <v>0</v>
      </c>
      <c r="L11" s="4" t="n">
        <v>0</v>
      </c>
      <c r="M11" s="4" t="n">
        <v>0</v>
      </c>
      <c r="N11" s="4">
        <f>SUM(B11:M11)</f>
        <v/>
      </c>
    </row>
    <row r="12">
      <c r="A12" t="inlineStr">
        <is>
          <t>Contingency (unallocated)</t>
        </is>
      </c>
      <c r="B12" s="4" t="n">
        <v>0</v>
      </c>
      <c r="C12" s="4" t="n">
        <v>0</v>
      </c>
      <c r="D12" s="4" t="n">
        <v>2000</v>
      </c>
      <c r="E12" s="4" t="n">
        <v>2000</v>
      </c>
      <c r="F12" s="4" t="n">
        <v>2500</v>
      </c>
      <c r="G12" s="4" t="n">
        <v>2500</v>
      </c>
      <c r="H12" s="4" t="n">
        <v>2000</v>
      </c>
      <c r="I12" s="4" t="n">
        <v>2000</v>
      </c>
      <c r="J12" s="4" t="n">
        <v>1000</v>
      </c>
      <c r="K12" s="4" t="n">
        <v>1000</v>
      </c>
      <c r="L12" s="4" t="n">
        <v>0</v>
      </c>
      <c r="M12" s="4" t="n">
        <v>0</v>
      </c>
      <c r="N12" s="4">
        <f>SUM(B12:M12)</f>
        <v/>
      </c>
    </row>
    <row r="13">
      <c r="A13" s="5" t="inlineStr">
        <is>
          <t>Monthly draw</t>
        </is>
      </c>
      <c r="B13" s="6">
        <f>SUM(B6:B12)</f>
        <v/>
      </c>
      <c r="C13" s="6">
        <f>SUM(C6:C12)</f>
        <v/>
      </c>
      <c r="D13" s="6">
        <f>SUM(D6:D12)</f>
        <v/>
      </c>
      <c r="E13" s="6">
        <f>SUM(E6:E12)</f>
        <v/>
      </c>
      <c r="F13" s="6">
        <f>SUM(F6:F12)</f>
        <v/>
      </c>
      <c r="G13" s="6">
        <f>SUM(G6:G12)</f>
        <v/>
      </c>
      <c r="H13" s="6">
        <f>SUM(H6:H12)</f>
        <v/>
      </c>
      <c r="I13" s="6">
        <f>SUM(I6:I12)</f>
        <v/>
      </c>
      <c r="J13" s="6">
        <f>SUM(J6:J12)</f>
        <v/>
      </c>
      <c r="K13" s="6">
        <f>SUM(K6:K12)</f>
        <v/>
      </c>
      <c r="L13" s="6">
        <f>SUM(L6:L12)</f>
        <v/>
      </c>
      <c r="M13" s="6">
        <f>SUM(M6:M12)</f>
        <v/>
      </c>
      <c r="N13" s="6">
        <f>SUM(N6:N12)</f>
        <v/>
      </c>
    </row>
    <row r="14">
      <c r="A14" s="5" t="inlineStr">
        <is>
          <t>Cumulative draw</t>
        </is>
      </c>
      <c r="B14" s="4">
        <f>B13</f>
        <v/>
      </c>
      <c r="C14" s="4">
        <f>B14+C13</f>
        <v/>
      </c>
      <c r="D14" s="4">
        <f>C14+D13</f>
        <v/>
      </c>
      <c r="E14" s="4">
        <f>D14+E13</f>
        <v/>
      </c>
      <c r="F14" s="4">
        <f>E14+F13</f>
        <v/>
      </c>
      <c r="G14" s="4">
        <f>F14+G13</f>
        <v/>
      </c>
      <c r="H14" s="4">
        <f>G14+H13</f>
        <v/>
      </c>
      <c r="I14" s="4">
        <f>H14+I13</f>
        <v/>
      </c>
      <c r="J14" s="4">
        <f>I14+J13</f>
        <v/>
      </c>
      <c r="K14" s="4">
        <f>J14+K13</f>
        <v/>
      </c>
      <c r="L14" s="4">
        <f>K14+L13</f>
        <v/>
      </c>
      <c r="M14" s="4">
        <f>L14+M13</f>
        <v/>
      </c>
    </row>
    <row r="16">
      <c r="A16" s="5" t="inlineStr">
        <is>
          <t>Notes:</t>
        </is>
      </c>
    </row>
    <row r="17">
      <c r="A17" s="10" t="inlineStr">
        <is>
          <t>Amounts are the projected monthly cash-flow SHORTFALL (operating costs less collections), not gross costs;</t>
        </is>
      </c>
    </row>
    <row r="18">
      <c r="A18" s="10" t="inlineStr">
        <is>
          <t>gross costs and collections are in the attached Rev 4.10 proforma (36 monthly periods, formula-driven).</t>
        </is>
      </c>
    </row>
    <row r="19">
      <c r="A19" s="10" t="inlineStr">
        <is>
          <t>Draws taper to zero by month 9-10 as Medicare collections catch and pass payroll.</t>
        </is>
      </c>
    </row>
    <row r="20">
      <c r="A20" s="10" t="inlineStr">
        <is>
          <t>Owner-deferral lever: the three owner-operators defer salary until break-even census (~18, crossed month 2-3);</t>
        </is>
      </c>
    </row>
    <row r="21">
      <c r="A21" s="10" t="inlineStr">
        <is>
          <t>$42,500 accrues and is repaid in January - modeled explicitly on the proforma's Staffing tab.</t>
        </is>
      </c>
    </row>
    <row r="22">
      <c r="A22" s="10" t="inlineStr">
        <is>
          <t>Prior structure carried a $672,000 reserve; this plan needs $235,000 because the license bills day one,</t>
        </is>
      </c>
    </row>
    <row r="23">
      <c r="A23" s="10" t="inlineStr">
        <is>
          <t>equity covers the down payment, and the bank note (then SBA) covers the acquisition.</t>
        </is>
      </c>
    </row>
    <row r="24">
      <c r="A24" s="3" t="inlineStr">
        <is>
          <t>WORKING CAPITAL TOTAL</t>
        </is>
      </c>
      <c r="B24" s="6">
        <f>N13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SELLER PAYOFF &amp; DEBT SEQUENCE (per MIPA 7/14/2026 + Path A refinance)</t>
        </is>
      </c>
    </row>
    <row r="2">
      <c r="A2" s="2" t="inlineStr">
        <is>
          <t>Seller note prepayable without penalty | payments to DHJR, LP as sellers' agent</t>
        </is>
      </c>
    </row>
    <row r="4">
      <c r="A4" s="3" t="inlineStr">
        <is>
          <t>Event</t>
        </is>
      </c>
      <c r="B4" s="3" t="inlineStr">
        <is>
          <t>Date</t>
        </is>
      </c>
      <c r="C4" s="3" t="inlineStr">
        <is>
          <t>Amount</t>
        </is>
      </c>
      <c r="D4" s="3" t="inlineStr">
        <is>
          <t>Funded by</t>
        </is>
      </c>
    </row>
    <row r="5">
      <c r="A5" t="inlineStr">
        <is>
          <t>License down payment (49% transfers)</t>
        </is>
      </c>
      <c r="B5" t="inlineStr">
        <is>
          <t>~8/1/2026</t>
        </is>
      </c>
      <c r="C5" s="4" t="n">
        <v>125000</v>
      </c>
      <c r="D5" t="inlineStr">
        <is>
          <t>Equity injection</t>
        </is>
      </c>
    </row>
    <row r="6">
      <c r="A6" t="inlineStr">
        <is>
          <t>Seller balance paid IN FULL (principal)</t>
        </is>
      </c>
      <c r="B6" t="inlineStr">
        <is>
          <t>Sept 2026</t>
        </is>
      </c>
      <c r="C6" s="4" t="n">
        <v>375000</v>
      </c>
      <c r="D6" t="inlineStr">
        <is>
          <t>Interim bank note ($500K/6%/36)</t>
        </is>
      </c>
    </row>
    <row r="7">
      <c r="A7" t="inlineStr">
        <is>
          <t>Seller accrued interest at payoff</t>
        </is>
      </c>
      <c r="B7" t="inlineStr">
        <is>
          <t>Sept 2026</t>
        </is>
      </c>
      <c r="C7" s="4">
        <f>ROUND(375000*0.06/12*2,0)</f>
        <v/>
      </c>
      <c r="D7" t="inlineStr">
        <is>
          <t>Interim bank note</t>
        </is>
      </c>
    </row>
    <row r="8">
      <c r="A8" t="inlineStr">
        <is>
          <t>Bank note service (interim)</t>
        </is>
      </c>
      <c r="B8" t="inlineStr">
        <is>
          <t>Oct-Dec 2026</t>
        </is>
      </c>
      <c r="C8" t="inlineStr">
        <is>
          <t>15,211/mo</t>
        </is>
      </c>
      <c r="D8" t="inlineStr">
        <is>
          <t>Operations</t>
        </is>
      </c>
    </row>
    <row r="9">
      <c r="A9" t="inlineStr">
        <is>
          <t>Bank note REFINANCED by SBA 7(a) (payoff)</t>
        </is>
      </c>
      <c r="B9" t="inlineStr">
        <is>
          <t>1/15/2027</t>
        </is>
      </c>
      <c r="C9" s="4" t="n">
        <v>461676</v>
      </c>
      <c r="D9" t="inlineStr">
        <is>
          <t>SBA loan proceeds</t>
        </is>
      </c>
    </row>
    <row r="10">
      <c r="A10" t="inlineStr">
        <is>
          <t>Remaining 51% of membership interests transfer</t>
        </is>
      </c>
      <c r="B10" t="inlineStr">
        <is>
          <t>1/15/2027</t>
        </is>
      </c>
      <c r="C10" t="inlineStr">
        <is>
          <t>-</t>
        </is>
      </c>
      <c r="D10" t="inlineStr">
        <is>
          <t>36 months after CCN date 1/8/2024</t>
        </is>
      </c>
    </row>
    <row r="11">
      <c r="A11" t="inlineStr">
        <is>
          <t>Single SBA debt service thereafter</t>
        </is>
      </c>
      <c r="B11" t="inlineStr">
        <is>
          <t>Feb 2027 on</t>
        </is>
      </c>
      <c r="C11" t="inlineStr">
        <is>
          <t>6,747/mo</t>
        </is>
      </c>
      <c r="D11" t="inlineStr">
        <is>
          <t>Operations</t>
        </is>
      </c>
    </row>
    <row r="13">
      <c r="A13" t="inlineStr">
        <is>
          <t>Sellers are paid in full in September - four months earlier than the MIPA requires. The SBA</t>
        </is>
      </c>
    </row>
    <row r="14">
      <c r="A14" t="inlineStr">
        <is>
          <t>loan then refinances BANK debt (not seller debt) at the 100% ownership transfer, which avoids</t>
        </is>
      </c>
    </row>
    <row r="15">
      <c r="A15" t="inlineStr">
        <is>
          <t>the seller-guaranty rules on partial changes of ownership and simplifies lender placement.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SBA EQUITY INJECTION - DOLLAR-FOR-DOLLAR TRACE</t>
        </is>
      </c>
    </row>
    <row r="2">
      <c r="A2" s="2" t="inlineStr">
        <is>
          <t>The $250,000 equity is the SBA injection AND the cash that launches the project. SBA counts documented prior expenditure on project costs as injection; this tab is the documentation map.</t>
        </is>
      </c>
    </row>
    <row r="4">
      <c r="A4" s="3" t="inlineStr">
        <is>
          <t>SOURCES</t>
        </is>
      </c>
    </row>
    <row r="5">
      <c r="A5" t="inlineStr">
        <is>
          <t>James Bullard - wire 1 (CONFIRMED 5/7/2026, to Mercury ****1275)</t>
        </is>
      </c>
      <c r="B5" s="4" t="n">
        <v>100000</v>
      </c>
    </row>
    <row r="6">
      <c r="A6" t="inlineStr">
        <is>
          <t>James Bullard - wire 2 (committed; date TBD - must land &amp; be documented)</t>
        </is>
      </c>
      <c r="B6" s="4" t="n">
        <v>95000</v>
      </c>
    </row>
    <row r="7">
      <c r="A7" t="inlineStr">
        <is>
          <t>Geoff Schackmann - owner cash (date TBD - must land &amp; be documented)</t>
        </is>
      </c>
      <c r="B7" s="4" t="n">
        <v>55000</v>
      </c>
    </row>
    <row r="8">
      <c r="A8" s="5" t="inlineStr">
        <is>
          <t>TOTAL EQUITY SOURCES</t>
        </is>
      </c>
      <c r="B8" s="6">
        <f>SUM(B5:B7)</f>
        <v/>
      </c>
    </row>
    <row r="10">
      <c r="A10" s="3" t="inlineStr">
        <is>
          <t>USES (traced to the Rev 4.10 monthly cash flow)</t>
        </is>
      </c>
    </row>
    <row r="11">
      <c r="A11" t="inlineStr">
        <is>
          <t>License down payment at closing (~8/1/2026; MIPA receipt = documentation)</t>
        </is>
      </c>
      <c r="B11" s="4" t="n">
        <v>125000</v>
      </c>
    </row>
    <row r="12">
      <c r="A12" t="inlineStr">
        <is>
          <t>Ramp working capital Aug-Dec (payroll, rent, patient care ahead of collections)</t>
        </is>
      </c>
      <c r="B12" s="4">
        <f>B8-B11</f>
        <v/>
      </c>
    </row>
    <row r="13">
      <c r="A13" s="5" t="inlineStr">
        <is>
          <t>TOTAL USES (all INSIDE the project)</t>
        </is>
      </c>
      <c r="B13" s="6">
        <f>B11+B12</f>
        <v/>
      </c>
    </row>
    <row r="15">
      <c r="A15" s="3" t="inlineStr">
        <is>
          <t>SBA INJECTION TEST (at January closing)</t>
        </is>
      </c>
    </row>
    <row r="16">
      <c r="A16" t="inlineStr">
        <is>
          <t>Total project cost</t>
        </is>
      </c>
      <c r="B16" s="4" t="n">
        <v>750000</v>
      </c>
    </row>
    <row r="17">
      <c r="A17" t="inlineStr">
        <is>
          <t>Equity injected (all documented, all spent in-project)</t>
        </is>
      </c>
      <c r="B17" s="4">
        <f>B8</f>
        <v/>
      </c>
    </row>
    <row r="18">
      <c r="A18" s="5" t="inlineStr">
        <is>
          <t>Injection %</t>
        </is>
      </c>
      <c r="B18" s="11">
        <f>B17/B16</f>
        <v/>
      </c>
    </row>
    <row r="19">
      <c r="A19" t="inlineStr">
        <is>
          <t>SOP 50 10 minimum for startups/changes of ownership</t>
        </is>
      </c>
      <c r="B19" s="7" t="n">
        <v>0.1</v>
      </c>
    </row>
    <row r="20">
      <c r="A20" s="5" t="inlineStr">
        <is>
          <t>Headroom vs minimum</t>
        </is>
      </c>
      <c r="B20" s="11">
        <f>B18-B19</f>
        <v/>
      </c>
    </row>
    <row r="22">
      <c r="A22" s="3" t="inlineStr">
        <is>
          <t>DOCUMENTATION CHECKLIST (each item required before the injection counts)</t>
        </is>
      </c>
    </row>
    <row r="23">
      <c r="A23" s="10" t="inlineStr">
        <is>
          <t>1. Bullard wire 1: wire confirmation 5/7/2026 (ON FILE) + Bullard bank statement covering 30+ days prior</t>
        </is>
      </c>
    </row>
    <row r="24">
      <c r="A24" s="10" t="inlineStr">
        <is>
          <t>2. Bullard wire 2: wire confirmation + 30-day-prior source statement (PENDING - must complete before SBA close)</t>
        </is>
      </c>
    </row>
    <row r="25">
      <c r="A25" s="10" t="inlineStr">
        <is>
          <t>3. Schackmann $55K: deposit evidence + source statement (PENDING)</t>
        </is>
      </c>
    </row>
    <row r="26">
      <c r="A26" s="10" t="inlineStr">
        <is>
          <t>4. Mercury account statements showing funds on deposit and the $125K down-payment disbursement</t>
        </is>
      </c>
    </row>
    <row r="27">
      <c r="A27" s="10" t="inlineStr">
        <is>
          <t>5. MIPA + settlement receipt for the $125,000 down payment</t>
        </is>
      </c>
    </row>
    <row r="28">
      <c r="A28" s="10" t="inlineStr">
        <is>
          <t>6. Monthly operating statements tying the working-capital spend to the project</t>
        </is>
      </c>
    </row>
    <row r="30">
      <c r="A30" s="5" t="inlineStr">
        <is>
          <t>RULES THAT BITE:</t>
        </is>
      </c>
    </row>
    <row r="31">
      <c r="A31" s="12" t="inlineStr">
        <is>
          <t>Injection must be TRUE EQUITY - proceeds of the investor NOTE raise (debt) do NOT count.</t>
        </is>
      </c>
    </row>
    <row r="32">
      <c r="A32" s="10" t="inlineStr">
        <is>
          <t>Money must be spent inside the project (license, WC, soft costs) - it all is, per the trace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2026-07-20T16:38:56Z</dcterms:created>
  <dcterms:modified xmlns:dcterms="http://purl.org/dc/terms/" xmlns:xsi="http://www.w3.org/2001/XMLSchema-instance" xsi:type="dcterms:W3CDTF">2026-07-20T16:38:56Z</dcterms:modified>
</cp:coreProperties>
</file>