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trol Tower" sheetId="2" state="visible" r:id="rId2"/>
    <sheet xmlns:r="http://schemas.openxmlformats.org/officeDocument/2006/relationships" name="Census Waterfall" sheetId="3" state="visible" r:id="rId3"/>
    <sheet xmlns:r="http://schemas.openxmlformats.org/officeDocument/2006/relationships" name="Revenue Model" sheetId="4" state="visible" r:id="rId4"/>
    <sheet xmlns:r="http://schemas.openxmlformats.org/officeDocument/2006/relationships" name="Staffing" sheetId="5" state="visible" r:id="rId5"/>
    <sheet xmlns:r="http://schemas.openxmlformats.org/officeDocument/2006/relationships" name="Operating Budget" sheetId="6" state="visible" r:id="rId6"/>
    <sheet xmlns:r="http://schemas.openxmlformats.org/officeDocument/2006/relationships" name="P&amp;L" sheetId="7" state="visible" r:id="rId7"/>
    <sheet xmlns:r="http://schemas.openxmlformats.org/officeDocument/2006/relationships" name="Cash Flow &amp; Runway" sheetId="8" state="visible" r:id="rId8"/>
    <sheet xmlns:r="http://schemas.openxmlformats.org/officeDocument/2006/relationships" name="Balance Sheet" sheetId="9" state="visible" r:id="rId9"/>
    <sheet xmlns:r="http://schemas.openxmlformats.org/officeDocument/2006/relationships" name="Checks" sheetId="10" state="visible" r:id="rId10"/>
    <sheet xmlns:r="http://schemas.openxmlformats.org/officeDocument/2006/relationships" name="Dashboard" sheetId="11" state="visible" r:id="rId11"/>
    <sheet xmlns:r="http://schemas.openxmlformats.org/officeDocument/2006/relationships" name="3-Year Summary" sheetId="12" state="visible" r:id="rId12"/>
    <sheet xmlns:r="http://schemas.openxmlformats.org/officeDocument/2006/relationships" name="Actuals vs Budget" sheetId="13" state="visible" r:id="rId13"/>
  </sheets>
  <definedNames>
    <definedName name="_xlnm.Print_Titles" localSheetId="7">'Cash Flow &amp; Runway'!$1:$4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$#,##0;($#,##0);&quot;-&quot;"/>
    <numFmt numFmtId="165" formatCode="0.0%;(0.0%);&quot;-&quot;"/>
    <numFmt numFmtId="166" formatCode="#,##0.0;(#,##0.0);&quot;-&quot;"/>
    <numFmt numFmtId="167" formatCode="$#,##0.00"/>
    <numFmt numFmtId="168" formatCode="0.00%;(0.00%);&quot;-&quot;"/>
    <numFmt numFmtId="169" formatCode="#,##0;(#,##0);&quot;-&quot;"/>
    <numFmt numFmtId="170" formatCode="0.00x;(0.00x);&quot;-&quot;"/>
  </numFmts>
  <fonts count="2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D9D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CC"/>
      <sz val="10"/>
    </font>
    <font>
      <name val="Calibri"/>
      <i val="1"/>
      <color rgb="00000000"/>
      <sz val="10"/>
    </font>
    <font>
      <name val="Calibri"/>
      <b val="1"/>
      <color rgb="00000000"/>
      <sz val="10"/>
    </font>
    <font>
      <name val="Calibri"/>
      <color rgb="00006100"/>
      <sz val="10"/>
    </font>
    <font>
      <name val="Calibri"/>
      <b val="1"/>
      <color rgb="00006100"/>
      <sz val="10"/>
    </font>
    <font>
      <name val="Calibri"/>
      <b val="1"/>
      <color rgb="001F3B2D"/>
      <sz val="22"/>
    </font>
    <font>
      <name val="Calibri"/>
      <color rgb="001F3B5C"/>
      <sz val="14"/>
    </font>
    <font>
      <name val="Calibri"/>
      <i val="1"/>
      <color rgb="00808080"/>
      <sz val="10"/>
    </font>
    <font>
      <name val="Calibri"/>
      <i val="1"/>
      <color rgb="00808080"/>
      <sz val="9"/>
    </font>
    <font>
      <name val="Calibri"/>
      <b val="1"/>
      <color rgb="00000000"/>
      <sz val="9"/>
    </font>
    <font>
      <name val="Calibri"/>
      <b val="1"/>
      <color rgb="00000000"/>
      <sz val="11"/>
    </font>
    <font>
      <name val="Calibri"/>
      <b val="1"/>
      <sz val="10"/>
    </font>
    <font>
      <name val="Calibri"/>
      <color rgb="00000000"/>
      <sz val="9.5"/>
    </font>
    <font>
      <name val="Calibri"/>
      <color rgb="00808080"/>
      <sz val="9"/>
    </font>
    <font>
      <name val="Calibri"/>
      <i val="1"/>
      <color rgb="00808080"/>
      <sz val="8.5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EAF1EC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medium">
        <color rgb="001F3B2D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4" fontId="5" fillId="4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168" fontId="5" fillId="4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6" fontId="4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166" fontId="7" fillId="6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4" fontId="7" fillId="6" borderId="0" applyAlignment="1" pivotButton="0" quotePrefix="0" xfId="0">
      <alignment horizontal="right" vertical="center"/>
    </xf>
    <xf numFmtId="2" fontId="4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4" fontId="8" fillId="0" borderId="0" applyAlignment="1" pivotButton="0" quotePrefix="0" xfId="0">
      <alignment horizontal="right" vertical="center"/>
    </xf>
    <xf numFmtId="164" fontId="9" fillId="6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69" fontId="7" fillId="6" borderId="0" applyAlignment="1" pivotButton="0" quotePrefix="0" xfId="0">
      <alignment horizontal="right" vertical="center"/>
    </xf>
    <xf numFmtId="169" fontId="7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70" fontId="7" fillId="0" borderId="0" applyAlignment="1" pivotButton="0" quotePrefix="0" xfId="0">
      <alignment horizontal="right" vertical="center"/>
    </xf>
    <xf numFmtId="170" fontId="7" fillId="6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0" fillId="0" borderId="2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7" borderId="0" pivotButton="0" quotePrefix="0" xfId="0"/>
    <xf numFmtId="0" fontId="0" fillId="7" borderId="0" pivotButton="0" quotePrefix="0" xfId="0"/>
    <xf numFmtId="0" fontId="4" fillId="0" borderId="0" pivotButton="0" quotePrefix="0" xfId="0"/>
    <xf numFmtId="164" fontId="16" fillId="0" borderId="0" pivotButton="0" quotePrefix="0" xfId="0"/>
    <xf numFmtId="1" fontId="16" fillId="0" borderId="0" pivotButton="0" quotePrefix="0" xfId="0"/>
    <xf numFmtId="0" fontId="17" fillId="0" borderId="0" pivotButton="0" quotePrefix="0" xfId="0"/>
    <xf numFmtId="0" fontId="7" fillId="0" borderId="0" pivotButton="0" quotePrefix="0" xfId="0"/>
    <xf numFmtId="0" fontId="18" fillId="0" borderId="0" pivotButton="0" quotePrefix="0" xfId="0"/>
    <xf numFmtId="0" fontId="19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B2D"/>
    <outlinePr summaryBelow="1" summaryRight="1"/>
    <pageSetUpPr fitToPage="1"/>
  </sheetPr>
  <dimension ref="B2:E40"/>
  <sheetViews>
    <sheetView showGridLines="0" zoomScale="100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20" customWidth="1" min="3" max="3"/>
    <col width="46" customWidth="1" min="4" max="4"/>
  </cols>
  <sheetData>
    <row r="2">
      <c r="B2" s="36" t="inlineStr">
        <is>
          <t>AZALEA HOSPICE &amp; PALLIATIVE CARE</t>
        </is>
      </c>
    </row>
    <row r="3">
      <c r="B3" s="37" t="inlineStr">
        <is>
          <t>Refuge Hospice, LLC Acquisition - Financial Proforma</t>
        </is>
      </c>
    </row>
    <row r="4">
      <c r="B4" s="38" t="inlineStr">
        <is>
          <t>Revision 4.10  |  July 2026  |  Tyler Hospice Hold, LLC (EIN 41-4966640)</t>
        </is>
      </c>
    </row>
    <row r="5">
      <c r="B5" s="39" t="n"/>
      <c r="C5" s="39" t="n"/>
      <c r="D5" s="39" t="n"/>
    </row>
    <row r="6">
      <c r="B6" s="40" t="inlineStr">
        <is>
          <t>Prepared for the SBA 7(a) application (SourceFunding / The Brownmiller Group) and company planning.</t>
        </is>
      </c>
    </row>
    <row r="7">
      <c r="B7" s="40" t="inlineStr">
        <is>
          <t>36 monthly periods (Jul-2026 to Jun-2029). Every calculated cell is a live formula; all inputs on the Control Tower.</t>
        </is>
      </c>
    </row>
    <row r="8">
      <c r="B8" s="41" t="inlineStr">
        <is>
          <t>Working-capital policy: the model assumes no revolving credit facility. Any cash shortfall is presented</t>
        </is>
      </c>
    </row>
    <row r="9">
      <c r="B9" s="41" t="inlineStr">
        <is>
          <t>explicitly as an additional funding requirement rather than absorbed by an assumed facility.</t>
        </is>
      </c>
    </row>
    <row r="11">
      <c r="B11" s="42" t="inlineStr">
        <is>
          <t>HEADLINE METRICS (all cells below are live links)</t>
        </is>
      </c>
      <c r="C11" s="43" t="n"/>
    </row>
    <row r="12">
      <c r="B12" s="44" t="inlineStr">
        <is>
          <t>Net patient revenue - Year 1 / 2 / 3</t>
        </is>
      </c>
      <c r="C12" s="45">
        <f>'3-Year Summary'!B5</f>
        <v/>
      </c>
      <c r="D12" s="45">
        <f>'3-Year Summary'!C5</f>
        <v/>
      </c>
      <c r="E12" s="45">
        <f>'3-Year Summary'!D5</f>
        <v/>
      </c>
    </row>
    <row r="13">
      <c r="B13" s="44" t="inlineStr">
        <is>
          <t>EBITDA (pre-debt-service) - Year 1 / 2 / 3</t>
        </is>
      </c>
      <c r="C13" s="45">
        <f>'3-Year Summary'!B6</f>
        <v/>
      </c>
      <c r="D13" s="45">
        <f>'3-Year Summary'!C6</f>
        <v/>
      </c>
      <c r="E13" s="45">
        <f>'3-Year Summary'!D6</f>
        <v/>
      </c>
    </row>
    <row r="14">
      <c r="B14" s="44" t="inlineStr">
        <is>
          <t>Minimum cash across 36 months (base case)</t>
        </is>
      </c>
      <c r="C14" s="45">
        <f>'Cash Flow &amp; Runway'!B46</f>
        <v/>
      </c>
    </row>
    <row r="15">
      <c r="B15" s="44" t="inlineStr">
        <is>
          <t>Peak additional funding requirement (base case)</t>
        </is>
      </c>
      <c r="C15" s="45">
        <f>'Cash Flow &amp; Runway'!B47</f>
        <v/>
      </c>
    </row>
    <row r="16">
      <c r="B16" s="44" t="inlineStr">
        <is>
          <t>Month-36 ending cash</t>
        </is>
      </c>
      <c r="C16" s="45">
        <f>'Cash Flow &amp; Runway'!AL43</f>
        <v/>
      </c>
    </row>
    <row r="17">
      <c r="B17" s="44" t="inlineStr">
        <is>
          <t>Master integrity check (0 = clean)</t>
        </is>
      </c>
      <c r="C17" s="46">
        <f>'Checks'!B12</f>
        <v/>
      </c>
    </row>
    <row r="19">
      <c r="B19" s="42" t="inlineStr">
        <is>
          <t>FINANCING SEQUENCE (Path A)</t>
        </is>
      </c>
      <c r="C19" s="43" t="n"/>
    </row>
    <row r="20">
      <c r="B20" s="47" t="inlineStr">
        <is>
          <t>Aug 2026 - Equity ($250,000: J. Bullard $195K + G. Schackmann $55K) funds the $125,000 license down payment (49%)</t>
        </is>
      </c>
    </row>
    <row r="21">
      <c r="B21" s="47" t="inlineStr">
        <is>
          <t>Sep 2026 - Interim bank note ($500,000, 6%, 36-mo) pays the sellers in full; surplus to working capital</t>
        </is>
      </c>
    </row>
    <row r="22">
      <c r="B22" s="47" t="inlineStr">
        <is>
          <t>Oct-Dec  - Bank note service of $15,211/month; management salary deferral until break-even census (repaid January)</t>
        </is>
      </c>
    </row>
    <row r="23">
      <c r="B23" s="47" t="inlineStr">
        <is>
          <t>Jan 2027 - SBA 7(a) $500,000 funds at the 51% transfer (42 CFR 424.550(b)) and refinances the bank note</t>
        </is>
      </c>
    </row>
    <row r="24">
      <c r="B24" s="47" t="inlineStr">
        <is>
          <t>Feb 2027 - Single SBA payment of $6,747/month (10.5%, 10-year); recurring coverage 3.8x / 8.6x / 12.2x</t>
        </is>
      </c>
    </row>
    <row r="26">
      <c r="B26" s="42" t="inlineStr">
        <is>
          <t>WORKBOOK CONTENTS</t>
        </is>
      </c>
      <c r="C26" s="43" t="n"/>
    </row>
    <row r="27">
      <c r="B27" s="48" t="inlineStr">
        <is>
          <t>Control Tower</t>
        </is>
      </c>
      <c r="D27" s="49" t="inlineStr">
        <is>
          <t>All model inputs - deal terms, census, rates, staffing, and scenario settings</t>
        </is>
      </c>
    </row>
    <row r="28">
      <c r="B28" s="48" t="inlineStr">
        <is>
          <t>Census Waterfall</t>
        </is>
      </c>
      <c r="D28" s="49" t="inlineStr">
        <is>
          <t>Admissions, discharge waterfall, ADC, patient days</t>
        </is>
      </c>
    </row>
    <row r="29">
      <c r="B29" s="48" t="inlineStr">
        <is>
          <t>Revenue Model</t>
        </is>
      </c>
      <c r="D29" s="49" t="inlineStr">
        <is>
          <t>CMS rate build, payer mix, net patient revenue</t>
        </is>
      </c>
    </row>
    <row r="30">
      <c r="B30" s="48" t="inlineStr">
        <is>
          <t>Staffing</t>
        </is>
      </c>
      <c r="D30" s="49" t="inlineStr">
        <is>
          <t>FTEs (census-driven with staged hiring), payroll, PRN supplement, management salary deferral schedule</t>
        </is>
      </c>
    </row>
    <row r="31">
      <c r="B31" s="48" t="inlineStr">
        <is>
          <t>Operating Budget</t>
        </is>
      </c>
      <c r="D31" s="49" t="inlineStr">
        <is>
          <t>Direct patient care, facility, G&amp;A, contingency</t>
        </is>
      </c>
    </row>
    <row r="32">
      <c r="B32" s="48" t="inlineStr">
        <is>
          <t>P&amp;L</t>
        </is>
      </c>
      <c r="D32" s="49" t="inlineStr">
        <is>
          <t>Accrual P&amp;L with account codes; EBITDA and margins</t>
        </is>
      </c>
    </row>
    <row r="33">
      <c r="B33" s="48" t="inlineStr">
        <is>
          <t>Cash Flow &amp; Runway</t>
        </is>
      </c>
      <c r="D33" s="49" t="inlineStr">
        <is>
          <t>Collections timing, all debt schedules, ending cash, funding requirement (if any)</t>
        </is>
      </c>
    </row>
    <row r="34">
      <c r="B34" s="48" t="inlineStr">
        <is>
          <t>Balance Sheet</t>
        </is>
      </c>
      <c r="D34" s="49" t="inlineStr">
        <is>
          <t>Fully articulated balance sheet; check row equals zero in every month</t>
        </is>
      </c>
    </row>
    <row r="35">
      <c r="B35" s="48" t="inlineStr">
        <is>
          <t>Checks</t>
        </is>
      </c>
      <c r="D35" s="49" t="inlineStr">
        <is>
          <t>Model integrity tests and funding-requirement metrics</t>
        </is>
      </c>
    </row>
    <row r="36">
      <c r="B36" s="48" t="inlineStr">
        <is>
          <t>Dashboard</t>
        </is>
      </c>
      <c r="D36" s="49" t="inlineStr">
        <is>
          <t>Key indicators: DSCR, DSO, Medicare cap cushion, margins</t>
        </is>
      </c>
    </row>
    <row r="37">
      <c r="B37" s="48" t="inlineStr">
        <is>
          <t>3-Year Summary</t>
        </is>
      </c>
      <c r="D37" s="49" t="inlineStr">
        <is>
          <t>Annual rollup and global DSCR</t>
        </is>
      </c>
    </row>
    <row r="38">
      <c r="B38" s="48" t="inlineStr">
        <is>
          <t>Actuals vs Budget</t>
        </is>
      </c>
      <c r="D38" s="49" t="inlineStr">
        <is>
          <t>Enter actuals monthly; variances compute</t>
        </is>
      </c>
    </row>
    <row r="40">
      <c r="B40" s="50" t="inlineStr">
        <is>
          <t>Confidential - prepared for lender and investor diligence. All figures verified by an automated 23-point test harness.</t>
        </is>
      </c>
    </row>
  </sheetData>
  <pageMargins left="0.75" right="0.75" top="1" bottom="1" header="0.5" footer="0.5"/>
  <pageSetup orientation="landscape" fitToHeight="0" fitToWidth="1"/>
  <headerFooter>
    <oddHeader/>
    <oddFooter>&amp;L&amp;8 Azalea Hospice - Proforma Rev 4.10&amp;C&amp;8 Confidential&amp;R&amp;8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N13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70" customWidth="1" min="4" max="4"/>
    <col width="13" customWidth="1" min="5" max="5"/>
    <col width="13" customWidth="1" min="6" max="6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CONTROL TOWER - all model inputs. Yellow cells are inputs; all other cells in the workbook are formulas.</t>
        </is>
      </c>
    </row>
    <row r="4">
      <c r="A4" s="3" t="inlineStr">
        <is>
          <t>COMPANY &amp; DEAL  (current Refuge structure)</t>
        </is>
      </c>
    </row>
    <row r="5">
      <c r="A5" s="4" t="inlineStr">
        <is>
          <t>Starting capital on deposit (equity)</t>
        </is>
      </c>
      <c r="B5" s="5" t="n">
        <v>250000</v>
      </c>
      <c r="D5" s="6" t="inlineStr">
        <is>
          <t>Jim Bullard $195K + owner $55K</t>
        </is>
      </c>
    </row>
    <row r="6">
      <c r="A6" s="4" t="inlineStr">
        <is>
          <t>Pre-opening / startup spend from capital</t>
        </is>
      </c>
      <c r="B6" s="5" t="n">
        <v>0</v>
      </c>
      <c r="D6" s="6" t="inlineStr">
        <is>
          <t>0 = funded elsewhere</t>
        </is>
      </c>
    </row>
    <row r="7">
      <c r="A7" s="4" t="inlineStr">
        <is>
          <t>Refuge license purchase price (100% membership CHOW)</t>
        </is>
      </c>
      <c r="B7" s="5" t="n">
        <v>500000</v>
      </c>
      <c r="D7" s="6" t="inlineStr">
        <is>
          <t>Acct 1980 intangible</t>
        </is>
      </c>
    </row>
    <row r="8">
      <c r="A8" s="4" t="inlineStr">
        <is>
          <t>Down payment at closing (Month 1)</t>
        </is>
      </c>
      <c r="B8" s="5" t="n">
        <v>125000</v>
      </c>
    </row>
    <row r="9">
      <c r="A9" s="4" t="inlineStr">
        <is>
          <t>Seller monthly payment (MIPA 7/14/2026)</t>
        </is>
      </c>
      <c r="B9" s="5" t="n">
        <v>31250</v>
      </c>
      <c r="D9" s="6" t="inlineStr">
        <is>
          <t>$31,250/mo Sep-Dec per executed MIPA</t>
        </is>
      </c>
    </row>
    <row r="10">
      <c r="A10" s="4" t="inlineStr">
        <is>
          <t>First seller payment month</t>
        </is>
      </c>
      <c r="B10" s="7" t="n">
        <v>3</v>
      </c>
      <c r="D10" s="6" t="inlineStr">
        <is>
          <t>3 = September</t>
        </is>
      </c>
    </row>
    <row r="11">
      <c r="A11" s="4" t="inlineStr">
        <is>
          <t>Last seller payment month</t>
        </is>
      </c>
      <c r="B11" s="7" t="n">
        <v>6</v>
      </c>
      <c r="D11" s="6" t="inlineStr">
        <is>
          <t>6 = December</t>
        </is>
      </c>
    </row>
    <row r="12">
      <c r="A12" s="4" t="inlineStr">
        <is>
          <t>Seller note simple interest (APR)</t>
        </is>
      </c>
      <c r="B12" s="8" t="n">
        <v>0.06</v>
      </c>
    </row>
    <row r="13">
      <c r="A13" s="4" t="inlineStr">
        <is>
          <t>Balloon month (36-month rule / January)</t>
        </is>
      </c>
      <c r="B13" s="7" t="n">
        <v>7</v>
      </c>
    </row>
    <row r="14">
      <c r="A14" s="4" t="inlineStr">
        <is>
          <t>Balloon takeout note rate (APR)</t>
        </is>
      </c>
      <c r="B14" s="8" t="n">
        <v>0.06</v>
      </c>
      <c r="D14" s="6" t="inlineStr">
        <is>
          <t>BASE CASE: SBA/bank funds the Jan balloon; modeled at the conservative 6%/36 basis</t>
        </is>
      </c>
    </row>
    <row r="15">
      <c r="A15" s="4" t="inlineStr">
        <is>
          <t>Balloon takeout note term (months)</t>
        </is>
      </c>
      <c r="B15" s="7" t="n">
        <v>36</v>
      </c>
    </row>
    <row r="16">
      <c r="A16" s="4" t="inlineStr">
        <is>
          <t>INTERIM BANK NOTE (1 = $500K/6%/36 funds Sept - base case)</t>
        </is>
      </c>
      <c r="B16" s="7" t="n">
        <v>1</v>
      </c>
      <c r="D16" s="6" t="inlineStr">
        <is>
          <t>Base case: interim bank note retires the seller balance in September; 0 = seller carried to the January balloon per the MIPA</t>
        </is>
      </c>
    </row>
    <row r="17">
      <c r="A17" s="4" t="inlineStr">
        <is>
          <t>Full-refi funding month</t>
        </is>
      </c>
      <c r="B17" s="7" t="n">
        <v>3</v>
      </c>
      <c r="D17" s="6" t="inlineStr">
        <is>
          <t>3 = September</t>
        </is>
      </c>
    </row>
    <row r="18">
      <c r="A18" s="4" t="inlineStr">
        <is>
          <t>Full-refi amount</t>
        </is>
      </c>
      <c r="B18" s="5" t="n">
        <v>500000</v>
      </c>
    </row>
    <row r="19">
      <c r="A19" s="4" t="inlineStr">
        <is>
          <t>Full-refi rate (APR)</t>
        </is>
      </c>
      <c r="B19" s="8" t="n">
        <v>0.06</v>
      </c>
    </row>
    <row r="20">
      <c r="A20" s="4" t="inlineStr">
        <is>
          <t>Full-refi term (months)</t>
        </is>
      </c>
      <c r="B20" s="7" t="n">
        <v>36</v>
      </c>
    </row>
    <row r="21">
      <c r="A21" s="4" t="inlineStr">
        <is>
          <t>SBA 7(a) LOAN (1 = funds and refinances the bank note - base case)</t>
        </is>
      </c>
      <c r="B21" s="7" t="n">
        <v>1</v>
      </c>
      <c r="D21" s="6" t="inlineStr">
        <is>
          <t>SBA proceeds retire the bank-note balance at the funding month</t>
        </is>
      </c>
    </row>
    <row r="22">
      <c r="A22" s="4" t="inlineStr">
        <is>
          <t>SBA funding month</t>
        </is>
      </c>
      <c r="B22" s="7" t="n">
        <v>7</v>
      </c>
      <c r="D22" s="6" t="inlineStr">
        <is>
          <t>7 = January (51% transfer / 42 CFR 424.550(b) date)</t>
        </is>
      </c>
    </row>
    <row r="23">
      <c r="A23" s="4" t="inlineStr">
        <is>
          <t>SBA amount</t>
        </is>
      </c>
      <c r="B23" s="5" t="n">
        <v>500000</v>
      </c>
    </row>
    <row r="24">
      <c r="A24" s="4" t="inlineStr">
        <is>
          <t>SBA rate (APR)</t>
        </is>
      </c>
      <c r="B24" s="8" t="n">
        <v>0.105</v>
      </c>
    </row>
    <row r="25">
      <c r="A25" s="4" t="inlineStr">
        <is>
          <t>SBA term (months)</t>
        </is>
      </c>
      <c r="B25" s="7" t="n">
        <v>120</v>
      </c>
      <c r="D25" s="6" t="inlineStr">
        <is>
          <t>10-year 7(a); ~$6,747/mo at 10.5%</t>
        </is>
      </c>
    </row>
    <row r="26">
      <c r="A26" s="4" t="inlineStr">
        <is>
          <t>License intangible amortization (yrs, Acct 7200)</t>
        </is>
      </c>
      <c r="B26" s="7" t="n">
        <v>15</v>
      </c>
    </row>
    <row r="27">
      <c r="A27" s="4" t="inlineStr">
        <is>
          <t>CHOW / go-live month (amortization starts)</t>
        </is>
      </c>
      <c r="B27" s="7" t="n">
        <v>1</v>
      </c>
    </row>
    <row r="28">
      <c r="A28" s="3" t="inlineStr">
        <is>
          <t>CENSUS  (admissions row lives on Census Waterfall - blue)</t>
        </is>
      </c>
    </row>
    <row r="29">
      <c r="A29" s="4" t="inlineStr">
        <is>
          <t>Days per month (model uniform)</t>
        </is>
      </c>
      <c r="B29" s="9" t="n">
        <v>30.4</v>
      </c>
    </row>
    <row r="30">
      <c r="A30" s="4" t="inlineStr">
        <is>
          <t>Average length of stay (days)</t>
        </is>
      </c>
      <c r="B30" s="9" t="n">
        <v>82</v>
      </c>
      <c r="D30" s="6" t="inlineStr">
        <is>
          <t>drives discharges = BOM x days/ALOS</t>
        </is>
      </c>
    </row>
    <row r="31">
      <c r="A31" s="4" t="inlineStr">
        <is>
          <t>Deaths as share of discharges</t>
        </is>
      </c>
      <c r="B31" s="8" t="n">
        <v>0.55</v>
      </c>
    </row>
    <row r="32">
      <c r="A32" s="3" t="inlineStr">
        <is>
          <t>SCENARIO CASES  (1 = Base, 2 = Downside, 3 = Upside; active values are formulas)</t>
        </is>
      </c>
    </row>
    <row r="33">
      <c r="A33" s="4" t="inlineStr">
        <is>
          <t>ACTIVE CASE</t>
        </is>
      </c>
      <c r="B33" s="7" t="n">
        <v>1</v>
      </c>
      <c r="D33" s="6" t="inlineStr">
        <is>
          <t>flip 1/2/3 - drives capture, payroll adj, CHOW hold</t>
        </is>
      </c>
    </row>
    <row r="34">
      <c r="A34" s="4" t="inlineStr">
        <is>
          <t>Case matrix:</t>
        </is>
      </c>
      <c r="B34" s="10" t="inlineStr">
        <is>
          <t>Base</t>
        </is>
      </c>
      <c r="C34" s="10" t="inlineStr">
        <is>
          <t>Downside</t>
        </is>
      </c>
      <c r="D34" s="10" t="inlineStr">
        <is>
          <t>Upside</t>
        </is>
      </c>
    </row>
    <row r="35">
      <c r="A35" s="4" t="inlineStr">
        <is>
          <t xml:space="preserve">  Census capture</t>
        </is>
      </c>
      <c r="B35" s="8" t="n">
        <v>1</v>
      </c>
      <c r="C35" s="8" t="n">
        <v>0.85</v>
      </c>
      <c r="D35" s="8" t="n">
        <v>1.1</v>
      </c>
    </row>
    <row r="36">
      <c r="A36" s="4" t="inlineStr">
        <is>
          <t xml:space="preserve">  Payroll adjustment</t>
        </is>
      </c>
      <c r="B36" s="8" t="n">
        <v>0</v>
      </c>
      <c r="C36" s="8" t="n">
        <v>0.1</v>
      </c>
      <c r="D36" s="8" t="n">
        <v>0</v>
      </c>
    </row>
    <row r="37">
      <c r="A37" s="4" t="inlineStr">
        <is>
          <t xml:space="preserve">  CHOW hold (months)</t>
        </is>
      </c>
      <c r="B37" s="7" t="n">
        <v>1</v>
      </c>
      <c r="C37" s="7" t="n">
        <v>2</v>
      </c>
      <c r="D37" s="7" t="n">
        <v>0</v>
      </c>
    </row>
    <row r="38">
      <c r="A38" s="4" t="inlineStr">
        <is>
          <t>ACTIVE census capture (formula)</t>
        </is>
      </c>
      <c r="B38" s="11">
        <f>CHOOSE('Control Tower'!$B$33,'Control Tower'!$B$35,'Control Tower'!$C$35,'Control Tower'!$D$35)</f>
        <v/>
      </c>
    </row>
    <row r="39">
      <c r="A39" s="4" t="inlineStr">
        <is>
          <t>ACTIVE payroll adjustment (formula)</t>
        </is>
      </c>
      <c r="B39" s="11">
        <f>CHOOSE('Control Tower'!$B$33,'Control Tower'!$B$36,'Control Tower'!$C$36,'Control Tower'!$D$36)</f>
        <v/>
      </c>
    </row>
    <row r="40">
      <c r="A40" s="4" t="inlineStr">
        <is>
          <t>ACTIVE CHOW hold (formula)</t>
        </is>
      </c>
      <c r="B40" s="12">
        <f>CHOOSE('Control Tower'!$B$33,'Control Tower'!$B$37,'Control Tower'!$C$37,'Control Tower'!$D$37)</f>
        <v/>
      </c>
    </row>
    <row r="41">
      <c r="A41" s="3" t="inlineStr">
        <is>
          <t>REVENUE - CMS FY2026 SMITH COUNTY  (Acct 3000/3010)</t>
        </is>
      </c>
    </row>
    <row r="42">
      <c r="A42" s="4" t="inlineStr">
        <is>
          <t>Medicare RHC HIGH rate, days 1-60 ($/day, net of seq.)</t>
        </is>
      </c>
      <c r="B42" s="13" t="n">
        <v>212.76</v>
      </c>
      <c r="D42" s="6" t="inlineStr">
        <is>
          <t>217.10 x 98 pct</t>
        </is>
      </c>
    </row>
    <row r="43">
      <c r="A43" s="4" t="inlineStr">
        <is>
          <t>Medicare RHC LOW rate, days 61+ ($/day, net of seq.)</t>
        </is>
      </c>
      <c r="B43" s="13" t="n">
        <v>167.7</v>
      </c>
      <c r="D43" s="6" t="inlineStr">
        <is>
          <t>171.12 x 98 pct</t>
        </is>
      </c>
    </row>
    <row r="44">
      <c r="A44" s="4" t="inlineStr">
        <is>
          <t>Texas Medicaid rate ($/day)</t>
        </is>
      </c>
      <c r="B44" s="13" t="n">
        <v>155</v>
      </c>
      <c r="D44" s="6" t="inlineStr">
        <is>
          <t>verify with TMHP</t>
        </is>
      </c>
    </row>
    <row r="45">
      <c r="A45" s="4" t="inlineStr">
        <is>
          <t>Medicare payer mix</t>
        </is>
      </c>
      <c r="B45" s="8" t="n">
        <v>1</v>
      </c>
    </row>
    <row r="46">
      <c r="A46" s="4" t="inlineStr">
        <is>
          <t>% Medicare days at HIGH rate</t>
        </is>
      </c>
      <c r="B46" s="8" t="n">
        <v>0.15</v>
      </c>
      <c r="D46" s="6" t="inlineStr">
        <is>
          <t>transfer panel mostly days 61+</t>
        </is>
      </c>
    </row>
    <row r="47">
      <c r="A47" s="4" t="inlineStr">
        <is>
          <t>Billing company fee (% of gross, Acct 6510-Z)</t>
        </is>
      </c>
      <c r="B47" s="8" t="n">
        <v>0.015</v>
      </c>
    </row>
    <row r="48">
      <c r="A48" s="4" t="inlineStr">
        <is>
          <t>CMS rate escalation (annual, yrs 2-3)</t>
        </is>
      </c>
      <c r="B48" s="8" t="n">
        <v>0.025</v>
      </c>
    </row>
    <row r="49">
      <c r="A49" s="4" t="inlineStr">
        <is>
          <t>Opex inflation on fixed G&amp;A/facility (annual, yrs 2-3)</t>
        </is>
      </c>
      <c r="B49" s="8" t="n">
        <v>0.03</v>
      </c>
    </row>
    <row r="50">
      <c r="A50" s="3" t="inlineStr">
        <is>
          <t>COLLECTIONS TIMING  (cash engine)</t>
        </is>
      </c>
    </row>
    <row r="51">
      <c r="A51" s="4" t="inlineStr">
        <is>
          <t>% collected same month</t>
        </is>
      </c>
      <c r="B51" s="8" t="n">
        <v>0</v>
      </c>
    </row>
    <row r="52">
      <c r="A52" s="4" t="inlineStr">
        <is>
          <t>% collected month +1</t>
        </is>
      </c>
      <c r="B52" s="8" t="n">
        <v>1</v>
      </c>
    </row>
    <row r="53">
      <c r="A53" s="4" t="inlineStr">
        <is>
          <t>% collected month +2</t>
        </is>
      </c>
      <c r="B53" s="8" t="n">
        <v>0</v>
      </c>
    </row>
    <row r="54">
      <c r="A54" s="3" t="inlineStr">
        <is>
          <t>CLINICAL LABOR  (Acct 4000; benefits and workers compensation loads)</t>
        </is>
      </c>
    </row>
    <row r="55">
      <c r="A55" s="4" t="inlineStr">
        <is>
          <t>Benefits &amp; payroll tax load (employed)</t>
        </is>
      </c>
      <c r="B55" s="8" t="n">
        <v>0.22</v>
      </c>
      <c r="D55" s="6" t="inlineStr">
        <is>
          <t>industry range 22-28%; modeled at 22%</t>
        </is>
      </c>
    </row>
    <row r="56">
      <c r="A56" s="4" t="inlineStr">
        <is>
          <t>Workers comp (% of employed payroll)</t>
        </is>
      </c>
      <c r="B56" s="8" t="n">
        <v>0.03</v>
      </c>
    </row>
    <row r="57">
      <c r="A57" s="4" t="inlineStr">
        <is>
          <t>Salary escalation (annual, yrs 2-3)</t>
        </is>
      </c>
      <c r="B57" s="8" t="n">
        <v>0.03</v>
      </c>
    </row>
    <row r="58">
      <c r="A58" s="4" t="inlineStr">
        <is>
          <t>RN Case Manager salary</t>
        </is>
      </c>
      <c r="B58" s="5" t="n">
        <v>80000</v>
      </c>
    </row>
    <row r="59">
      <c r="A59" s="4" t="inlineStr">
        <is>
          <t>RN caseload (patients : 1 FTE)</t>
        </is>
      </c>
      <c r="B59" s="9" t="n">
        <v>12</v>
      </c>
    </row>
    <row r="60">
      <c r="A60" s="4" t="inlineStr">
        <is>
          <t>RN On-Call salary (per 1.0 FTE)</t>
        </is>
      </c>
      <c r="B60" s="5" t="n">
        <v>80000</v>
      </c>
    </row>
    <row r="61">
      <c r="A61" s="4" t="inlineStr">
        <is>
          <t>RN On-Call minimum FTE</t>
        </is>
      </c>
      <c r="B61" s="14" t="n">
        <v>0.25</v>
      </c>
    </row>
    <row r="62">
      <c r="A62" s="4" t="inlineStr">
        <is>
          <t>Hospice Aide / CNA salary</t>
        </is>
      </c>
      <c r="B62" s="5" t="n">
        <v>48000</v>
      </c>
    </row>
    <row r="63">
      <c r="A63" s="4" t="inlineStr">
        <is>
          <t>CNA caseload (patients : 1 FTE)</t>
        </is>
      </c>
      <c r="B63" s="9" t="n">
        <v>10</v>
      </c>
    </row>
    <row r="64">
      <c r="A64" s="4" t="inlineStr">
        <is>
          <t>MSW salary</t>
        </is>
      </c>
      <c r="B64" s="5" t="n">
        <v>60000</v>
      </c>
    </row>
    <row r="65">
      <c r="A65" s="4" t="inlineStr">
        <is>
          <t>MSW caseload (patients : 1 FTE)</t>
        </is>
      </c>
      <c r="B65" s="9" t="n">
        <v>30</v>
      </c>
    </row>
    <row r="66">
      <c r="A66" s="4" t="inlineStr">
        <is>
          <t>Chaplain base PRN contract ($/mo, Acct 4020-0-6-7)</t>
        </is>
      </c>
      <c r="B66" s="5" t="n">
        <v>600</v>
      </c>
    </row>
    <row r="67">
      <c r="A67" s="4" t="inlineStr">
        <is>
          <t>Medical director stipend ($/mo, Acct 4020-0-6-M)</t>
        </is>
      </c>
      <c r="B67" s="5" t="n">
        <v>4000</v>
      </c>
    </row>
    <row r="68">
      <c r="A68" s="4" t="inlineStr">
        <is>
          <t>Medical director start month</t>
        </is>
      </c>
      <c r="B68" s="7" t="n">
        <v>1</v>
      </c>
    </row>
    <row r="69">
      <c r="A69" s="3" t="inlineStr">
        <is>
          <t>PRN PER-VISIT SUPPLEMENT  (1099; applies when FTE capacity is below required visits)</t>
        </is>
      </c>
    </row>
    <row r="70">
      <c r="A70" s="4" t="inlineStr">
        <is>
          <t>RN required visits / patient / month</t>
        </is>
      </c>
      <c r="B70" s="9" t="n">
        <v>2</v>
      </c>
      <c r="D70" s="6" t="inlineStr">
        <is>
          <t>CoP 418.56 - q14 days</t>
        </is>
      </c>
    </row>
    <row r="71">
      <c r="A71" s="4" t="inlineStr">
        <is>
          <t>RN visits capacity / FTE / month</t>
        </is>
      </c>
      <c r="B71" s="9" t="n">
        <v>24</v>
      </c>
    </row>
    <row r="72">
      <c r="A72" s="4" t="inlineStr">
        <is>
          <t>RN PRN rate ($/visit)</t>
        </is>
      </c>
      <c r="B72" s="13" t="n">
        <v>85</v>
      </c>
    </row>
    <row r="73">
      <c r="A73" s="4" t="inlineStr">
        <is>
          <t>Aide required visits / patient / month</t>
        </is>
      </c>
      <c r="B73" s="9" t="n">
        <v>8</v>
      </c>
    </row>
    <row r="74">
      <c r="A74" s="4" t="inlineStr">
        <is>
          <t>Aide visits capacity / FTE / month</t>
        </is>
      </c>
      <c r="B74" s="9" t="n">
        <v>80</v>
      </c>
    </row>
    <row r="75">
      <c r="A75" s="4" t="inlineStr">
        <is>
          <t>Aide PRN rate ($/visit)</t>
        </is>
      </c>
      <c r="B75" s="13" t="n">
        <v>45</v>
      </c>
    </row>
    <row r="76">
      <c r="A76" s="4" t="inlineStr">
        <is>
          <t>MSW required visits / patient / month</t>
        </is>
      </c>
      <c r="B76" s="9" t="n">
        <v>1</v>
      </c>
    </row>
    <row r="77">
      <c r="A77" s="4" t="inlineStr">
        <is>
          <t>MSW visits capacity / FTE / month</t>
        </is>
      </c>
      <c r="B77" s="9" t="n">
        <v>20</v>
      </c>
    </row>
    <row r="78">
      <c r="A78" s="4" t="inlineStr">
        <is>
          <t>MSW PRN rate ($/visit)</t>
        </is>
      </c>
      <c r="B78" s="13" t="n">
        <v>75</v>
      </c>
    </row>
    <row r="79">
      <c r="A79" s="4" t="inlineStr">
        <is>
          <t>Chaplain required visits / patient / month</t>
        </is>
      </c>
      <c r="B79" s="9" t="n">
        <v>1</v>
      </c>
    </row>
    <row r="80">
      <c r="A80" s="4" t="inlineStr">
        <is>
          <t>Chaplain visits covered by base contract</t>
        </is>
      </c>
      <c r="B80" s="9" t="n">
        <v>8</v>
      </c>
    </row>
    <row r="81">
      <c r="A81" s="4" t="inlineStr">
        <is>
          <t>Chaplain PRN rate ($/visit)</t>
        </is>
      </c>
      <c r="B81" s="13" t="n">
        <v>60</v>
      </c>
    </row>
    <row r="82">
      <c r="A82" s="3" t="inlineStr">
        <is>
          <t>INDIRECT LABOR - ADMIN &amp; LEADERSHIP  (Acct 4000-0-*)</t>
        </is>
      </c>
    </row>
    <row r="83">
      <c r="A83" s="4" t="inlineStr">
        <is>
          <t>Silas Shelton - Executive Director salary</t>
        </is>
      </c>
      <c r="B83" s="5" t="n">
        <v>150000</v>
      </c>
    </row>
    <row r="84">
      <c r="A84" s="4" t="inlineStr">
        <is>
          <t xml:space="preserve">  start month</t>
        </is>
      </c>
      <c r="B84" s="7" t="n">
        <v>2</v>
      </c>
    </row>
    <row r="85">
      <c r="A85" s="4" t="inlineStr">
        <is>
          <t>Dana Davenport - Director of Nursing salary</t>
        </is>
      </c>
      <c r="B85" s="5" t="n">
        <v>120000</v>
      </c>
    </row>
    <row r="86">
      <c r="A86" s="4" t="inlineStr">
        <is>
          <t xml:space="preserve">  start month</t>
        </is>
      </c>
      <c r="B86" s="7" t="n">
        <v>2</v>
      </c>
    </row>
    <row r="87">
      <c r="A87" s="4" t="inlineStr">
        <is>
          <t>Brad Woodard - Director of Sales salary</t>
        </is>
      </c>
      <c r="B87" s="5" t="n">
        <v>120000</v>
      </c>
    </row>
    <row r="88">
      <c r="A88" s="4" t="inlineStr">
        <is>
          <t xml:space="preserve">  start month</t>
        </is>
      </c>
      <c r="B88" s="7" t="n">
        <v>1</v>
      </c>
    </row>
    <row r="89">
      <c r="A89" s="4" t="inlineStr">
        <is>
          <t>Rhonda Smith - ADON / Intake salary</t>
        </is>
      </c>
      <c r="B89" s="5" t="n">
        <v>60000</v>
      </c>
    </row>
    <row r="90">
      <c r="A90" s="4" t="inlineStr">
        <is>
          <t xml:space="preserve">  start month</t>
        </is>
      </c>
      <c r="B90" s="7" t="n">
        <v>1</v>
      </c>
    </row>
    <row r="91">
      <c r="A91" s="4" t="inlineStr">
        <is>
          <t>Volunteer + Bereavement Coordinator salary</t>
        </is>
      </c>
      <c r="B91" s="5" t="n">
        <v>50000</v>
      </c>
    </row>
    <row r="92">
      <c r="A92" s="4" t="inlineStr">
        <is>
          <t xml:space="preserve">  start month</t>
        </is>
      </c>
      <c r="B92" s="7" t="n">
        <v>1</v>
      </c>
    </row>
    <row r="93">
      <c r="A93" s="4" t="inlineStr">
        <is>
          <t>QAPI / Compliance salary (per 1.0 FTE)</t>
        </is>
      </c>
      <c r="B93" s="5" t="n">
        <v>70000</v>
      </c>
    </row>
    <row r="94">
      <c r="A94" s="4" t="inlineStr">
        <is>
          <t>QAPI 0.5 FTE begins at ADC &gt;=</t>
        </is>
      </c>
      <c r="B94" s="9" t="n">
        <v>40</v>
      </c>
    </row>
    <row r="95">
      <c r="A95" s="3" t="inlineStr">
        <is>
          <t>DIRECT PATIENT CARE - per patient-day  (Acct 5050-5120)</t>
        </is>
      </c>
    </row>
    <row r="96">
      <c r="A96" s="4" t="inlineStr">
        <is>
          <t>DME rental ($/PD, 5050)</t>
        </is>
      </c>
      <c r="B96" s="13" t="n">
        <v>9</v>
      </c>
    </row>
    <row r="97">
      <c r="A97" s="4" t="inlineStr">
        <is>
          <t>Medications ($/PD, 5100)</t>
        </is>
      </c>
      <c r="B97" s="13" t="n">
        <v>3.5</v>
      </c>
    </row>
    <row r="98">
      <c r="A98" s="4" t="inlineStr">
        <is>
          <t>Medical supplies ($/PD, 5090)</t>
        </is>
      </c>
      <c r="B98" s="13" t="n">
        <v>3</v>
      </c>
    </row>
    <row r="99">
      <c r="A99" s="4" t="inlineStr">
        <is>
          <t>Clinical mileage ($/PD, 5110)</t>
        </is>
      </c>
      <c r="B99" s="13" t="n">
        <v>0.5</v>
      </c>
    </row>
    <row r="100">
      <c r="A100" s="4" t="inlineStr">
        <is>
          <t>Mobile communications - clinical ($/mo, 5120)</t>
        </is>
      </c>
      <c r="B100" s="5" t="n">
        <v>50</v>
      </c>
    </row>
    <row r="101">
      <c r="A101" s="3" t="inlineStr">
        <is>
          <t>FACILITY  (700 N Main St - Acct 6010-6150; rent steps with census)</t>
        </is>
      </c>
    </row>
    <row r="102">
      <c r="A102" s="4" t="inlineStr">
        <is>
          <t>Rent - Year 1 ($/mo)</t>
        </is>
      </c>
      <c r="B102" s="5" t="n">
        <v>3000</v>
      </c>
    </row>
    <row r="103">
      <c r="A103" s="4" t="inlineStr">
        <is>
          <t>Rent - Year 2 ($/mo)</t>
        </is>
      </c>
      <c r="B103" s="5" t="n">
        <v>5000</v>
      </c>
    </row>
    <row r="104">
      <c r="A104" s="4" t="inlineStr">
        <is>
          <t>Rent - Year 3 ($/mo)</t>
        </is>
      </c>
      <c r="B104" s="5" t="n">
        <v>7000</v>
      </c>
    </row>
    <row r="105">
      <c r="A105" s="4" t="inlineStr">
        <is>
          <t>Utilities ($/mo, 6150)</t>
        </is>
      </c>
      <c r="B105" s="5" t="n">
        <v>250</v>
      </c>
    </row>
    <row r="106">
      <c r="A106" s="4" t="inlineStr">
        <is>
          <t>Maintenance &amp; repairs ($/mo, 6060)</t>
        </is>
      </c>
      <c r="B106" s="5" t="n">
        <v>100</v>
      </c>
    </row>
    <row r="107">
      <c r="A107" s="4" t="inlineStr">
        <is>
          <t>Alarm system ($/mo, 6010)</t>
        </is>
      </c>
      <c r="B107" s="5" t="n">
        <v>100</v>
      </c>
    </row>
    <row r="108">
      <c r="A108" s="3" t="inlineStr">
        <is>
          <t>G&amp;A  (greater of fixed amount or % of net revenue)</t>
        </is>
      </c>
    </row>
    <row r="109">
      <c r="A109" s="4" t="inlineStr">
        <is>
          <t>EMR base platform ($/mo)</t>
        </is>
      </c>
      <c r="B109" s="5" t="n">
        <v>0</v>
      </c>
    </row>
    <row r="110">
      <c r="A110" s="4" t="inlineStr">
        <is>
          <t>EMR per active patient ($/patient/mo)</t>
        </is>
      </c>
      <c r="B110" s="5" t="n">
        <v>75</v>
      </c>
    </row>
    <row r="111">
      <c r="A111" s="4" t="inlineStr">
        <is>
          <t>Malpractice / professional liability  (6580-Z)</t>
        </is>
      </c>
      <c r="B111" s="5" t="n">
        <v>833.33</v>
      </c>
      <c r="C111" s="15" t="n">
        <v>0</v>
      </c>
    </row>
    <row r="112">
      <c r="A112" s="4" t="inlineStr">
        <is>
          <t>General liability insurance  (6580-Z)</t>
        </is>
      </c>
      <c r="B112" s="5" t="n">
        <v>150</v>
      </c>
      <c r="C112" s="15" t="n">
        <v>0</v>
      </c>
    </row>
    <row r="113">
      <c r="A113" s="4" t="inlineStr">
        <is>
          <t>Phone &amp; internet  (6710-Z)</t>
        </is>
      </c>
      <c r="B113" s="5" t="n">
        <v>100</v>
      </c>
      <c r="C113" s="15" t="n">
        <v>0</v>
      </c>
    </row>
    <row r="114">
      <c r="A114" s="4" t="inlineStr">
        <is>
          <t>Marketing &amp; referral development  (6800-M)</t>
        </is>
      </c>
      <c r="B114" s="5" t="n">
        <v>1000</v>
      </c>
      <c r="C114" s="15" t="n">
        <v>0.015</v>
      </c>
    </row>
    <row r="115">
      <c r="A115" s="4" t="inlineStr">
        <is>
          <t>Accounting &amp; bookkeeping  (6510-Z)</t>
        </is>
      </c>
      <c r="B115" s="5" t="n">
        <v>950</v>
      </c>
      <c r="C115" s="15" t="n">
        <v>0.01</v>
      </c>
    </row>
    <row r="116">
      <c r="A116" s="4" t="inlineStr">
        <is>
          <t>Legal &amp; compliance  (6600-Z)</t>
        </is>
      </c>
      <c r="B116" s="5" t="n">
        <v>250</v>
      </c>
      <c r="C116" s="15" t="n">
        <v>0.003</v>
      </c>
      <c r="D116" s="6" t="inlineStr">
        <is>
          <t>starts month 4</t>
        </is>
      </c>
    </row>
    <row r="117">
      <c r="A117" s="4" t="inlineStr">
        <is>
          <t>Office supplies  (6650-Z)</t>
        </is>
      </c>
      <c r="B117" s="5" t="n">
        <v>300</v>
      </c>
      <c r="C117" s="15" t="n">
        <v>0.005</v>
      </c>
    </row>
    <row r="118">
      <c r="A118" s="4" t="inlineStr">
        <is>
          <t>Continuing education &amp; licensing  (6560-Z)</t>
        </is>
      </c>
      <c r="B118" s="5" t="n">
        <v>100</v>
      </c>
      <c r="C118" s="15" t="n">
        <v>0.001</v>
      </c>
    </row>
    <row r="119">
      <c r="A119" s="4" t="inlineStr">
        <is>
          <t>Dues &amp; subscriptions  (6570/6705)</t>
        </is>
      </c>
      <c r="B119" s="5" t="n">
        <v>100</v>
      </c>
      <c r="C119" s="15" t="n">
        <v>0</v>
      </c>
    </row>
    <row r="120">
      <c r="A120" s="4" t="inlineStr">
        <is>
          <t>Postage, printing &amp; copier  (6565/6670)</t>
        </is>
      </c>
      <c r="B120" s="5" t="n">
        <v>200</v>
      </c>
      <c r="C120" s="15" t="n">
        <v>0</v>
      </c>
    </row>
    <row r="121">
      <c r="A121" s="4" t="inlineStr">
        <is>
          <t>Contingency reserve (below EBITDA - non-GAAP buffer)  (6640-Z)</t>
        </is>
      </c>
      <c r="B121" s="5" t="n">
        <v>500</v>
      </c>
      <c r="C121" s="15" t="n">
        <v>0.05</v>
      </c>
    </row>
    <row r="122">
      <c r="A122" s="3" t="inlineStr">
        <is>
          <t>WORKING-CAPITAL POLICY (no revolving facility assumed; any funding requirement is stated explicitly)</t>
        </is>
      </c>
    </row>
    <row r="123">
      <c r="A123" s="4" t="inlineStr">
        <is>
          <t>MANAGEMENT SALARY DEFERRAL (1 = active)</t>
        </is>
      </c>
      <c r="B123" s="7" t="n">
        <v>1</v>
      </c>
      <c r="D123" s="6" t="inlineStr">
        <is>
          <t>three owner-operators defer salary until break-even census; wages accrue on the P&amp;L and are repaid at the repayment month</t>
        </is>
      </c>
    </row>
    <row r="124">
      <c r="A124" s="4" t="inlineStr">
        <is>
          <t>Deferral release: prior-month ADC threshold</t>
        </is>
      </c>
      <c r="B124" s="9" t="n">
        <v>18</v>
      </c>
      <c r="D124" s="6" t="inlineStr">
        <is>
          <t>~break-even census</t>
        </is>
      </c>
    </row>
    <row r="125">
      <c r="A125" s="4" t="inlineStr">
        <is>
          <t>Deferred-comp repayment month</t>
        </is>
      </c>
      <c r="B125" s="7" t="n">
        <v>7</v>
      </c>
      <c r="D125" s="6" t="inlineStr">
        <is>
          <t>7 = January (post-collections catch-up)</t>
        </is>
      </c>
    </row>
    <row r="126">
      <c r="A126" s="4" t="inlineStr">
        <is>
          <t>CLINICAL HIRE LAG (1 = staff to prior-month census)</t>
        </is>
      </c>
      <c r="B126" s="7" t="n">
        <v>1</v>
      </c>
      <c r="D126" s="6" t="inlineStr">
        <is>
          <t>PRN 1099 supplement covers the gap at per-visit rates</t>
        </is>
      </c>
    </row>
    <row r="127">
      <c r="A127" s="4" t="inlineStr">
        <is>
          <t>Day-1 core RN FTE (floor)</t>
        </is>
      </c>
      <c r="B127" s="14" t="n">
        <v>1</v>
      </c>
    </row>
    <row r="128">
      <c r="A128" s="4" t="inlineStr">
        <is>
          <t>Day-1 core CNA FTE (floor)</t>
        </is>
      </c>
      <c r="B128" s="14" t="n">
        <v>1</v>
      </c>
    </row>
    <row r="129">
      <c r="A129" s="4" t="inlineStr">
        <is>
          <t>SCENARIO: seller installment deferral (1 = installments roll to Jan balloon)</t>
        </is>
      </c>
      <c r="B129" s="7" t="n">
        <v>0</v>
      </c>
      <c r="D129" s="6" t="inlineStr">
        <is>
          <t>contingency scenario; excluded from the base case</t>
        </is>
      </c>
    </row>
    <row r="130">
      <c r="A130" s="4" t="inlineStr">
        <is>
          <t>Investor notes (10% interest-only quarterly, 3-yr)</t>
        </is>
      </c>
      <c r="B130" s="5" t="n">
        <v>0</v>
      </c>
      <c r="D130" s="6" t="inlineStr">
        <is>
          <t>included only when subscribed; $0 in the base case</t>
        </is>
      </c>
    </row>
    <row r="131">
      <c r="A131" s="4" t="inlineStr">
        <is>
          <t>Investor notes landing month</t>
        </is>
      </c>
      <c r="B131" s="7" t="n">
        <v>4</v>
      </c>
    </row>
    <row r="132">
      <c r="A132" s="4" t="inlineStr">
        <is>
          <t>Investor note rate (APR, interest-only quarterly)</t>
        </is>
      </c>
      <c r="B132" s="8" t="n">
        <v>0.1</v>
      </c>
    </row>
    <row r="133">
      <c r="A133" s="4" t="inlineStr">
        <is>
          <t>Cash reporting threshold (display only)</t>
        </is>
      </c>
      <c r="B133" s="5" t="n">
        <v>25000</v>
      </c>
      <c r="D133" s="6" t="inlineStr">
        <is>
          <t>presentation threshold; no credit facility is assumed</t>
        </is>
      </c>
    </row>
    <row r="134">
      <c r="A134" s="4" t="inlineStr">
        <is>
          <t>TX franchise/margin tax (% of NPR if profitable)</t>
        </is>
      </c>
      <c r="B134" s="15" t="n">
        <v>0.00375</v>
      </c>
    </row>
    <row r="135">
      <c r="A135" s="4" t="inlineStr">
        <is>
          <t>Medicare aggregate cap / beneficiary (FY2026)</t>
        </is>
      </c>
      <c r="B135" s="5" t="n">
        <v>33900</v>
      </c>
      <c r="D135" s="6" t="inlineStr">
        <is>
          <t>monitor on Medicare CAP logic</t>
        </is>
      </c>
    </row>
  </sheetData>
  <mergeCells count="14">
    <mergeCell ref="A122:D122"/>
    <mergeCell ref="A69:D69"/>
    <mergeCell ref="A50:D50"/>
    <mergeCell ref="A4:D4"/>
    <mergeCell ref="A2:N2"/>
    <mergeCell ref="A101:D101"/>
    <mergeCell ref="A54:D54"/>
    <mergeCell ref="A82:D82"/>
    <mergeCell ref="A95:D95"/>
    <mergeCell ref="A41:D41"/>
    <mergeCell ref="A28:D28"/>
    <mergeCell ref="A32:D32"/>
    <mergeCell ref="A108:D108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4.10&amp;C&amp;8 Confidential&amp;R&amp;8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AL13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CENSUS WATERFALL - admissions are the operating lever (blue). Discharges follow ALOS. 36 months.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Beginning-of-month census (BOM)</t>
        </is>
      </c>
      <c r="C6" s="18">
        <f>0</f>
        <v/>
      </c>
      <c r="D6" s="18">
        <f>C9</f>
        <v/>
      </c>
      <c r="E6" s="18">
        <f>D9</f>
        <v/>
      </c>
      <c r="F6" s="18">
        <f>E9</f>
        <v/>
      </c>
      <c r="G6" s="18">
        <f>F9</f>
        <v/>
      </c>
      <c r="H6" s="18">
        <f>G9</f>
        <v/>
      </c>
      <c r="I6" s="18">
        <f>H9</f>
        <v/>
      </c>
      <c r="J6" s="18">
        <f>I9</f>
        <v/>
      </c>
      <c r="K6" s="18">
        <f>J9</f>
        <v/>
      </c>
      <c r="L6" s="18">
        <f>K9</f>
        <v/>
      </c>
      <c r="M6" s="18">
        <f>L9</f>
        <v/>
      </c>
      <c r="N6" s="18">
        <f>M9</f>
        <v/>
      </c>
      <c r="O6" s="18">
        <f>N9</f>
        <v/>
      </c>
      <c r="P6" s="18">
        <f>O9</f>
        <v/>
      </c>
      <c r="Q6" s="18">
        <f>P9</f>
        <v/>
      </c>
      <c r="R6" s="18">
        <f>Q9</f>
        <v/>
      </c>
      <c r="S6" s="18">
        <f>R9</f>
        <v/>
      </c>
      <c r="T6" s="18">
        <f>S9</f>
        <v/>
      </c>
      <c r="U6" s="18">
        <f>T9</f>
        <v/>
      </c>
      <c r="V6" s="18">
        <f>U9</f>
        <v/>
      </c>
      <c r="W6" s="18">
        <f>V9</f>
        <v/>
      </c>
      <c r="X6" s="18">
        <f>W9</f>
        <v/>
      </c>
      <c r="Y6" s="18">
        <f>X9</f>
        <v/>
      </c>
      <c r="Z6" s="18">
        <f>Y9</f>
        <v/>
      </c>
      <c r="AA6" s="18">
        <f>Z9</f>
        <v/>
      </c>
      <c r="AB6" s="18">
        <f>AA9</f>
        <v/>
      </c>
      <c r="AC6" s="18">
        <f>AB9</f>
        <v/>
      </c>
      <c r="AD6" s="18">
        <f>AC9</f>
        <v/>
      </c>
      <c r="AE6" s="18">
        <f>AD9</f>
        <v/>
      </c>
      <c r="AF6" s="18">
        <f>AE9</f>
        <v/>
      </c>
      <c r="AG6" s="18">
        <f>AF9</f>
        <v/>
      </c>
      <c r="AH6" s="18">
        <f>AG9</f>
        <v/>
      </c>
      <c r="AI6" s="18">
        <f>AH9</f>
        <v/>
      </c>
      <c r="AJ6" s="18">
        <f>AI9</f>
        <v/>
      </c>
      <c r="AK6" s="18">
        <f>AJ9</f>
        <v/>
      </c>
      <c r="AL6" s="18">
        <f>AK9</f>
        <v/>
      </c>
    </row>
    <row r="7">
      <c r="A7" s="4" t="inlineStr">
        <is>
          <t>+ New admissions  [INPUT - 7/6 plan default]</t>
        </is>
      </c>
      <c r="C7" s="9" t="n">
        <v>20</v>
      </c>
      <c r="D7" s="9" t="n">
        <v>11.41</v>
      </c>
      <c r="E7" s="9" t="n">
        <v>11.4</v>
      </c>
      <c r="F7" s="9" t="n">
        <v>12.32</v>
      </c>
      <c r="G7" s="9" t="n">
        <v>13.25</v>
      </c>
      <c r="H7" s="9" t="n">
        <v>14.18</v>
      </c>
      <c r="I7" s="9" t="n">
        <v>13.6</v>
      </c>
      <c r="J7" s="9" t="n">
        <v>13.98</v>
      </c>
      <c r="K7" s="9" t="n">
        <v>14.35</v>
      </c>
      <c r="L7" s="9" t="n">
        <v>14.72</v>
      </c>
      <c r="M7" s="9" t="n">
        <v>15.09</v>
      </c>
      <c r="N7" s="9" t="n">
        <v>15.46</v>
      </c>
      <c r="O7" s="9" t="n">
        <v>15.66</v>
      </c>
      <c r="P7" s="9" t="n">
        <v>15.98</v>
      </c>
      <c r="Q7" s="9" t="n">
        <v>16.28</v>
      </c>
      <c r="R7" s="9" t="n">
        <v>16.59</v>
      </c>
      <c r="S7" s="9" t="n">
        <v>16.9</v>
      </c>
      <c r="T7" s="9" t="n">
        <v>17.21</v>
      </c>
      <c r="U7" s="9" t="n">
        <v>17.51</v>
      </c>
      <c r="V7" s="9" t="n">
        <v>17.83</v>
      </c>
      <c r="W7" s="9" t="n">
        <v>18.13</v>
      </c>
      <c r="X7" s="9" t="n">
        <v>18.44</v>
      </c>
      <c r="Y7" s="9" t="n">
        <v>18.76</v>
      </c>
      <c r="Z7" s="9" t="n">
        <v>19.06</v>
      </c>
      <c r="AA7" s="9" t="n">
        <v>19.04</v>
      </c>
      <c r="AB7" s="9" t="n">
        <v>19.22</v>
      </c>
      <c r="AC7" s="9" t="n">
        <v>19.41</v>
      </c>
      <c r="AD7" s="9" t="n">
        <v>19.59</v>
      </c>
      <c r="AE7" s="9" t="n">
        <v>19.78</v>
      </c>
      <c r="AF7" s="9" t="n">
        <v>19.96</v>
      </c>
      <c r="AG7" s="9" t="n">
        <v>20.15</v>
      </c>
      <c r="AH7" s="9" t="n">
        <v>20.33</v>
      </c>
      <c r="AI7" s="9" t="n">
        <v>20.52</v>
      </c>
      <c r="AJ7" s="9" t="n">
        <v>20.7</v>
      </c>
      <c r="AK7" s="9" t="n">
        <v>20.89</v>
      </c>
      <c r="AL7" s="9" t="n">
        <v>21.08</v>
      </c>
    </row>
    <row r="8">
      <c r="A8" s="4" t="inlineStr">
        <is>
          <t>- Discharges (deaths + revocations) = BOM x days/ALOS</t>
        </is>
      </c>
      <c r="C8" s="18">
        <f>C6*'Control Tower'!$B$29/'Control Tower'!$B$30</f>
        <v/>
      </c>
      <c r="D8" s="18">
        <f>D6*'Control Tower'!$B$29/'Control Tower'!$B$30</f>
        <v/>
      </c>
      <c r="E8" s="18">
        <f>E6*'Control Tower'!$B$29/'Control Tower'!$B$30</f>
        <v/>
      </c>
      <c r="F8" s="18">
        <f>F6*'Control Tower'!$B$29/'Control Tower'!$B$30</f>
        <v/>
      </c>
      <c r="G8" s="18">
        <f>G6*'Control Tower'!$B$29/'Control Tower'!$B$30</f>
        <v/>
      </c>
      <c r="H8" s="18">
        <f>H6*'Control Tower'!$B$29/'Control Tower'!$B$30</f>
        <v/>
      </c>
      <c r="I8" s="18">
        <f>I6*'Control Tower'!$B$29/'Control Tower'!$B$30</f>
        <v/>
      </c>
      <c r="J8" s="18">
        <f>J6*'Control Tower'!$B$29/'Control Tower'!$B$30</f>
        <v/>
      </c>
      <c r="K8" s="18">
        <f>K6*'Control Tower'!$B$29/'Control Tower'!$B$30</f>
        <v/>
      </c>
      <c r="L8" s="18">
        <f>L6*'Control Tower'!$B$29/'Control Tower'!$B$30</f>
        <v/>
      </c>
      <c r="M8" s="18">
        <f>M6*'Control Tower'!$B$29/'Control Tower'!$B$30</f>
        <v/>
      </c>
      <c r="N8" s="18">
        <f>N6*'Control Tower'!$B$29/'Control Tower'!$B$30</f>
        <v/>
      </c>
      <c r="O8" s="18">
        <f>O6*'Control Tower'!$B$29/'Control Tower'!$B$30</f>
        <v/>
      </c>
      <c r="P8" s="18">
        <f>P6*'Control Tower'!$B$29/'Control Tower'!$B$30</f>
        <v/>
      </c>
      <c r="Q8" s="18">
        <f>Q6*'Control Tower'!$B$29/'Control Tower'!$B$30</f>
        <v/>
      </c>
      <c r="R8" s="18">
        <f>R6*'Control Tower'!$B$29/'Control Tower'!$B$30</f>
        <v/>
      </c>
      <c r="S8" s="18">
        <f>S6*'Control Tower'!$B$29/'Control Tower'!$B$30</f>
        <v/>
      </c>
      <c r="T8" s="18">
        <f>T6*'Control Tower'!$B$29/'Control Tower'!$B$30</f>
        <v/>
      </c>
      <c r="U8" s="18">
        <f>U6*'Control Tower'!$B$29/'Control Tower'!$B$30</f>
        <v/>
      </c>
      <c r="V8" s="18">
        <f>V6*'Control Tower'!$B$29/'Control Tower'!$B$30</f>
        <v/>
      </c>
      <c r="W8" s="18">
        <f>W6*'Control Tower'!$B$29/'Control Tower'!$B$30</f>
        <v/>
      </c>
      <c r="X8" s="18">
        <f>X6*'Control Tower'!$B$29/'Control Tower'!$B$30</f>
        <v/>
      </c>
      <c r="Y8" s="18">
        <f>Y6*'Control Tower'!$B$29/'Control Tower'!$B$30</f>
        <v/>
      </c>
      <c r="Z8" s="18">
        <f>Z6*'Control Tower'!$B$29/'Control Tower'!$B$30</f>
        <v/>
      </c>
      <c r="AA8" s="18">
        <f>AA6*'Control Tower'!$B$29/'Control Tower'!$B$30</f>
        <v/>
      </c>
      <c r="AB8" s="18">
        <f>AB6*'Control Tower'!$B$29/'Control Tower'!$B$30</f>
        <v/>
      </c>
      <c r="AC8" s="18">
        <f>AC6*'Control Tower'!$B$29/'Control Tower'!$B$30</f>
        <v/>
      </c>
      <c r="AD8" s="18">
        <f>AD6*'Control Tower'!$B$29/'Control Tower'!$B$30</f>
        <v/>
      </c>
      <c r="AE8" s="18">
        <f>AE6*'Control Tower'!$B$29/'Control Tower'!$B$30</f>
        <v/>
      </c>
      <c r="AF8" s="18">
        <f>AF6*'Control Tower'!$B$29/'Control Tower'!$B$30</f>
        <v/>
      </c>
      <c r="AG8" s="18">
        <f>AG6*'Control Tower'!$B$29/'Control Tower'!$B$30</f>
        <v/>
      </c>
      <c r="AH8" s="18">
        <f>AH6*'Control Tower'!$B$29/'Control Tower'!$B$30</f>
        <v/>
      </c>
      <c r="AI8" s="18">
        <f>AI6*'Control Tower'!$B$29/'Control Tower'!$B$30</f>
        <v/>
      </c>
      <c r="AJ8" s="18">
        <f>AJ6*'Control Tower'!$B$29/'Control Tower'!$B$30</f>
        <v/>
      </c>
      <c r="AK8" s="18">
        <f>AK6*'Control Tower'!$B$29/'Control Tower'!$B$30</f>
        <v/>
      </c>
      <c r="AL8" s="18">
        <f>AL6*'Control Tower'!$B$29/'Control Tower'!$B$30</f>
        <v/>
      </c>
    </row>
    <row r="9">
      <c r="A9" s="10" t="inlineStr">
        <is>
          <t>End-of-month census (EOM)</t>
        </is>
      </c>
      <c r="C9" s="19">
        <f>C6+C7-C8</f>
        <v/>
      </c>
      <c r="D9" s="19">
        <f>D6+D7-D8</f>
        <v/>
      </c>
      <c r="E9" s="19">
        <f>E6+E7-E8</f>
        <v/>
      </c>
      <c r="F9" s="19">
        <f>F6+F7-F8</f>
        <v/>
      </c>
      <c r="G9" s="19">
        <f>G6+G7-G8</f>
        <v/>
      </c>
      <c r="H9" s="19">
        <f>H6+H7-H8</f>
        <v/>
      </c>
      <c r="I9" s="19">
        <f>I6+I7-I8</f>
        <v/>
      </c>
      <c r="J9" s="19">
        <f>J6+J7-J8</f>
        <v/>
      </c>
      <c r="K9" s="19">
        <f>K6+K7-K8</f>
        <v/>
      </c>
      <c r="L9" s="19">
        <f>L6+L7-L8</f>
        <v/>
      </c>
      <c r="M9" s="19">
        <f>M6+M7-M8</f>
        <v/>
      </c>
      <c r="N9" s="19">
        <f>N6+N7-N8</f>
        <v/>
      </c>
      <c r="O9" s="19">
        <f>O6+O7-O8</f>
        <v/>
      </c>
      <c r="P9" s="19">
        <f>P6+P7-P8</f>
        <v/>
      </c>
      <c r="Q9" s="19">
        <f>Q6+Q7-Q8</f>
        <v/>
      </c>
      <c r="R9" s="19">
        <f>R6+R7-R8</f>
        <v/>
      </c>
      <c r="S9" s="19">
        <f>S6+S7-S8</f>
        <v/>
      </c>
      <c r="T9" s="19">
        <f>T6+T7-T8</f>
        <v/>
      </c>
      <c r="U9" s="19">
        <f>U6+U7-U8</f>
        <v/>
      </c>
      <c r="V9" s="19">
        <f>V6+V7-V8</f>
        <v/>
      </c>
      <c r="W9" s="19">
        <f>W6+W7-W8</f>
        <v/>
      </c>
      <c r="X9" s="19">
        <f>X6+X7-X8</f>
        <v/>
      </c>
      <c r="Y9" s="19">
        <f>Y6+Y7-Y8</f>
        <v/>
      </c>
      <c r="Z9" s="19">
        <f>Z6+Z7-Z8</f>
        <v/>
      </c>
      <c r="AA9" s="19">
        <f>AA6+AA7-AA8</f>
        <v/>
      </c>
      <c r="AB9" s="19">
        <f>AB6+AB7-AB8</f>
        <v/>
      </c>
      <c r="AC9" s="19">
        <f>AC6+AC7-AC8</f>
        <v/>
      </c>
      <c r="AD9" s="19">
        <f>AD6+AD7-AD8</f>
        <v/>
      </c>
      <c r="AE9" s="19">
        <f>AE6+AE7-AE8</f>
        <v/>
      </c>
      <c r="AF9" s="19">
        <f>AF6+AF7-AF8</f>
        <v/>
      </c>
      <c r="AG9" s="19">
        <f>AG6+AG7-AG8</f>
        <v/>
      </c>
      <c r="AH9" s="19">
        <f>AH6+AH7-AH8</f>
        <v/>
      </c>
      <c r="AI9" s="19">
        <f>AI6+AI7-AI8</f>
        <v/>
      </c>
      <c r="AJ9" s="19">
        <f>AJ6+AJ7-AJ8</f>
        <v/>
      </c>
      <c r="AK9" s="19">
        <f>AK6+AK7-AK8</f>
        <v/>
      </c>
      <c r="AL9" s="19">
        <f>AL6+AL7-AL8</f>
        <v/>
      </c>
    </row>
    <row r="10">
      <c r="A10" s="4" t="inlineStr">
        <is>
          <t xml:space="preserve">  of which deaths (bereavement trigger)</t>
        </is>
      </c>
      <c r="C10" s="18">
        <f>C8*'Control Tower'!$B$31</f>
        <v/>
      </c>
      <c r="D10" s="18">
        <f>D8*'Control Tower'!$B$31</f>
        <v/>
      </c>
      <c r="E10" s="18">
        <f>E8*'Control Tower'!$B$31</f>
        <v/>
      </c>
      <c r="F10" s="18">
        <f>F8*'Control Tower'!$B$31</f>
        <v/>
      </c>
      <c r="G10" s="18">
        <f>G8*'Control Tower'!$B$31</f>
        <v/>
      </c>
      <c r="H10" s="18">
        <f>H8*'Control Tower'!$B$31</f>
        <v/>
      </c>
      <c r="I10" s="18">
        <f>I8*'Control Tower'!$B$31</f>
        <v/>
      </c>
      <c r="J10" s="18">
        <f>J8*'Control Tower'!$B$31</f>
        <v/>
      </c>
      <c r="K10" s="18">
        <f>K8*'Control Tower'!$B$31</f>
        <v/>
      </c>
      <c r="L10" s="18">
        <f>L8*'Control Tower'!$B$31</f>
        <v/>
      </c>
      <c r="M10" s="18">
        <f>M8*'Control Tower'!$B$31</f>
        <v/>
      </c>
      <c r="N10" s="18">
        <f>N8*'Control Tower'!$B$31</f>
        <v/>
      </c>
      <c r="O10" s="18">
        <f>O8*'Control Tower'!$B$31</f>
        <v/>
      </c>
      <c r="P10" s="18">
        <f>P8*'Control Tower'!$B$31</f>
        <v/>
      </c>
      <c r="Q10" s="18">
        <f>Q8*'Control Tower'!$B$31</f>
        <v/>
      </c>
      <c r="R10" s="18">
        <f>R8*'Control Tower'!$B$31</f>
        <v/>
      </c>
      <c r="S10" s="18">
        <f>S8*'Control Tower'!$B$31</f>
        <v/>
      </c>
      <c r="T10" s="18">
        <f>T8*'Control Tower'!$B$31</f>
        <v/>
      </c>
      <c r="U10" s="18">
        <f>U8*'Control Tower'!$B$31</f>
        <v/>
      </c>
      <c r="V10" s="18">
        <f>V8*'Control Tower'!$B$31</f>
        <v/>
      </c>
      <c r="W10" s="18">
        <f>W8*'Control Tower'!$B$31</f>
        <v/>
      </c>
      <c r="X10" s="18">
        <f>X8*'Control Tower'!$B$31</f>
        <v/>
      </c>
      <c r="Y10" s="18">
        <f>Y8*'Control Tower'!$B$31</f>
        <v/>
      </c>
      <c r="Z10" s="18">
        <f>Z8*'Control Tower'!$B$31</f>
        <v/>
      </c>
      <c r="AA10" s="18">
        <f>AA8*'Control Tower'!$B$31</f>
        <v/>
      </c>
      <c r="AB10" s="18">
        <f>AB8*'Control Tower'!$B$31</f>
        <v/>
      </c>
      <c r="AC10" s="18">
        <f>AC8*'Control Tower'!$B$31</f>
        <v/>
      </c>
      <c r="AD10" s="18">
        <f>AD8*'Control Tower'!$B$31</f>
        <v/>
      </c>
      <c r="AE10" s="18">
        <f>AE8*'Control Tower'!$B$31</f>
        <v/>
      </c>
      <c r="AF10" s="18">
        <f>AF8*'Control Tower'!$B$31</f>
        <v/>
      </c>
      <c r="AG10" s="18">
        <f>AG8*'Control Tower'!$B$31</f>
        <v/>
      </c>
      <c r="AH10" s="18">
        <f>AH8*'Control Tower'!$B$31</f>
        <v/>
      </c>
      <c r="AI10" s="18">
        <f>AI8*'Control Tower'!$B$31</f>
        <v/>
      </c>
      <c r="AJ10" s="18">
        <f>AJ8*'Control Tower'!$B$31</f>
        <v/>
      </c>
      <c r="AK10" s="18">
        <f>AK8*'Control Tower'!$B$31</f>
        <v/>
      </c>
      <c r="AL10" s="18">
        <f>AL8*'Control Tower'!$B$31</f>
        <v/>
      </c>
    </row>
    <row r="11">
      <c r="A11" s="10" t="inlineStr">
        <is>
          <t>ADC = (BOM + EOM)/2 x capture</t>
        </is>
      </c>
      <c r="C11" s="20">
        <f>(C6+C9)/2*'Control Tower'!$B$38</f>
        <v/>
      </c>
      <c r="D11" s="20">
        <f>(D6+D9)/2*'Control Tower'!$B$38</f>
        <v/>
      </c>
      <c r="E11" s="20">
        <f>(E6+E9)/2*'Control Tower'!$B$38</f>
        <v/>
      </c>
      <c r="F11" s="20">
        <f>(F6+F9)/2*'Control Tower'!$B$38</f>
        <v/>
      </c>
      <c r="G11" s="20">
        <f>(G6+G9)/2*'Control Tower'!$B$38</f>
        <v/>
      </c>
      <c r="H11" s="20">
        <f>(H6+H9)/2*'Control Tower'!$B$38</f>
        <v/>
      </c>
      <c r="I11" s="20">
        <f>(I6+I9)/2*'Control Tower'!$B$38</f>
        <v/>
      </c>
      <c r="J11" s="20">
        <f>(J6+J9)/2*'Control Tower'!$B$38</f>
        <v/>
      </c>
      <c r="K11" s="20">
        <f>(K6+K9)/2*'Control Tower'!$B$38</f>
        <v/>
      </c>
      <c r="L11" s="20">
        <f>(L6+L9)/2*'Control Tower'!$B$38</f>
        <v/>
      </c>
      <c r="M11" s="20">
        <f>(M6+M9)/2*'Control Tower'!$B$38</f>
        <v/>
      </c>
      <c r="N11" s="20">
        <f>(N6+N9)/2*'Control Tower'!$B$38</f>
        <v/>
      </c>
      <c r="O11" s="20">
        <f>(O6+O9)/2*'Control Tower'!$B$38</f>
        <v/>
      </c>
      <c r="P11" s="20">
        <f>(P6+P9)/2*'Control Tower'!$B$38</f>
        <v/>
      </c>
      <c r="Q11" s="20">
        <f>(Q6+Q9)/2*'Control Tower'!$B$38</f>
        <v/>
      </c>
      <c r="R11" s="20">
        <f>(R6+R9)/2*'Control Tower'!$B$38</f>
        <v/>
      </c>
      <c r="S11" s="20">
        <f>(S6+S9)/2*'Control Tower'!$B$38</f>
        <v/>
      </c>
      <c r="T11" s="20">
        <f>(T6+T9)/2*'Control Tower'!$B$38</f>
        <v/>
      </c>
      <c r="U11" s="20">
        <f>(U6+U9)/2*'Control Tower'!$B$38</f>
        <v/>
      </c>
      <c r="V11" s="20">
        <f>(V6+V9)/2*'Control Tower'!$B$38</f>
        <v/>
      </c>
      <c r="W11" s="20">
        <f>(W6+W9)/2*'Control Tower'!$B$38</f>
        <v/>
      </c>
      <c r="X11" s="20">
        <f>(X6+X9)/2*'Control Tower'!$B$38</f>
        <v/>
      </c>
      <c r="Y11" s="20">
        <f>(Y6+Y9)/2*'Control Tower'!$B$38</f>
        <v/>
      </c>
      <c r="Z11" s="20">
        <f>(Z6+Z9)/2*'Control Tower'!$B$38</f>
        <v/>
      </c>
      <c r="AA11" s="20">
        <f>(AA6+AA9)/2*'Control Tower'!$B$38</f>
        <v/>
      </c>
      <c r="AB11" s="20">
        <f>(AB6+AB9)/2*'Control Tower'!$B$38</f>
        <v/>
      </c>
      <c r="AC11" s="20">
        <f>(AC6+AC9)/2*'Control Tower'!$B$38</f>
        <v/>
      </c>
      <c r="AD11" s="20">
        <f>(AD6+AD9)/2*'Control Tower'!$B$38</f>
        <v/>
      </c>
      <c r="AE11" s="20">
        <f>(AE6+AE9)/2*'Control Tower'!$B$38</f>
        <v/>
      </c>
      <c r="AF11" s="20">
        <f>(AF6+AF9)/2*'Control Tower'!$B$38</f>
        <v/>
      </c>
      <c r="AG11" s="20">
        <f>(AG6+AG9)/2*'Control Tower'!$B$38</f>
        <v/>
      </c>
      <c r="AH11" s="20">
        <f>(AH6+AH9)/2*'Control Tower'!$B$38</f>
        <v/>
      </c>
      <c r="AI11" s="20">
        <f>(AI6+AI9)/2*'Control Tower'!$B$38</f>
        <v/>
      </c>
      <c r="AJ11" s="20">
        <f>(AJ6+AJ9)/2*'Control Tower'!$B$38</f>
        <v/>
      </c>
      <c r="AK11" s="20">
        <f>(AK6+AK9)/2*'Control Tower'!$B$38</f>
        <v/>
      </c>
      <c r="AL11" s="20">
        <f>(AL6+AL9)/2*'Control Tower'!$B$38</f>
        <v/>
      </c>
    </row>
    <row r="12">
      <c r="A12" s="4" t="inlineStr">
        <is>
          <t>Patient days (ADC x days/month)</t>
        </is>
      </c>
      <c r="C12" s="21">
        <f>C11*'Control Tower'!$B$29</f>
        <v/>
      </c>
      <c r="D12" s="21">
        <f>D11*'Control Tower'!$B$29</f>
        <v/>
      </c>
      <c r="E12" s="21">
        <f>E11*'Control Tower'!$B$29</f>
        <v/>
      </c>
      <c r="F12" s="21">
        <f>F11*'Control Tower'!$B$29</f>
        <v/>
      </c>
      <c r="G12" s="21">
        <f>G11*'Control Tower'!$B$29</f>
        <v/>
      </c>
      <c r="H12" s="21">
        <f>H11*'Control Tower'!$B$29</f>
        <v/>
      </c>
      <c r="I12" s="21">
        <f>I11*'Control Tower'!$B$29</f>
        <v/>
      </c>
      <c r="J12" s="21">
        <f>J11*'Control Tower'!$B$29</f>
        <v/>
      </c>
      <c r="K12" s="21">
        <f>K11*'Control Tower'!$B$29</f>
        <v/>
      </c>
      <c r="L12" s="21">
        <f>L11*'Control Tower'!$B$29</f>
        <v/>
      </c>
      <c r="M12" s="21">
        <f>M11*'Control Tower'!$B$29</f>
        <v/>
      </c>
      <c r="N12" s="21">
        <f>N11*'Control Tower'!$B$29</f>
        <v/>
      </c>
      <c r="O12" s="21">
        <f>O11*'Control Tower'!$B$29</f>
        <v/>
      </c>
      <c r="P12" s="21">
        <f>P11*'Control Tower'!$B$29</f>
        <v/>
      </c>
      <c r="Q12" s="21">
        <f>Q11*'Control Tower'!$B$29</f>
        <v/>
      </c>
      <c r="R12" s="21">
        <f>R11*'Control Tower'!$B$29</f>
        <v/>
      </c>
      <c r="S12" s="21">
        <f>S11*'Control Tower'!$B$29</f>
        <v/>
      </c>
      <c r="T12" s="21">
        <f>T11*'Control Tower'!$B$29</f>
        <v/>
      </c>
      <c r="U12" s="21">
        <f>U11*'Control Tower'!$B$29</f>
        <v/>
      </c>
      <c r="V12" s="21">
        <f>V11*'Control Tower'!$B$29</f>
        <v/>
      </c>
      <c r="W12" s="21">
        <f>W11*'Control Tower'!$B$29</f>
        <v/>
      </c>
      <c r="X12" s="21">
        <f>X11*'Control Tower'!$B$29</f>
        <v/>
      </c>
      <c r="Y12" s="21">
        <f>Y11*'Control Tower'!$B$29</f>
        <v/>
      </c>
      <c r="Z12" s="21">
        <f>Z11*'Control Tower'!$B$29</f>
        <v/>
      </c>
      <c r="AA12" s="21">
        <f>AA11*'Control Tower'!$B$29</f>
        <v/>
      </c>
      <c r="AB12" s="21">
        <f>AB11*'Control Tower'!$B$29</f>
        <v/>
      </c>
      <c r="AC12" s="21">
        <f>AC11*'Control Tower'!$B$29</f>
        <v/>
      </c>
      <c r="AD12" s="21">
        <f>AD11*'Control Tower'!$B$29</f>
        <v/>
      </c>
      <c r="AE12" s="21">
        <f>AE11*'Control Tower'!$B$29</f>
        <v/>
      </c>
      <c r="AF12" s="21">
        <f>AF11*'Control Tower'!$B$29</f>
        <v/>
      </c>
      <c r="AG12" s="21">
        <f>AG11*'Control Tower'!$B$29</f>
        <v/>
      </c>
      <c r="AH12" s="21">
        <f>AH11*'Control Tower'!$B$29</f>
        <v/>
      </c>
      <c r="AI12" s="21">
        <f>AI11*'Control Tower'!$B$29</f>
        <v/>
      </c>
      <c r="AJ12" s="21">
        <f>AJ11*'Control Tower'!$B$29</f>
        <v/>
      </c>
      <c r="AK12" s="21">
        <f>AK11*'Control Tower'!$B$29</f>
        <v/>
      </c>
      <c r="AL12" s="21">
        <f>AL11*'Control Tower'!$B$29</f>
        <v/>
      </c>
    </row>
    <row r="13">
      <c r="A13" s="6" t="inlineStr">
        <is>
          <t>Monthly discharge rate (of BOM)</t>
        </is>
      </c>
      <c r="C13" s="11">
        <f>IF(C6=0,0,C8/C6)</f>
        <v/>
      </c>
      <c r="D13" s="11">
        <f>IF(D6=0,0,D8/D6)</f>
        <v/>
      </c>
      <c r="E13" s="11">
        <f>IF(E6=0,0,E8/E6)</f>
        <v/>
      </c>
      <c r="F13" s="11">
        <f>IF(F6=0,0,F8/F6)</f>
        <v/>
      </c>
      <c r="G13" s="11">
        <f>IF(G6=0,0,G8/G6)</f>
        <v/>
      </c>
      <c r="H13" s="11">
        <f>IF(H6=0,0,H8/H6)</f>
        <v/>
      </c>
      <c r="I13" s="11">
        <f>IF(I6=0,0,I8/I6)</f>
        <v/>
      </c>
      <c r="J13" s="11">
        <f>IF(J6=0,0,J8/J6)</f>
        <v/>
      </c>
      <c r="K13" s="11">
        <f>IF(K6=0,0,K8/K6)</f>
        <v/>
      </c>
      <c r="L13" s="11">
        <f>IF(L6=0,0,L8/L6)</f>
        <v/>
      </c>
      <c r="M13" s="11">
        <f>IF(M6=0,0,M8/M6)</f>
        <v/>
      </c>
      <c r="N13" s="11">
        <f>IF(N6=0,0,N8/N6)</f>
        <v/>
      </c>
      <c r="O13" s="11">
        <f>IF(O6=0,0,O8/O6)</f>
        <v/>
      </c>
      <c r="P13" s="11">
        <f>IF(P6=0,0,P8/P6)</f>
        <v/>
      </c>
      <c r="Q13" s="11">
        <f>IF(Q6=0,0,Q8/Q6)</f>
        <v/>
      </c>
      <c r="R13" s="11">
        <f>IF(R6=0,0,R8/R6)</f>
        <v/>
      </c>
      <c r="S13" s="11">
        <f>IF(S6=0,0,S8/S6)</f>
        <v/>
      </c>
      <c r="T13" s="11">
        <f>IF(T6=0,0,T8/T6)</f>
        <v/>
      </c>
      <c r="U13" s="11">
        <f>IF(U6=0,0,U8/U6)</f>
        <v/>
      </c>
      <c r="V13" s="11">
        <f>IF(V6=0,0,V8/V6)</f>
        <v/>
      </c>
      <c r="W13" s="11">
        <f>IF(W6=0,0,W8/W6)</f>
        <v/>
      </c>
      <c r="X13" s="11">
        <f>IF(X6=0,0,X8/X6)</f>
        <v/>
      </c>
      <c r="Y13" s="11">
        <f>IF(Y6=0,0,Y8/Y6)</f>
        <v/>
      </c>
      <c r="Z13" s="11">
        <f>IF(Z6=0,0,Z8/Z6)</f>
        <v/>
      </c>
      <c r="AA13" s="11">
        <f>IF(AA6=0,0,AA8/AA6)</f>
        <v/>
      </c>
      <c r="AB13" s="11">
        <f>IF(AB6=0,0,AB8/AB6)</f>
        <v/>
      </c>
      <c r="AC13" s="11">
        <f>IF(AC6=0,0,AC8/AC6)</f>
        <v/>
      </c>
      <c r="AD13" s="11">
        <f>IF(AD6=0,0,AD8/AD6)</f>
        <v/>
      </c>
      <c r="AE13" s="11">
        <f>IF(AE6=0,0,AE8/AE6)</f>
        <v/>
      </c>
      <c r="AF13" s="11">
        <f>IF(AF6=0,0,AF8/AF6)</f>
        <v/>
      </c>
      <c r="AG13" s="11">
        <f>IF(AG6=0,0,AG8/AG6)</f>
        <v/>
      </c>
      <c r="AH13" s="11">
        <f>IF(AH6=0,0,AH8/AH6)</f>
        <v/>
      </c>
      <c r="AI13" s="11">
        <f>IF(AI6=0,0,AI8/AI6)</f>
        <v/>
      </c>
      <c r="AJ13" s="11">
        <f>IF(AJ6=0,0,AJ8/AJ6)</f>
        <v/>
      </c>
      <c r="AK13" s="11">
        <f>IF(AK6=0,0,AK8/AK6)</f>
        <v/>
      </c>
      <c r="AL13" s="11">
        <f>IF(AL6=0,0,AL8/AL6)</f>
        <v/>
      </c>
    </row>
  </sheetData>
  <mergeCells count="2">
    <mergeCell ref="A2:N2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4.10&amp;C&amp;8 Confidential&amp;R&amp;8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AL11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REVENUE - patient days x CMS rates (high/low split), less billing fee -&gt; NET PATIENT REVENUE (accrual).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Medicare RHC HIGH (days 1-60, 3000-R-6-0)</t>
        </is>
      </c>
      <c r="C6" s="22">
        <f>'Census Waterfall'!C12*'Control Tower'!$B$45*'Control Tower'!$B$46*'Control Tower'!$B$42*(1+'Control Tower'!$B$48)^0</f>
        <v/>
      </c>
      <c r="D6" s="22">
        <f>'Census Waterfall'!D12*'Control Tower'!$B$45*'Control Tower'!$B$46*'Control Tower'!$B$42*(1+'Control Tower'!$B$48)^0</f>
        <v/>
      </c>
      <c r="E6" s="22">
        <f>'Census Waterfall'!E12*'Control Tower'!$B$45*'Control Tower'!$B$46*'Control Tower'!$B$42*(1+'Control Tower'!$B$48)^0</f>
        <v/>
      </c>
      <c r="F6" s="22">
        <f>'Census Waterfall'!F12*'Control Tower'!$B$45*'Control Tower'!$B$46*'Control Tower'!$B$42*(1+'Control Tower'!$B$48)^0</f>
        <v/>
      </c>
      <c r="G6" s="22">
        <f>'Census Waterfall'!G12*'Control Tower'!$B$45*'Control Tower'!$B$46*'Control Tower'!$B$42*(1+'Control Tower'!$B$48)^0</f>
        <v/>
      </c>
      <c r="H6" s="22">
        <f>'Census Waterfall'!H12*'Control Tower'!$B$45*'Control Tower'!$B$46*'Control Tower'!$B$42*(1+'Control Tower'!$B$48)^0</f>
        <v/>
      </c>
      <c r="I6" s="22">
        <f>'Census Waterfall'!I12*'Control Tower'!$B$45*'Control Tower'!$B$46*'Control Tower'!$B$42*(1+'Control Tower'!$B$48)^0</f>
        <v/>
      </c>
      <c r="J6" s="22">
        <f>'Census Waterfall'!J12*'Control Tower'!$B$45*'Control Tower'!$B$46*'Control Tower'!$B$42*(1+'Control Tower'!$B$48)^0</f>
        <v/>
      </c>
      <c r="K6" s="22">
        <f>'Census Waterfall'!K12*'Control Tower'!$B$45*'Control Tower'!$B$46*'Control Tower'!$B$42*(1+'Control Tower'!$B$48)^0</f>
        <v/>
      </c>
      <c r="L6" s="22">
        <f>'Census Waterfall'!L12*'Control Tower'!$B$45*'Control Tower'!$B$46*'Control Tower'!$B$42*(1+'Control Tower'!$B$48)^0</f>
        <v/>
      </c>
      <c r="M6" s="22">
        <f>'Census Waterfall'!M12*'Control Tower'!$B$45*'Control Tower'!$B$46*'Control Tower'!$B$42*(1+'Control Tower'!$B$48)^0</f>
        <v/>
      </c>
      <c r="N6" s="22">
        <f>'Census Waterfall'!N12*'Control Tower'!$B$45*'Control Tower'!$B$46*'Control Tower'!$B$42*(1+'Control Tower'!$B$48)^0</f>
        <v/>
      </c>
      <c r="O6" s="22">
        <f>'Census Waterfall'!O12*'Control Tower'!$B$45*'Control Tower'!$B$46*'Control Tower'!$B$42*(1+'Control Tower'!$B$48)^1</f>
        <v/>
      </c>
      <c r="P6" s="22">
        <f>'Census Waterfall'!P12*'Control Tower'!$B$45*'Control Tower'!$B$46*'Control Tower'!$B$42*(1+'Control Tower'!$B$48)^1</f>
        <v/>
      </c>
      <c r="Q6" s="22">
        <f>'Census Waterfall'!Q12*'Control Tower'!$B$45*'Control Tower'!$B$46*'Control Tower'!$B$42*(1+'Control Tower'!$B$48)^1</f>
        <v/>
      </c>
      <c r="R6" s="22">
        <f>'Census Waterfall'!R12*'Control Tower'!$B$45*'Control Tower'!$B$46*'Control Tower'!$B$42*(1+'Control Tower'!$B$48)^1</f>
        <v/>
      </c>
      <c r="S6" s="22">
        <f>'Census Waterfall'!S12*'Control Tower'!$B$45*'Control Tower'!$B$46*'Control Tower'!$B$42*(1+'Control Tower'!$B$48)^1</f>
        <v/>
      </c>
      <c r="T6" s="22">
        <f>'Census Waterfall'!T12*'Control Tower'!$B$45*'Control Tower'!$B$46*'Control Tower'!$B$42*(1+'Control Tower'!$B$48)^1</f>
        <v/>
      </c>
      <c r="U6" s="22">
        <f>'Census Waterfall'!U12*'Control Tower'!$B$45*'Control Tower'!$B$46*'Control Tower'!$B$42*(1+'Control Tower'!$B$48)^1</f>
        <v/>
      </c>
      <c r="V6" s="22">
        <f>'Census Waterfall'!V12*'Control Tower'!$B$45*'Control Tower'!$B$46*'Control Tower'!$B$42*(1+'Control Tower'!$B$48)^1</f>
        <v/>
      </c>
      <c r="W6" s="22">
        <f>'Census Waterfall'!W12*'Control Tower'!$B$45*'Control Tower'!$B$46*'Control Tower'!$B$42*(1+'Control Tower'!$B$48)^1</f>
        <v/>
      </c>
      <c r="X6" s="22">
        <f>'Census Waterfall'!X12*'Control Tower'!$B$45*'Control Tower'!$B$46*'Control Tower'!$B$42*(1+'Control Tower'!$B$48)^1</f>
        <v/>
      </c>
      <c r="Y6" s="22">
        <f>'Census Waterfall'!Y12*'Control Tower'!$B$45*'Control Tower'!$B$46*'Control Tower'!$B$42*(1+'Control Tower'!$B$48)^1</f>
        <v/>
      </c>
      <c r="Z6" s="22">
        <f>'Census Waterfall'!Z12*'Control Tower'!$B$45*'Control Tower'!$B$46*'Control Tower'!$B$42*(1+'Control Tower'!$B$48)^1</f>
        <v/>
      </c>
      <c r="AA6" s="22">
        <f>'Census Waterfall'!AA12*'Control Tower'!$B$45*'Control Tower'!$B$46*'Control Tower'!$B$42*(1+'Control Tower'!$B$48)^2</f>
        <v/>
      </c>
      <c r="AB6" s="22">
        <f>'Census Waterfall'!AB12*'Control Tower'!$B$45*'Control Tower'!$B$46*'Control Tower'!$B$42*(1+'Control Tower'!$B$48)^2</f>
        <v/>
      </c>
      <c r="AC6" s="22">
        <f>'Census Waterfall'!AC12*'Control Tower'!$B$45*'Control Tower'!$B$46*'Control Tower'!$B$42*(1+'Control Tower'!$B$48)^2</f>
        <v/>
      </c>
      <c r="AD6" s="22">
        <f>'Census Waterfall'!AD12*'Control Tower'!$B$45*'Control Tower'!$B$46*'Control Tower'!$B$42*(1+'Control Tower'!$B$48)^2</f>
        <v/>
      </c>
      <c r="AE6" s="22">
        <f>'Census Waterfall'!AE12*'Control Tower'!$B$45*'Control Tower'!$B$46*'Control Tower'!$B$42*(1+'Control Tower'!$B$48)^2</f>
        <v/>
      </c>
      <c r="AF6" s="22">
        <f>'Census Waterfall'!AF12*'Control Tower'!$B$45*'Control Tower'!$B$46*'Control Tower'!$B$42*(1+'Control Tower'!$B$48)^2</f>
        <v/>
      </c>
      <c r="AG6" s="22">
        <f>'Census Waterfall'!AG12*'Control Tower'!$B$45*'Control Tower'!$B$46*'Control Tower'!$B$42*(1+'Control Tower'!$B$48)^2</f>
        <v/>
      </c>
      <c r="AH6" s="22">
        <f>'Census Waterfall'!AH12*'Control Tower'!$B$45*'Control Tower'!$B$46*'Control Tower'!$B$42*(1+'Control Tower'!$B$48)^2</f>
        <v/>
      </c>
      <c r="AI6" s="22">
        <f>'Census Waterfall'!AI12*'Control Tower'!$B$45*'Control Tower'!$B$46*'Control Tower'!$B$42*(1+'Control Tower'!$B$48)^2</f>
        <v/>
      </c>
      <c r="AJ6" s="22">
        <f>'Census Waterfall'!AJ12*'Control Tower'!$B$45*'Control Tower'!$B$46*'Control Tower'!$B$42*(1+'Control Tower'!$B$48)^2</f>
        <v/>
      </c>
      <c r="AK6" s="22">
        <f>'Census Waterfall'!AK12*'Control Tower'!$B$45*'Control Tower'!$B$46*'Control Tower'!$B$42*(1+'Control Tower'!$B$48)^2</f>
        <v/>
      </c>
      <c r="AL6" s="22">
        <f>'Census Waterfall'!AL12*'Control Tower'!$B$45*'Control Tower'!$B$46*'Control Tower'!$B$42*(1+'Control Tower'!$B$48)^2</f>
        <v/>
      </c>
    </row>
    <row r="7">
      <c r="A7" s="4" t="inlineStr">
        <is>
          <t>Medicare RHC LOW (days 61+, 3000-R-6-0)</t>
        </is>
      </c>
      <c r="C7" s="22">
        <f>'Census Waterfall'!C12*'Control Tower'!$B$45*(1-'Control Tower'!$B$46)*'Control Tower'!$B$43*(1+'Control Tower'!$B$48)^0</f>
        <v/>
      </c>
      <c r="D7" s="22">
        <f>'Census Waterfall'!D12*'Control Tower'!$B$45*(1-'Control Tower'!$B$46)*'Control Tower'!$B$43*(1+'Control Tower'!$B$48)^0</f>
        <v/>
      </c>
      <c r="E7" s="22">
        <f>'Census Waterfall'!E12*'Control Tower'!$B$45*(1-'Control Tower'!$B$46)*'Control Tower'!$B$43*(1+'Control Tower'!$B$48)^0</f>
        <v/>
      </c>
      <c r="F7" s="22">
        <f>'Census Waterfall'!F12*'Control Tower'!$B$45*(1-'Control Tower'!$B$46)*'Control Tower'!$B$43*(1+'Control Tower'!$B$48)^0</f>
        <v/>
      </c>
      <c r="G7" s="22">
        <f>'Census Waterfall'!G12*'Control Tower'!$B$45*(1-'Control Tower'!$B$46)*'Control Tower'!$B$43*(1+'Control Tower'!$B$48)^0</f>
        <v/>
      </c>
      <c r="H7" s="22">
        <f>'Census Waterfall'!H12*'Control Tower'!$B$45*(1-'Control Tower'!$B$46)*'Control Tower'!$B$43*(1+'Control Tower'!$B$48)^0</f>
        <v/>
      </c>
      <c r="I7" s="22">
        <f>'Census Waterfall'!I12*'Control Tower'!$B$45*(1-'Control Tower'!$B$46)*'Control Tower'!$B$43*(1+'Control Tower'!$B$48)^0</f>
        <v/>
      </c>
      <c r="J7" s="22">
        <f>'Census Waterfall'!J12*'Control Tower'!$B$45*(1-'Control Tower'!$B$46)*'Control Tower'!$B$43*(1+'Control Tower'!$B$48)^0</f>
        <v/>
      </c>
      <c r="K7" s="22">
        <f>'Census Waterfall'!K12*'Control Tower'!$B$45*(1-'Control Tower'!$B$46)*'Control Tower'!$B$43*(1+'Control Tower'!$B$48)^0</f>
        <v/>
      </c>
      <c r="L7" s="22">
        <f>'Census Waterfall'!L12*'Control Tower'!$B$45*(1-'Control Tower'!$B$46)*'Control Tower'!$B$43*(1+'Control Tower'!$B$48)^0</f>
        <v/>
      </c>
      <c r="M7" s="22">
        <f>'Census Waterfall'!M12*'Control Tower'!$B$45*(1-'Control Tower'!$B$46)*'Control Tower'!$B$43*(1+'Control Tower'!$B$48)^0</f>
        <v/>
      </c>
      <c r="N7" s="22">
        <f>'Census Waterfall'!N12*'Control Tower'!$B$45*(1-'Control Tower'!$B$46)*'Control Tower'!$B$43*(1+'Control Tower'!$B$48)^0</f>
        <v/>
      </c>
      <c r="O7" s="22">
        <f>'Census Waterfall'!O12*'Control Tower'!$B$45*(1-'Control Tower'!$B$46)*'Control Tower'!$B$43*(1+'Control Tower'!$B$48)^1</f>
        <v/>
      </c>
      <c r="P7" s="22">
        <f>'Census Waterfall'!P12*'Control Tower'!$B$45*(1-'Control Tower'!$B$46)*'Control Tower'!$B$43*(1+'Control Tower'!$B$48)^1</f>
        <v/>
      </c>
      <c r="Q7" s="22">
        <f>'Census Waterfall'!Q12*'Control Tower'!$B$45*(1-'Control Tower'!$B$46)*'Control Tower'!$B$43*(1+'Control Tower'!$B$48)^1</f>
        <v/>
      </c>
      <c r="R7" s="22">
        <f>'Census Waterfall'!R12*'Control Tower'!$B$45*(1-'Control Tower'!$B$46)*'Control Tower'!$B$43*(1+'Control Tower'!$B$48)^1</f>
        <v/>
      </c>
      <c r="S7" s="22">
        <f>'Census Waterfall'!S12*'Control Tower'!$B$45*(1-'Control Tower'!$B$46)*'Control Tower'!$B$43*(1+'Control Tower'!$B$48)^1</f>
        <v/>
      </c>
      <c r="T7" s="22">
        <f>'Census Waterfall'!T12*'Control Tower'!$B$45*(1-'Control Tower'!$B$46)*'Control Tower'!$B$43*(1+'Control Tower'!$B$48)^1</f>
        <v/>
      </c>
      <c r="U7" s="22">
        <f>'Census Waterfall'!U12*'Control Tower'!$B$45*(1-'Control Tower'!$B$46)*'Control Tower'!$B$43*(1+'Control Tower'!$B$48)^1</f>
        <v/>
      </c>
      <c r="V7" s="22">
        <f>'Census Waterfall'!V12*'Control Tower'!$B$45*(1-'Control Tower'!$B$46)*'Control Tower'!$B$43*(1+'Control Tower'!$B$48)^1</f>
        <v/>
      </c>
      <c r="W7" s="22">
        <f>'Census Waterfall'!W12*'Control Tower'!$B$45*(1-'Control Tower'!$B$46)*'Control Tower'!$B$43*(1+'Control Tower'!$B$48)^1</f>
        <v/>
      </c>
      <c r="X7" s="22">
        <f>'Census Waterfall'!X12*'Control Tower'!$B$45*(1-'Control Tower'!$B$46)*'Control Tower'!$B$43*(1+'Control Tower'!$B$48)^1</f>
        <v/>
      </c>
      <c r="Y7" s="22">
        <f>'Census Waterfall'!Y12*'Control Tower'!$B$45*(1-'Control Tower'!$B$46)*'Control Tower'!$B$43*(1+'Control Tower'!$B$48)^1</f>
        <v/>
      </c>
      <c r="Z7" s="22">
        <f>'Census Waterfall'!Z12*'Control Tower'!$B$45*(1-'Control Tower'!$B$46)*'Control Tower'!$B$43*(1+'Control Tower'!$B$48)^1</f>
        <v/>
      </c>
      <c r="AA7" s="22">
        <f>'Census Waterfall'!AA12*'Control Tower'!$B$45*(1-'Control Tower'!$B$46)*'Control Tower'!$B$43*(1+'Control Tower'!$B$48)^2</f>
        <v/>
      </c>
      <c r="AB7" s="22">
        <f>'Census Waterfall'!AB12*'Control Tower'!$B$45*(1-'Control Tower'!$B$46)*'Control Tower'!$B$43*(1+'Control Tower'!$B$48)^2</f>
        <v/>
      </c>
      <c r="AC7" s="22">
        <f>'Census Waterfall'!AC12*'Control Tower'!$B$45*(1-'Control Tower'!$B$46)*'Control Tower'!$B$43*(1+'Control Tower'!$B$48)^2</f>
        <v/>
      </c>
      <c r="AD7" s="22">
        <f>'Census Waterfall'!AD12*'Control Tower'!$B$45*(1-'Control Tower'!$B$46)*'Control Tower'!$B$43*(1+'Control Tower'!$B$48)^2</f>
        <v/>
      </c>
      <c r="AE7" s="22">
        <f>'Census Waterfall'!AE12*'Control Tower'!$B$45*(1-'Control Tower'!$B$46)*'Control Tower'!$B$43*(1+'Control Tower'!$B$48)^2</f>
        <v/>
      </c>
      <c r="AF7" s="22">
        <f>'Census Waterfall'!AF12*'Control Tower'!$B$45*(1-'Control Tower'!$B$46)*'Control Tower'!$B$43*(1+'Control Tower'!$B$48)^2</f>
        <v/>
      </c>
      <c r="AG7" s="22">
        <f>'Census Waterfall'!AG12*'Control Tower'!$B$45*(1-'Control Tower'!$B$46)*'Control Tower'!$B$43*(1+'Control Tower'!$B$48)^2</f>
        <v/>
      </c>
      <c r="AH7" s="22">
        <f>'Census Waterfall'!AH12*'Control Tower'!$B$45*(1-'Control Tower'!$B$46)*'Control Tower'!$B$43*(1+'Control Tower'!$B$48)^2</f>
        <v/>
      </c>
      <c r="AI7" s="22">
        <f>'Census Waterfall'!AI12*'Control Tower'!$B$45*(1-'Control Tower'!$B$46)*'Control Tower'!$B$43*(1+'Control Tower'!$B$48)^2</f>
        <v/>
      </c>
      <c r="AJ7" s="22">
        <f>'Census Waterfall'!AJ12*'Control Tower'!$B$45*(1-'Control Tower'!$B$46)*'Control Tower'!$B$43*(1+'Control Tower'!$B$48)^2</f>
        <v/>
      </c>
      <c r="AK7" s="22">
        <f>'Census Waterfall'!AK12*'Control Tower'!$B$45*(1-'Control Tower'!$B$46)*'Control Tower'!$B$43*(1+'Control Tower'!$B$48)^2</f>
        <v/>
      </c>
      <c r="AL7" s="22">
        <f>'Census Waterfall'!AL12*'Control Tower'!$B$45*(1-'Control Tower'!$B$46)*'Control Tower'!$B$43*(1+'Control Tower'!$B$48)^2</f>
        <v/>
      </c>
    </row>
    <row r="8">
      <c r="A8" s="4" t="inlineStr">
        <is>
          <t>Medicaid RHC (3010-R-6-0)</t>
        </is>
      </c>
      <c r="C8" s="22">
        <f>'Census Waterfall'!C12*(1-'Control Tower'!$B$45)*'Control Tower'!$B$44*(1+'Control Tower'!$B$48)^0</f>
        <v/>
      </c>
      <c r="D8" s="22">
        <f>'Census Waterfall'!D12*(1-'Control Tower'!$B$45)*'Control Tower'!$B$44*(1+'Control Tower'!$B$48)^0</f>
        <v/>
      </c>
      <c r="E8" s="22">
        <f>'Census Waterfall'!E12*(1-'Control Tower'!$B$45)*'Control Tower'!$B$44*(1+'Control Tower'!$B$48)^0</f>
        <v/>
      </c>
      <c r="F8" s="22">
        <f>'Census Waterfall'!F12*(1-'Control Tower'!$B$45)*'Control Tower'!$B$44*(1+'Control Tower'!$B$48)^0</f>
        <v/>
      </c>
      <c r="G8" s="22">
        <f>'Census Waterfall'!G12*(1-'Control Tower'!$B$45)*'Control Tower'!$B$44*(1+'Control Tower'!$B$48)^0</f>
        <v/>
      </c>
      <c r="H8" s="22">
        <f>'Census Waterfall'!H12*(1-'Control Tower'!$B$45)*'Control Tower'!$B$44*(1+'Control Tower'!$B$48)^0</f>
        <v/>
      </c>
      <c r="I8" s="22">
        <f>'Census Waterfall'!I12*(1-'Control Tower'!$B$45)*'Control Tower'!$B$44*(1+'Control Tower'!$B$48)^0</f>
        <v/>
      </c>
      <c r="J8" s="22">
        <f>'Census Waterfall'!J12*(1-'Control Tower'!$B$45)*'Control Tower'!$B$44*(1+'Control Tower'!$B$48)^0</f>
        <v/>
      </c>
      <c r="K8" s="22">
        <f>'Census Waterfall'!K12*(1-'Control Tower'!$B$45)*'Control Tower'!$B$44*(1+'Control Tower'!$B$48)^0</f>
        <v/>
      </c>
      <c r="L8" s="22">
        <f>'Census Waterfall'!L12*(1-'Control Tower'!$B$45)*'Control Tower'!$B$44*(1+'Control Tower'!$B$48)^0</f>
        <v/>
      </c>
      <c r="M8" s="22">
        <f>'Census Waterfall'!M12*(1-'Control Tower'!$B$45)*'Control Tower'!$B$44*(1+'Control Tower'!$B$48)^0</f>
        <v/>
      </c>
      <c r="N8" s="22">
        <f>'Census Waterfall'!N12*(1-'Control Tower'!$B$45)*'Control Tower'!$B$44*(1+'Control Tower'!$B$48)^0</f>
        <v/>
      </c>
      <c r="O8" s="22">
        <f>'Census Waterfall'!O12*(1-'Control Tower'!$B$45)*'Control Tower'!$B$44*(1+'Control Tower'!$B$48)^1</f>
        <v/>
      </c>
      <c r="P8" s="22">
        <f>'Census Waterfall'!P12*(1-'Control Tower'!$B$45)*'Control Tower'!$B$44*(1+'Control Tower'!$B$48)^1</f>
        <v/>
      </c>
      <c r="Q8" s="22">
        <f>'Census Waterfall'!Q12*(1-'Control Tower'!$B$45)*'Control Tower'!$B$44*(1+'Control Tower'!$B$48)^1</f>
        <v/>
      </c>
      <c r="R8" s="22">
        <f>'Census Waterfall'!R12*(1-'Control Tower'!$B$45)*'Control Tower'!$B$44*(1+'Control Tower'!$B$48)^1</f>
        <v/>
      </c>
      <c r="S8" s="22">
        <f>'Census Waterfall'!S12*(1-'Control Tower'!$B$45)*'Control Tower'!$B$44*(1+'Control Tower'!$B$48)^1</f>
        <v/>
      </c>
      <c r="T8" s="22">
        <f>'Census Waterfall'!T12*(1-'Control Tower'!$B$45)*'Control Tower'!$B$44*(1+'Control Tower'!$B$48)^1</f>
        <v/>
      </c>
      <c r="U8" s="22">
        <f>'Census Waterfall'!U12*(1-'Control Tower'!$B$45)*'Control Tower'!$B$44*(1+'Control Tower'!$B$48)^1</f>
        <v/>
      </c>
      <c r="V8" s="22">
        <f>'Census Waterfall'!V12*(1-'Control Tower'!$B$45)*'Control Tower'!$B$44*(1+'Control Tower'!$B$48)^1</f>
        <v/>
      </c>
      <c r="W8" s="22">
        <f>'Census Waterfall'!W12*(1-'Control Tower'!$B$45)*'Control Tower'!$B$44*(1+'Control Tower'!$B$48)^1</f>
        <v/>
      </c>
      <c r="X8" s="22">
        <f>'Census Waterfall'!X12*(1-'Control Tower'!$B$45)*'Control Tower'!$B$44*(1+'Control Tower'!$B$48)^1</f>
        <v/>
      </c>
      <c r="Y8" s="22">
        <f>'Census Waterfall'!Y12*(1-'Control Tower'!$B$45)*'Control Tower'!$B$44*(1+'Control Tower'!$B$48)^1</f>
        <v/>
      </c>
      <c r="Z8" s="22">
        <f>'Census Waterfall'!Z12*(1-'Control Tower'!$B$45)*'Control Tower'!$B$44*(1+'Control Tower'!$B$48)^1</f>
        <v/>
      </c>
      <c r="AA8" s="22">
        <f>'Census Waterfall'!AA12*(1-'Control Tower'!$B$45)*'Control Tower'!$B$44*(1+'Control Tower'!$B$48)^2</f>
        <v/>
      </c>
      <c r="AB8" s="22">
        <f>'Census Waterfall'!AB12*(1-'Control Tower'!$B$45)*'Control Tower'!$B$44*(1+'Control Tower'!$B$48)^2</f>
        <v/>
      </c>
      <c r="AC8" s="22">
        <f>'Census Waterfall'!AC12*(1-'Control Tower'!$B$45)*'Control Tower'!$B$44*(1+'Control Tower'!$B$48)^2</f>
        <v/>
      </c>
      <c r="AD8" s="22">
        <f>'Census Waterfall'!AD12*(1-'Control Tower'!$B$45)*'Control Tower'!$B$44*(1+'Control Tower'!$B$48)^2</f>
        <v/>
      </c>
      <c r="AE8" s="22">
        <f>'Census Waterfall'!AE12*(1-'Control Tower'!$B$45)*'Control Tower'!$B$44*(1+'Control Tower'!$B$48)^2</f>
        <v/>
      </c>
      <c r="AF8" s="22">
        <f>'Census Waterfall'!AF12*(1-'Control Tower'!$B$45)*'Control Tower'!$B$44*(1+'Control Tower'!$B$48)^2</f>
        <v/>
      </c>
      <c r="AG8" s="22">
        <f>'Census Waterfall'!AG12*(1-'Control Tower'!$B$45)*'Control Tower'!$B$44*(1+'Control Tower'!$B$48)^2</f>
        <v/>
      </c>
      <c r="AH8" s="22">
        <f>'Census Waterfall'!AH12*(1-'Control Tower'!$B$45)*'Control Tower'!$B$44*(1+'Control Tower'!$B$48)^2</f>
        <v/>
      </c>
      <c r="AI8" s="22">
        <f>'Census Waterfall'!AI12*(1-'Control Tower'!$B$45)*'Control Tower'!$B$44*(1+'Control Tower'!$B$48)^2</f>
        <v/>
      </c>
      <c r="AJ8" s="22">
        <f>'Census Waterfall'!AJ12*(1-'Control Tower'!$B$45)*'Control Tower'!$B$44*(1+'Control Tower'!$B$48)^2</f>
        <v/>
      </c>
      <c r="AK8" s="22">
        <f>'Census Waterfall'!AK12*(1-'Control Tower'!$B$45)*'Control Tower'!$B$44*(1+'Control Tower'!$B$48)^2</f>
        <v/>
      </c>
      <c r="AL8" s="22">
        <f>'Census Waterfall'!AL12*(1-'Control Tower'!$B$45)*'Control Tower'!$B$44*(1+'Control Tower'!$B$48)^2</f>
        <v/>
      </c>
    </row>
    <row r="9">
      <c r="A9" s="10" t="inlineStr">
        <is>
          <t>TOTAL GROSS REVENUE</t>
        </is>
      </c>
      <c r="C9" s="23">
        <f>C6+C7+C8</f>
        <v/>
      </c>
      <c r="D9" s="23">
        <f>D6+D7+D8</f>
        <v/>
      </c>
      <c r="E9" s="23">
        <f>E6+E7+E8</f>
        <v/>
      </c>
      <c r="F9" s="23">
        <f>F6+F7+F8</f>
        <v/>
      </c>
      <c r="G9" s="23">
        <f>G6+G7+G8</f>
        <v/>
      </c>
      <c r="H9" s="23">
        <f>H6+H7+H8</f>
        <v/>
      </c>
      <c r="I9" s="23">
        <f>I6+I7+I8</f>
        <v/>
      </c>
      <c r="J9" s="23">
        <f>J6+J7+J8</f>
        <v/>
      </c>
      <c r="K9" s="23">
        <f>K6+K7+K8</f>
        <v/>
      </c>
      <c r="L9" s="23">
        <f>L6+L7+L8</f>
        <v/>
      </c>
      <c r="M9" s="23">
        <f>M6+M7+M8</f>
        <v/>
      </c>
      <c r="N9" s="23">
        <f>N6+N7+N8</f>
        <v/>
      </c>
      <c r="O9" s="23">
        <f>O6+O7+O8</f>
        <v/>
      </c>
      <c r="P9" s="23">
        <f>P6+P7+P8</f>
        <v/>
      </c>
      <c r="Q9" s="23">
        <f>Q6+Q7+Q8</f>
        <v/>
      </c>
      <c r="R9" s="23">
        <f>R6+R7+R8</f>
        <v/>
      </c>
      <c r="S9" s="23">
        <f>S6+S7+S8</f>
        <v/>
      </c>
      <c r="T9" s="23">
        <f>T6+T7+T8</f>
        <v/>
      </c>
      <c r="U9" s="23">
        <f>U6+U7+U8</f>
        <v/>
      </c>
      <c r="V9" s="23">
        <f>V6+V7+V8</f>
        <v/>
      </c>
      <c r="W9" s="23">
        <f>W6+W7+W8</f>
        <v/>
      </c>
      <c r="X9" s="23">
        <f>X6+X7+X8</f>
        <v/>
      </c>
      <c r="Y9" s="23">
        <f>Y6+Y7+Y8</f>
        <v/>
      </c>
      <c r="Z9" s="23">
        <f>Z6+Z7+Z8</f>
        <v/>
      </c>
      <c r="AA9" s="23">
        <f>AA6+AA7+AA8</f>
        <v/>
      </c>
      <c r="AB9" s="23">
        <f>AB6+AB7+AB8</f>
        <v/>
      </c>
      <c r="AC9" s="23">
        <f>AC6+AC7+AC8</f>
        <v/>
      </c>
      <c r="AD9" s="23">
        <f>AD6+AD7+AD8</f>
        <v/>
      </c>
      <c r="AE9" s="23">
        <f>AE6+AE7+AE8</f>
        <v/>
      </c>
      <c r="AF9" s="23">
        <f>AF6+AF7+AF8</f>
        <v/>
      </c>
      <c r="AG9" s="23">
        <f>AG6+AG7+AG8</f>
        <v/>
      </c>
      <c r="AH9" s="23">
        <f>AH6+AH7+AH8</f>
        <v/>
      </c>
      <c r="AI9" s="23">
        <f>AI6+AI7+AI8</f>
        <v/>
      </c>
      <c r="AJ9" s="23">
        <f>AJ6+AJ7+AJ8</f>
        <v/>
      </c>
      <c r="AK9" s="23">
        <f>AK6+AK7+AK8</f>
        <v/>
      </c>
      <c r="AL9" s="23">
        <f>AL6+AL7+AL8</f>
        <v/>
      </c>
    </row>
    <row r="10">
      <c r="A10" s="4" t="inlineStr">
        <is>
          <t>Less: billing company fee (6510-Z)</t>
        </is>
      </c>
      <c r="C10" s="22">
        <f>-C9*'Control Tower'!$B$47</f>
        <v/>
      </c>
      <c r="D10" s="22">
        <f>-D9*'Control Tower'!$B$47</f>
        <v/>
      </c>
      <c r="E10" s="22">
        <f>-E9*'Control Tower'!$B$47</f>
        <v/>
      </c>
      <c r="F10" s="22">
        <f>-F9*'Control Tower'!$B$47</f>
        <v/>
      </c>
      <c r="G10" s="22">
        <f>-G9*'Control Tower'!$B$47</f>
        <v/>
      </c>
      <c r="H10" s="22">
        <f>-H9*'Control Tower'!$B$47</f>
        <v/>
      </c>
      <c r="I10" s="22">
        <f>-I9*'Control Tower'!$B$47</f>
        <v/>
      </c>
      <c r="J10" s="22">
        <f>-J9*'Control Tower'!$B$47</f>
        <v/>
      </c>
      <c r="K10" s="22">
        <f>-K9*'Control Tower'!$B$47</f>
        <v/>
      </c>
      <c r="L10" s="22">
        <f>-L9*'Control Tower'!$B$47</f>
        <v/>
      </c>
      <c r="M10" s="22">
        <f>-M9*'Control Tower'!$B$47</f>
        <v/>
      </c>
      <c r="N10" s="22">
        <f>-N9*'Control Tower'!$B$47</f>
        <v/>
      </c>
      <c r="O10" s="22">
        <f>-O9*'Control Tower'!$B$47</f>
        <v/>
      </c>
      <c r="P10" s="22">
        <f>-P9*'Control Tower'!$B$47</f>
        <v/>
      </c>
      <c r="Q10" s="22">
        <f>-Q9*'Control Tower'!$B$47</f>
        <v/>
      </c>
      <c r="R10" s="22">
        <f>-R9*'Control Tower'!$B$47</f>
        <v/>
      </c>
      <c r="S10" s="22">
        <f>-S9*'Control Tower'!$B$47</f>
        <v/>
      </c>
      <c r="T10" s="22">
        <f>-T9*'Control Tower'!$B$47</f>
        <v/>
      </c>
      <c r="U10" s="22">
        <f>-U9*'Control Tower'!$B$47</f>
        <v/>
      </c>
      <c r="V10" s="22">
        <f>-V9*'Control Tower'!$B$47</f>
        <v/>
      </c>
      <c r="W10" s="22">
        <f>-W9*'Control Tower'!$B$47</f>
        <v/>
      </c>
      <c r="X10" s="22">
        <f>-X9*'Control Tower'!$B$47</f>
        <v/>
      </c>
      <c r="Y10" s="22">
        <f>-Y9*'Control Tower'!$B$47</f>
        <v/>
      </c>
      <c r="Z10" s="22">
        <f>-Z9*'Control Tower'!$B$47</f>
        <v/>
      </c>
      <c r="AA10" s="22">
        <f>-AA9*'Control Tower'!$B$47</f>
        <v/>
      </c>
      <c r="AB10" s="22">
        <f>-AB9*'Control Tower'!$B$47</f>
        <v/>
      </c>
      <c r="AC10" s="22">
        <f>-AC9*'Control Tower'!$B$47</f>
        <v/>
      </c>
      <c r="AD10" s="22">
        <f>-AD9*'Control Tower'!$B$47</f>
        <v/>
      </c>
      <c r="AE10" s="22">
        <f>-AE9*'Control Tower'!$B$47</f>
        <v/>
      </c>
      <c r="AF10" s="22">
        <f>-AF9*'Control Tower'!$B$47</f>
        <v/>
      </c>
      <c r="AG10" s="22">
        <f>-AG9*'Control Tower'!$B$47</f>
        <v/>
      </c>
      <c r="AH10" s="22">
        <f>-AH9*'Control Tower'!$B$47</f>
        <v/>
      </c>
      <c r="AI10" s="22">
        <f>-AI9*'Control Tower'!$B$47</f>
        <v/>
      </c>
      <c r="AJ10" s="22">
        <f>-AJ9*'Control Tower'!$B$47</f>
        <v/>
      </c>
      <c r="AK10" s="22">
        <f>-AK9*'Control Tower'!$B$47</f>
        <v/>
      </c>
      <c r="AL10" s="22">
        <f>-AL9*'Control Tower'!$B$47</f>
        <v/>
      </c>
    </row>
    <row r="11">
      <c r="A11" s="10" t="inlineStr">
        <is>
          <t>NET PATIENT REVENUE (accrual)</t>
        </is>
      </c>
      <c r="C11" s="24">
        <f>C9+C10</f>
        <v/>
      </c>
      <c r="D11" s="24">
        <f>D9+D10</f>
        <v/>
      </c>
      <c r="E11" s="24">
        <f>E9+E10</f>
        <v/>
      </c>
      <c r="F11" s="24">
        <f>F9+F10</f>
        <v/>
      </c>
      <c r="G11" s="24">
        <f>G9+G10</f>
        <v/>
      </c>
      <c r="H11" s="24">
        <f>H9+H10</f>
        <v/>
      </c>
      <c r="I11" s="24">
        <f>I9+I10</f>
        <v/>
      </c>
      <c r="J11" s="24">
        <f>J9+J10</f>
        <v/>
      </c>
      <c r="K11" s="24">
        <f>K9+K10</f>
        <v/>
      </c>
      <c r="L11" s="24">
        <f>L9+L10</f>
        <v/>
      </c>
      <c r="M11" s="24">
        <f>M9+M10</f>
        <v/>
      </c>
      <c r="N11" s="24">
        <f>N9+N10</f>
        <v/>
      </c>
      <c r="O11" s="24">
        <f>O9+O10</f>
        <v/>
      </c>
      <c r="P11" s="24">
        <f>P9+P10</f>
        <v/>
      </c>
      <c r="Q11" s="24">
        <f>Q9+Q10</f>
        <v/>
      </c>
      <c r="R11" s="24">
        <f>R9+R10</f>
        <v/>
      </c>
      <c r="S11" s="24">
        <f>S9+S10</f>
        <v/>
      </c>
      <c r="T11" s="24">
        <f>T9+T10</f>
        <v/>
      </c>
      <c r="U11" s="24">
        <f>U9+U10</f>
        <v/>
      </c>
      <c r="V11" s="24">
        <f>V9+V10</f>
        <v/>
      </c>
      <c r="W11" s="24">
        <f>W9+W10</f>
        <v/>
      </c>
      <c r="X11" s="24">
        <f>X9+X10</f>
        <v/>
      </c>
      <c r="Y11" s="24">
        <f>Y9+Y10</f>
        <v/>
      </c>
      <c r="Z11" s="24">
        <f>Z9+Z10</f>
        <v/>
      </c>
      <c r="AA11" s="24">
        <f>AA9+AA10</f>
        <v/>
      </c>
      <c r="AB11" s="24">
        <f>AB9+AB10</f>
        <v/>
      </c>
      <c r="AC11" s="24">
        <f>AC9+AC10</f>
        <v/>
      </c>
      <c r="AD11" s="24">
        <f>AD9+AD10</f>
        <v/>
      </c>
      <c r="AE11" s="24">
        <f>AE9+AE10</f>
        <v/>
      </c>
      <c r="AF11" s="24">
        <f>AF9+AF10</f>
        <v/>
      </c>
      <c r="AG11" s="24">
        <f>AG9+AG10</f>
        <v/>
      </c>
      <c r="AH11" s="24">
        <f>AH9+AH10</f>
        <v/>
      </c>
      <c r="AI11" s="24">
        <f>AI9+AI10</f>
        <v/>
      </c>
      <c r="AJ11" s="24">
        <f>AJ9+AJ10</f>
        <v/>
      </c>
      <c r="AK11" s="24">
        <f>AK9+AK10</f>
        <v/>
      </c>
      <c r="AL11" s="24">
        <f>AL9+AL10</f>
        <v/>
      </c>
    </row>
  </sheetData>
  <mergeCells count="2">
    <mergeCell ref="A2:N2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4.10&amp;C&amp;8 Confidential&amp;R&amp;8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AL44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STAFFING - FTEs scale with census on caseload ratios; PRN 1099 supplement covers visits above FTE capacity.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3" t="inlineStr">
        <is>
          <t>CLINICAL IDG - EMPLOYED (Acct 4000; FTE = LAGGED census/caseload in 0.5 steps, with day-1 core floors)</t>
        </is>
      </c>
    </row>
    <row r="7">
      <c r="A7" s="4" t="inlineStr">
        <is>
          <t>RN Case Manager (4000-0-6-1) - FTE</t>
        </is>
      </c>
      <c r="C7" s="25">
        <f>MAX('Control Tower'!$B$127,ROUNDUP(IF('Control Tower'!$B$126=1,0,'Census Waterfall'!C11)/'Control Tower'!$B$59*2,0)/2)</f>
        <v/>
      </c>
      <c r="D7" s="25">
        <f>MAX('Control Tower'!$B$127,ROUNDUP(IF('Control Tower'!$B$126=1,'Census Waterfall'!C11,'Census Waterfall'!D11)/'Control Tower'!$B$59*2,0)/2)</f>
        <v/>
      </c>
      <c r="E7" s="25">
        <f>MAX('Control Tower'!$B$127,ROUNDUP(IF('Control Tower'!$B$126=1,'Census Waterfall'!D11,'Census Waterfall'!E11)/'Control Tower'!$B$59*2,0)/2)</f>
        <v/>
      </c>
      <c r="F7" s="25">
        <f>MAX('Control Tower'!$B$127,ROUNDUP(IF('Control Tower'!$B$126=1,'Census Waterfall'!E11,'Census Waterfall'!F11)/'Control Tower'!$B$59*2,0)/2)</f>
        <v/>
      </c>
      <c r="G7" s="25">
        <f>MAX('Control Tower'!$B$127,ROUNDUP(IF('Control Tower'!$B$126=1,'Census Waterfall'!F11,'Census Waterfall'!G11)/'Control Tower'!$B$59*2,0)/2)</f>
        <v/>
      </c>
      <c r="H7" s="25">
        <f>MAX('Control Tower'!$B$127,ROUNDUP(IF('Control Tower'!$B$126=1,'Census Waterfall'!G11,'Census Waterfall'!H11)/'Control Tower'!$B$59*2,0)/2)</f>
        <v/>
      </c>
      <c r="I7" s="25">
        <f>MAX('Control Tower'!$B$127,ROUNDUP(IF('Control Tower'!$B$126=1,'Census Waterfall'!H11,'Census Waterfall'!I11)/'Control Tower'!$B$59*2,0)/2)</f>
        <v/>
      </c>
      <c r="J7" s="25">
        <f>MAX('Control Tower'!$B$127,ROUNDUP(IF('Control Tower'!$B$126=1,'Census Waterfall'!I11,'Census Waterfall'!J11)/'Control Tower'!$B$59*2,0)/2)</f>
        <v/>
      </c>
      <c r="K7" s="25">
        <f>MAX('Control Tower'!$B$127,ROUNDUP(IF('Control Tower'!$B$126=1,'Census Waterfall'!J11,'Census Waterfall'!K11)/'Control Tower'!$B$59*2,0)/2)</f>
        <v/>
      </c>
      <c r="L7" s="25">
        <f>MAX('Control Tower'!$B$127,ROUNDUP(IF('Control Tower'!$B$126=1,'Census Waterfall'!K11,'Census Waterfall'!L11)/'Control Tower'!$B$59*2,0)/2)</f>
        <v/>
      </c>
      <c r="M7" s="25">
        <f>MAX('Control Tower'!$B$127,ROUNDUP(IF('Control Tower'!$B$126=1,'Census Waterfall'!L11,'Census Waterfall'!M11)/'Control Tower'!$B$59*2,0)/2)</f>
        <v/>
      </c>
      <c r="N7" s="25">
        <f>MAX('Control Tower'!$B$127,ROUNDUP(IF('Control Tower'!$B$126=1,'Census Waterfall'!M11,'Census Waterfall'!N11)/'Control Tower'!$B$59*2,0)/2)</f>
        <v/>
      </c>
      <c r="O7" s="25">
        <f>MAX('Control Tower'!$B$127,ROUNDUP(IF('Control Tower'!$B$126=1,'Census Waterfall'!N11,'Census Waterfall'!O11)/'Control Tower'!$B$59*2,0)/2)</f>
        <v/>
      </c>
      <c r="P7" s="25">
        <f>MAX('Control Tower'!$B$127,ROUNDUP(IF('Control Tower'!$B$126=1,'Census Waterfall'!O11,'Census Waterfall'!P11)/'Control Tower'!$B$59*2,0)/2)</f>
        <v/>
      </c>
      <c r="Q7" s="25">
        <f>MAX('Control Tower'!$B$127,ROUNDUP(IF('Control Tower'!$B$126=1,'Census Waterfall'!P11,'Census Waterfall'!Q11)/'Control Tower'!$B$59*2,0)/2)</f>
        <v/>
      </c>
      <c r="R7" s="25">
        <f>MAX('Control Tower'!$B$127,ROUNDUP(IF('Control Tower'!$B$126=1,'Census Waterfall'!Q11,'Census Waterfall'!R11)/'Control Tower'!$B$59*2,0)/2)</f>
        <v/>
      </c>
      <c r="S7" s="25">
        <f>MAX('Control Tower'!$B$127,ROUNDUP(IF('Control Tower'!$B$126=1,'Census Waterfall'!R11,'Census Waterfall'!S11)/'Control Tower'!$B$59*2,0)/2)</f>
        <v/>
      </c>
      <c r="T7" s="25">
        <f>MAX('Control Tower'!$B$127,ROUNDUP(IF('Control Tower'!$B$126=1,'Census Waterfall'!S11,'Census Waterfall'!T11)/'Control Tower'!$B$59*2,0)/2)</f>
        <v/>
      </c>
      <c r="U7" s="25">
        <f>MAX('Control Tower'!$B$127,ROUNDUP(IF('Control Tower'!$B$126=1,'Census Waterfall'!T11,'Census Waterfall'!U11)/'Control Tower'!$B$59*2,0)/2)</f>
        <v/>
      </c>
      <c r="V7" s="25">
        <f>MAX('Control Tower'!$B$127,ROUNDUP(IF('Control Tower'!$B$126=1,'Census Waterfall'!U11,'Census Waterfall'!V11)/'Control Tower'!$B$59*2,0)/2)</f>
        <v/>
      </c>
      <c r="W7" s="25">
        <f>MAX('Control Tower'!$B$127,ROUNDUP(IF('Control Tower'!$B$126=1,'Census Waterfall'!V11,'Census Waterfall'!W11)/'Control Tower'!$B$59*2,0)/2)</f>
        <v/>
      </c>
      <c r="X7" s="25">
        <f>MAX('Control Tower'!$B$127,ROUNDUP(IF('Control Tower'!$B$126=1,'Census Waterfall'!W11,'Census Waterfall'!X11)/'Control Tower'!$B$59*2,0)/2)</f>
        <v/>
      </c>
      <c r="Y7" s="25">
        <f>MAX('Control Tower'!$B$127,ROUNDUP(IF('Control Tower'!$B$126=1,'Census Waterfall'!X11,'Census Waterfall'!Y11)/'Control Tower'!$B$59*2,0)/2)</f>
        <v/>
      </c>
      <c r="Z7" s="25">
        <f>MAX('Control Tower'!$B$127,ROUNDUP(IF('Control Tower'!$B$126=1,'Census Waterfall'!Y11,'Census Waterfall'!Z11)/'Control Tower'!$B$59*2,0)/2)</f>
        <v/>
      </c>
      <c r="AA7" s="25">
        <f>MAX('Control Tower'!$B$127,ROUNDUP(IF('Control Tower'!$B$126=1,'Census Waterfall'!Z11,'Census Waterfall'!AA11)/'Control Tower'!$B$59*2,0)/2)</f>
        <v/>
      </c>
      <c r="AB7" s="25">
        <f>MAX('Control Tower'!$B$127,ROUNDUP(IF('Control Tower'!$B$126=1,'Census Waterfall'!AA11,'Census Waterfall'!AB11)/'Control Tower'!$B$59*2,0)/2)</f>
        <v/>
      </c>
      <c r="AC7" s="25">
        <f>MAX('Control Tower'!$B$127,ROUNDUP(IF('Control Tower'!$B$126=1,'Census Waterfall'!AB11,'Census Waterfall'!AC11)/'Control Tower'!$B$59*2,0)/2)</f>
        <v/>
      </c>
      <c r="AD7" s="25">
        <f>MAX('Control Tower'!$B$127,ROUNDUP(IF('Control Tower'!$B$126=1,'Census Waterfall'!AC11,'Census Waterfall'!AD11)/'Control Tower'!$B$59*2,0)/2)</f>
        <v/>
      </c>
      <c r="AE7" s="25">
        <f>MAX('Control Tower'!$B$127,ROUNDUP(IF('Control Tower'!$B$126=1,'Census Waterfall'!AD11,'Census Waterfall'!AE11)/'Control Tower'!$B$59*2,0)/2)</f>
        <v/>
      </c>
      <c r="AF7" s="25">
        <f>MAX('Control Tower'!$B$127,ROUNDUP(IF('Control Tower'!$B$126=1,'Census Waterfall'!AE11,'Census Waterfall'!AF11)/'Control Tower'!$B$59*2,0)/2)</f>
        <v/>
      </c>
      <c r="AG7" s="25">
        <f>MAX('Control Tower'!$B$127,ROUNDUP(IF('Control Tower'!$B$126=1,'Census Waterfall'!AF11,'Census Waterfall'!AG11)/'Control Tower'!$B$59*2,0)/2)</f>
        <v/>
      </c>
      <c r="AH7" s="25">
        <f>MAX('Control Tower'!$B$127,ROUNDUP(IF('Control Tower'!$B$126=1,'Census Waterfall'!AG11,'Census Waterfall'!AH11)/'Control Tower'!$B$59*2,0)/2)</f>
        <v/>
      </c>
      <c r="AI7" s="25">
        <f>MAX('Control Tower'!$B$127,ROUNDUP(IF('Control Tower'!$B$126=1,'Census Waterfall'!AH11,'Census Waterfall'!AI11)/'Control Tower'!$B$59*2,0)/2)</f>
        <v/>
      </c>
      <c r="AJ7" s="25">
        <f>MAX('Control Tower'!$B$127,ROUNDUP(IF('Control Tower'!$B$126=1,'Census Waterfall'!AI11,'Census Waterfall'!AJ11)/'Control Tower'!$B$59*2,0)/2)</f>
        <v/>
      </c>
      <c r="AK7" s="25">
        <f>MAX('Control Tower'!$B$127,ROUNDUP(IF('Control Tower'!$B$126=1,'Census Waterfall'!AJ11,'Census Waterfall'!AK11)/'Control Tower'!$B$59*2,0)/2)</f>
        <v/>
      </c>
      <c r="AL7" s="25">
        <f>MAX('Control Tower'!$B$127,ROUNDUP(IF('Control Tower'!$B$126=1,'Census Waterfall'!AK11,'Census Waterfall'!AL11)/'Control Tower'!$B$59*2,0)/2)</f>
        <v/>
      </c>
    </row>
    <row r="8">
      <c r="A8" s="4" t="inlineStr">
        <is>
          <t>RN Case Manager (4000-0-6-1) - wages</t>
        </is>
      </c>
      <c r="C8" s="22">
        <f>C7*'Control Tower'!$B$58/12*(1+'Control Tower'!$B$57)^0*(1+'Control Tower'!$B$39)</f>
        <v/>
      </c>
      <c r="D8" s="22">
        <f>D7*'Control Tower'!$B$58/12*(1+'Control Tower'!$B$57)^0*(1+'Control Tower'!$B$39)</f>
        <v/>
      </c>
      <c r="E8" s="22">
        <f>E7*'Control Tower'!$B$58/12*(1+'Control Tower'!$B$57)^0*(1+'Control Tower'!$B$39)</f>
        <v/>
      </c>
      <c r="F8" s="22">
        <f>F7*'Control Tower'!$B$58/12*(1+'Control Tower'!$B$57)^0*(1+'Control Tower'!$B$39)</f>
        <v/>
      </c>
      <c r="G8" s="22">
        <f>G7*'Control Tower'!$B$58/12*(1+'Control Tower'!$B$57)^0*(1+'Control Tower'!$B$39)</f>
        <v/>
      </c>
      <c r="H8" s="22">
        <f>H7*'Control Tower'!$B$58/12*(1+'Control Tower'!$B$57)^0*(1+'Control Tower'!$B$39)</f>
        <v/>
      </c>
      <c r="I8" s="22">
        <f>I7*'Control Tower'!$B$58/12*(1+'Control Tower'!$B$57)^0*(1+'Control Tower'!$B$39)</f>
        <v/>
      </c>
      <c r="J8" s="22">
        <f>J7*'Control Tower'!$B$58/12*(1+'Control Tower'!$B$57)^0*(1+'Control Tower'!$B$39)</f>
        <v/>
      </c>
      <c r="K8" s="22">
        <f>K7*'Control Tower'!$B$58/12*(1+'Control Tower'!$B$57)^0*(1+'Control Tower'!$B$39)</f>
        <v/>
      </c>
      <c r="L8" s="22">
        <f>L7*'Control Tower'!$B$58/12*(1+'Control Tower'!$B$57)^0*(1+'Control Tower'!$B$39)</f>
        <v/>
      </c>
      <c r="M8" s="22">
        <f>M7*'Control Tower'!$B$58/12*(1+'Control Tower'!$B$57)^0*(1+'Control Tower'!$B$39)</f>
        <v/>
      </c>
      <c r="N8" s="22">
        <f>N7*'Control Tower'!$B$58/12*(1+'Control Tower'!$B$57)^0*(1+'Control Tower'!$B$39)</f>
        <v/>
      </c>
      <c r="O8" s="22">
        <f>O7*'Control Tower'!$B$58/12*(1+'Control Tower'!$B$57)^1*(1+'Control Tower'!$B$39)</f>
        <v/>
      </c>
      <c r="P8" s="22">
        <f>P7*'Control Tower'!$B$58/12*(1+'Control Tower'!$B$57)^1*(1+'Control Tower'!$B$39)</f>
        <v/>
      </c>
      <c r="Q8" s="22">
        <f>Q7*'Control Tower'!$B$58/12*(1+'Control Tower'!$B$57)^1*(1+'Control Tower'!$B$39)</f>
        <v/>
      </c>
      <c r="R8" s="22">
        <f>R7*'Control Tower'!$B$58/12*(1+'Control Tower'!$B$57)^1*(1+'Control Tower'!$B$39)</f>
        <v/>
      </c>
      <c r="S8" s="22">
        <f>S7*'Control Tower'!$B$58/12*(1+'Control Tower'!$B$57)^1*(1+'Control Tower'!$B$39)</f>
        <v/>
      </c>
      <c r="T8" s="22">
        <f>T7*'Control Tower'!$B$58/12*(1+'Control Tower'!$B$57)^1*(1+'Control Tower'!$B$39)</f>
        <v/>
      </c>
      <c r="U8" s="22">
        <f>U7*'Control Tower'!$B$58/12*(1+'Control Tower'!$B$57)^1*(1+'Control Tower'!$B$39)</f>
        <v/>
      </c>
      <c r="V8" s="22">
        <f>V7*'Control Tower'!$B$58/12*(1+'Control Tower'!$B$57)^1*(1+'Control Tower'!$B$39)</f>
        <v/>
      </c>
      <c r="W8" s="22">
        <f>W7*'Control Tower'!$B$58/12*(1+'Control Tower'!$B$57)^1*(1+'Control Tower'!$B$39)</f>
        <v/>
      </c>
      <c r="X8" s="22">
        <f>X7*'Control Tower'!$B$58/12*(1+'Control Tower'!$B$57)^1*(1+'Control Tower'!$B$39)</f>
        <v/>
      </c>
      <c r="Y8" s="22">
        <f>Y7*'Control Tower'!$B$58/12*(1+'Control Tower'!$B$57)^1*(1+'Control Tower'!$B$39)</f>
        <v/>
      </c>
      <c r="Z8" s="22">
        <f>Z7*'Control Tower'!$B$58/12*(1+'Control Tower'!$B$57)^1*(1+'Control Tower'!$B$39)</f>
        <v/>
      </c>
      <c r="AA8" s="22">
        <f>AA7*'Control Tower'!$B$58/12*(1+'Control Tower'!$B$57)^2*(1+'Control Tower'!$B$39)</f>
        <v/>
      </c>
      <c r="AB8" s="22">
        <f>AB7*'Control Tower'!$B$58/12*(1+'Control Tower'!$B$57)^2*(1+'Control Tower'!$B$39)</f>
        <v/>
      </c>
      <c r="AC8" s="22">
        <f>AC7*'Control Tower'!$B$58/12*(1+'Control Tower'!$B$57)^2*(1+'Control Tower'!$B$39)</f>
        <v/>
      </c>
      <c r="AD8" s="22">
        <f>AD7*'Control Tower'!$B$58/12*(1+'Control Tower'!$B$57)^2*(1+'Control Tower'!$B$39)</f>
        <v/>
      </c>
      <c r="AE8" s="22">
        <f>AE7*'Control Tower'!$B$58/12*(1+'Control Tower'!$B$57)^2*(1+'Control Tower'!$B$39)</f>
        <v/>
      </c>
      <c r="AF8" s="22">
        <f>AF7*'Control Tower'!$B$58/12*(1+'Control Tower'!$B$57)^2*(1+'Control Tower'!$B$39)</f>
        <v/>
      </c>
      <c r="AG8" s="22">
        <f>AG7*'Control Tower'!$B$58/12*(1+'Control Tower'!$B$57)^2*(1+'Control Tower'!$B$39)</f>
        <v/>
      </c>
      <c r="AH8" s="22">
        <f>AH7*'Control Tower'!$B$58/12*(1+'Control Tower'!$B$57)^2*(1+'Control Tower'!$B$39)</f>
        <v/>
      </c>
      <c r="AI8" s="22">
        <f>AI7*'Control Tower'!$B$58/12*(1+'Control Tower'!$B$57)^2*(1+'Control Tower'!$B$39)</f>
        <v/>
      </c>
      <c r="AJ8" s="22">
        <f>AJ7*'Control Tower'!$B$58/12*(1+'Control Tower'!$B$57)^2*(1+'Control Tower'!$B$39)</f>
        <v/>
      </c>
      <c r="AK8" s="22">
        <f>AK7*'Control Tower'!$B$58/12*(1+'Control Tower'!$B$57)^2*(1+'Control Tower'!$B$39)</f>
        <v/>
      </c>
      <c r="AL8" s="22">
        <f>AL7*'Control Tower'!$B$58/12*(1+'Control Tower'!$B$57)^2*(1+'Control Tower'!$B$39)</f>
        <v/>
      </c>
    </row>
    <row r="9">
      <c r="A9" s="4" t="inlineStr">
        <is>
          <t>RN On-Call / part-time (4000-R-6-3) - FTE</t>
        </is>
      </c>
      <c r="C9" s="25">
        <f>MAX('Control Tower'!$B$61,ROUNDUP('Census Waterfall'!C11/60*2,0)/2)</f>
        <v/>
      </c>
      <c r="D9" s="25">
        <f>MAX('Control Tower'!$B$61,ROUNDUP('Census Waterfall'!D11/60*2,0)/2)</f>
        <v/>
      </c>
      <c r="E9" s="25">
        <f>MAX('Control Tower'!$B$61,ROUNDUP('Census Waterfall'!E11/60*2,0)/2)</f>
        <v/>
      </c>
      <c r="F9" s="25">
        <f>MAX('Control Tower'!$B$61,ROUNDUP('Census Waterfall'!F11/60*2,0)/2)</f>
        <v/>
      </c>
      <c r="G9" s="25">
        <f>MAX('Control Tower'!$B$61,ROUNDUP('Census Waterfall'!G11/60*2,0)/2)</f>
        <v/>
      </c>
      <c r="H9" s="25">
        <f>MAX('Control Tower'!$B$61,ROUNDUP('Census Waterfall'!H11/60*2,0)/2)</f>
        <v/>
      </c>
      <c r="I9" s="25">
        <f>MAX('Control Tower'!$B$61,ROUNDUP('Census Waterfall'!I11/60*2,0)/2)</f>
        <v/>
      </c>
      <c r="J9" s="25">
        <f>MAX('Control Tower'!$B$61,ROUNDUP('Census Waterfall'!J11/60*2,0)/2)</f>
        <v/>
      </c>
      <c r="K9" s="25">
        <f>MAX('Control Tower'!$B$61,ROUNDUP('Census Waterfall'!K11/60*2,0)/2)</f>
        <v/>
      </c>
      <c r="L9" s="25">
        <f>MAX('Control Tower'!$B$61,ROUNDUP('Census Waterfall'!L11/60*2,0)/2)</f>
        <v/>
      </c>
      <c r="M9" s="25">
        <f>MAX('Control Tower'!$B$61,ROUNDUP('Census Waterfall'!M11/60*2,0)/2)</f>
        <v/>
      </c>
      <c r="N9" s="25">
        <f>MAX('Control Tower'!$B$61,ROUNDUP('Census Waterfall'!N11/60*2,0)/2)</f>
        <v/>
      </c>
      <c r="O9" s="25">
        <f>MAX('Control Tower'!$B$61,ROUNDUP('Census Waterfall'!O11/60*2,0)/2)</f>
        <v/>
      </c>
      <c r="P9" s="25">
        <f>MAX('Control Tower'!$B$61,ROUNDUP('Census Waterfall'!P11/60*2,0)/2)</f>
        <v/>
      </c>
      <c r="Q9" s="25">
        <f>MAX('Control Tower'!$B$61,ROUNDUP('Census Waterfall'!Q11/60*2,0)/2)</f>
        <v/>
      </c>
      <c r="R9" s="25">
        <f>MAX('Control Tower'!$B$61,ROUNDUP('Census Waterfall'!R11/60*2,0)/2)</f>
        <v/>
      </c>
      <c r="S9" s="25">
        <f>MAX('Control Tower'!$B$61,ROUNDUP('Census Waterfall'!S11/60*2,0)/2)</f>
        <v/>
      </c>
      <c r="T9" s="25">
        <f>MAX('Control Tower'!$B$61,ROUNDUP('Census Waterfall'!T11/60*2,0)/2)</f>
        <v/>
      </c>
      <c r="U9" s="25">
        <f>MAX('Control Tower'!$B$61,ROUNDUP('Census Waterfall'!U11/60*2,0)/2)</f>
        <v/>
      </c>
      <c r="V9" s="25">
        <f>MAX('Control Tower'!$B$61,ROUNDUP('Census Waterfall'!V11/60*2,0)/2)</f>
        <v/>
      </c>
      <c r="W9" s="25">
        <f>MAX('Control Tower'!$B$61,ROUNDUP('Census Waterfall'!W11/60*2,0)/2)</f>
        <v/>
      </c>
      <c r="X9" s="25">
        <f>MAX('Control Tower'!$B$61,ROUNDUP('Census Waterfall'!X11/60*2,0)/2)</f>
        <v/>
      </c>
      <c r="Y9" s="25">
        <f>MAX('Control Tower'!$B$61,ROUNDUP('Census Waterfall'!Y11/60*2,0)/2)</f>
        <v/>
      </c>
      <c r="Z9" s="25">
        <f>MAX('Control Tower'!$B$61,ROUNDUP('Census Waterfall'!Z11/60*2,0)/2)</f>
        <v/>
      </c>
      <c r="AA9" s="25">
        <f>MAX('Control Tower'!$B$61,ROUNDUP('Census Waterfall'!AA11/60*2,0)/2)</f>
        <v/>
      </c>
      <c r="AB9" s="25">
        <f>MAX('Control Tower'!$B$61,ROUNDUP('Census Waterfall'!AB11/60*2,0)/2)</f>
        <v/>
      </c>
      <c r="AC9" s="25">
        <f>MAX('Control Tower'!$B$61,ROUNDUP('Census Waterfall'!AC11/60*2,0)/2)</f>
        <v/>
      </c>
      <c r="AD9" s="25">
        <f>MAX('Control Tower'!$B$61,ROUNDUP('Census Waterfall'!AD11/60*2,0)/2)</f>
        <v/>
      </c>
      <c r="AE9" s="25">
        <f>MAX('Control Tower'!$B$61,ROUNDUP('Census Waterfall'!AE11/60*2,0)/2)</f>
        <v/>
      </c>
      <c r="AF9" s="25">
        <f>MAX('Control Tower'!$B$61,ROUNDUP('Census Waterfall'!AF11/60*2,0)/2)</f>
        <v/>
      </c>
      <c r="AG9" s="25">
        <f>MAX('Control Tower'!$B$61,ROUNDUP('Census Waterfall'!AG11/60*2,0)/2)</f>
        <v/>
      </c>
      <c r="AH9" s="25">
        <f>MAX('Control Tower'!$B$61,ROUNDUP('Census Waterfall'!AH11/60*2,0)/2)</f>
        <v/>
      </c>
      <c r="AI9" s="25">
        <f>MAX('Control Tower'!$B$61,ROUNDUP('Census Waterfall'!AI11/60*2,0)/2)</f>
        <v/>
      </c>
      <c r="AJ9" s="25">
        <f>MAX('Control Tower'!$B$61,ROUNDUP('Census Waterfall'!AJ11/60*2,0)/2)</f>
        <v/>
      </c>
      <c r="AK9" s="25">
        <f>MAX('Control Tower'!$B$61,ROUNDUP('Census Waterfall'!AK11/60*2,0)/2)</f>
        <v/>
      </c>
      <c r="AL9" s="25">
        <f>MAX('Control Tower'!$B$61,ROUNDUP('Census Waterfall'!AL11/60*2,0)/2)</f>
        <v/>
      </c>
    </row>
    <row r="10">
      <c r="A10" s="4" t="inlineStr">
        <is>
          <t>RN On-Call / part-time (4000-R-6-3) - wages</t>
        </is>
      </c>
      <c r="C10" s="22">
        <f>C9*'Control Tower'!$B$60/12*(1+'Control Tower'!$B$57)^0*(1+'Control Tower'!$B$39)</f>
        <v/>
      </c>
      <c r="D10" s="22">
        <f>D9*'Control Tower'!$B$60/12*(1+'Control Tower'!$B$57)^0*(1+'Control Tower'!$B$39)</f>
        <v/>
      </c>
      <c r="E10" s="22">
        <f>E9*'Control Tower'!$B$60/12*(1+'Control Tower'!$B$57)^0*(1+'Control Tower'!$B$39)</f>
        <v/>
      </c>
      <c r="F10" s="22">
        <f>F9*'Control Tower'!$B$60/12*(1+'Control Tower'!$B$57)^0*(1+'Control Tower'!$B$39)</f>
        <v/>
      </c>
      <c r="G10" s="22">
        <f>G9*'Control Tower'!$B$60/12*(1+'Control Tower'!$B$57)^0*(1+'Control Tower'!$B$39)</f>
        <v/>
      </c>
      <c r="H10" s="22">
        <f>H9*'Control Tower'!$B$60/12*(1+'Control Tower'!$B$57)^0*(1+'Control Tower'!$B$39)</f>
        <v/>
      </c>
      <c r="I10" s="22">
        <f>I9*'Control Tower'!$B$60/12*(1+'Control Tower'!$B$57)^0*(1+'Control Tower'!$B$39)</f>
        <v/>
      </c>
      <c r="J10" s="22">
        <f>J9*'Control Tower'!$B$60/12*(1+'Control Tower'!$B$57)^0*(1+'Control Tower'!$B$39)</f>
        <v/>
      </c>
      <c r="K10" s="22">
        <f>K9*'Control Tower'!$B$60/12*(1+'Control Tower'!$B$57)^0*(1+'Control Tower'!$B$39)</f>
        <v/>
      </c>
      <c r="L10" s="22">
        <f>L9*'Control Tower'!$B$60/12*(1+'Control Tower'!$B$57)^0*(1+'Control Tower'!$B$39)</f>
        <v/>
      </c>
      <c r="M10" s="22">
        <f>M9*'Control Tower'!$B$60/12*(1+'Control Tower'!$B$57)^0*(1+'Control Tower'!$B$39)</f>
        <v/>
      </c>
      <c r="N10" s="22">
        <f>N9*'Control Tower'!$B$60/12*(1+'Control Tower'!$B$57)^0*(1+'Control Tower'!$B$39)</f>
        <v/>
      </c>
      <c r="O10" s="22">
        <f>O9*'Control Tower'!$B$60/12*(1+'Control Tower'!$B$57)^1*(1+'Control Tower'!$B$39)</f>
        <v/>
      </c>
      <c r="P10" s="22">
        <f>P9*'Control Tower'!$B$60/12*(1+'Control Tower'!$B$57)^1*(1+'Control Tower'!$B$39)</f>
        <v/>
      </c>
      <c r="Q10" s="22">
        <f>Q9*'Control Tower'!$B$60/12*(1+'Control Tower'!$B$57)^1*(1+'Control Tower'!$B$39)</f>
        <v/>
      </c>
      <c r="R10" s="22">
        <f>R9*'Control Tower'!$B$60/12*(1+'Control Tower'!$B$57)^1*(1+'Control Tower'!$B$39)</f>
        <v/>
      </c>
      <c r="S10" s="22">
        <f>S9*'Control Tower'!$B$60/12*(1+'Control Tower'!$B$57)^1*(1+'Control Tower'!$B$39)</f>
        <v/>
      </c>
      <c r="T10" s="22">
        <f>T9*'Control Tower'!$B$60/12*(1+'Control Tower'!$B$57)^1*(1+'Control Tower'!$B$39)</f>
        <v/>
      </c>
      <c r="U10" s="22">
        <f>U9*'Control Tower'!$B$60/12*(1+'Control Tower'!$B$57)^1*(1+'Control Tower'!$B$39)</f>
        <v/>
      </c>
      <c r="V10" s="22">
        <f>V9*'Control Tower'!$B$60/12*(1+'Control Tower'!$B$57)^1*(1+'Control Tower'!$B$39)</f>
        <v/>
      </c>
      <c r="W10" s="22">
        <f>W9*'Control Tower'!$B$60/12*(1+'Control Tower'!$B$57)^1*(1+'Control Tower'!$B$39)</f>
        <v/>
      </c>
      <c r="X10" s="22">
        <f>X9*'Control Tower'!$B$60/12*(1+'Control Tower'!$B$57)^1*(1+'Control Tower'!$B$39)</f>
        <v/>
      </c>
      <c r="Y10" s="22">
        <f>Y9*'Control Tower'!$B$60/12*(1+'Control Tower'!$B$57)^1*(1+'Control Tower'!$B$39)</f>
        <v/>
      </c>
      <c r="Z10" s="22">
        <f>Z9*'Control Tower'!$B$60/12*(1+'Control Tower'!$B$57)^1*(1+'Control Tower'!$B$39)</f>
        <v/>
      </c>
      <c r="AA10" s="22">
        <f>AA9*'Control Tower'!$B$60/12*(1+'Control Tower'!$B$57)^2*(1+'Control Tower'!$B$39)</f>
        <v/>
      </c>
      <c r="AB10" s="22">
        <f>AB9*'Control Tower'!$B$60/12*(1+'Control Tower'!$B$57)^2*(1+'Control Tower'!$B$39)</f>
        <v/>
      </c>
      <c r="AC10" s="22">
        <f>AC9*'Control Tower'!$B$60/12*(1+'Control Tower'!$B$57)^2*(1+'Control Tower'!$B$39)</f>
        <v/>
      </c>
      <c r="AD10" s="22">
        <f>AD9*'Control Tower'!$B$60/12*(1+'Control Tower'!$B$57)^2*(1+'Control Tower'!$B$39)</f>
        <v/>
      </c>
      <c r="AE10" s="22">
        <f>AE9*'Control Tower'!$B$60/12*(1+'Control Tower'!$B$57)^2*(1+'Control Tower'!$B$39)</f>
        <v/>
      </c>
      <c r="AF10" s="22">
        <f>AF9*'Control Tower'!$B$60/12*(1+'Control Tower'!$B$57)^2*(1+'Control Tower'!$B$39)</f>
        <v/>
      </c>
      <c r="AG10" s="22">
        <f>AG9*'Control Tower'!$B$60/12*(1+'Control Tower'!$B$57)^2*(1+'Control Tower'!$B$39)</f>
        <v/>
      </c>
      <c r="AH10" s="22">
        <f>AH9*'Control Tower'!$B$60/12*(1+'Control Tower'!$B$57)^2*(1+'Control Tower'!$B$39)</f>
        <v/>
      </c>
      <c r="AI10" s="22">
        <f>AI9*'Control Tower'!$B$60/12*(1+'Control Tower'!$B$57)^2*(1+'Control Tower'!$B$39)</f>
        <v/>
      </c>
      <c r="AJ10" s="22">
        <f>AJ9*'Control Tower'!$B$60/12*(1+'Control Tower'!$B$57)^2*(1+'Control Tower'!$B$39)</f>
        <v/>
      </c>
      <c r="AK10" s="22">
        <f>AK9*'Control Tower'!$B$60/12*(1+'Control Tower'!$B$57)^2*(1+'Control Tower'!$B$39)</f>
        <v/>
      </c>
      <c r="AL10" s="22">
        <f>AL9*'Control Tower'!$B$60/12*(1+'Control Tower'!$B$57)^2*(1+'Control Tower'!$B$39)</f>
        <v/>
      </c>
    </row>
    <row r="11">
      <c r="A11" s="4" t="inlineStr">
        <is>
          <t>Hospice Aide / CNA (4000-R-6-5) - FTE</t>
        </is>
      </c>
      <c r="C11" s="25">
        <f>MAX('Control Tower'!$B$128,ROUNDUP(IF('Control Tower'!$B$126=1,0,'Census Waterfall'!C11)/'Control Tower'!$B$63*2,0)/2)</f>
        <v/>
      </c>
      <c r="D11" s="25">
        <f>MAX('Control Tower'!$B$128,ROUNDUP(IF('Control Tower'!$B$126=1,'Census Waterfall'!C11,'Census Waterfall'!D11)/'Control Tower'!$B$63*2,0)/2)</f>
        <v/>
      </c>
      <c r="E11" s="25">
        <f>MAX('Control Tower'!$B$128,ROUNDUP(IF('Control Tower'!$B$126=1,'Census Waterfall'!D11,'Census Waterfall'!E11)/'Control Tower'!$B$63*2,0)/2)</f>
        <v/>
      </c>
      <c r="F11" s="25">
        <f>MAX('Control Tower'!$B$128,ROUNDUP(IF('Control Tower'!$B$126=1,'Census Waterfall'!E11,'Census Waterfall'!F11)/'Control Tower'!$B$63*2,0)/2)</f>
        <v/>
      </c>
      <c r="G11" s="25">
        <f>MAX('Control Tower'!$B$128,ROUNDUP(IF('Control Tower'!$B$126=1,'Census Waterfall'!F11,'Census Waterfall'!G11)/'Control Tower'!$B$63*2,0)/2)</f>
        <v/>
      </c>
      <c r="H11" s="25">
        <f>MAX('Control Tower'!$B$128,ROUNDUP(IF('Control Tower'!$B$126=1,'Census Waterfall'!G11,'Census Waterfall'!H11)/'Control Tower'!$B$63*2,0)/2)</f>
        <v/>
      </c>
      <c r="I11" s="25">
        <f>MAX('Control Tower'!$B$128,ROUNDUP(IF('Control Tower'!$B$126=1,'Census Waterfall'!H11,'Census Waterfall'!I11)/'Control Tower'!$B$63*2,0)/2)</f>
        <v/>
      </c>
      <c r="J11" s="25">
        <f>MAX('Control Tower'!$B$128,ROUNDUP(IF('Control Tower'!$B$126=1,'Census Waterfall'!I11,'Census Waterfall'!J11)/'Control Tower'!$B$63*2,0)/2)</f>
        <v/>
      </c>
      <c r="K11" s="25">
        <f>MAX('Control Tower'!$B$128,ROUNDUP(IF('Control Tower'!$B$126=1,'Census Waterfall'!J11,'Census Waterfall'!K11)/'Control Tower'!$B$63*2,0)/2)</f>
        <v/>
      </c>
      <c r="L11" s="25">
        <f>MAX('Control Tower'!$B$128,ROUNDUP(IF('Control Tower'!$B$126=1,'Census Waterfall'!K11,'Census Waterfall'!L11)/'Control Tower'!$B$63*2,0)/2)</f>
        <v/>
      </c>
      <c r="M11" s="25">
        <f>MAX('Control Tower'!$B$128,ROUNDUP(IF('Control Tower'!$B$126=1,'Census Waterfall'!L11,'Census Waterfall'!M11)/'Control Tower'!$B$63*2,0)/2)</f>
        <v/>
      </c>
      <c r="N11" s="25">
        <f>MAX('Control Tower'!$B$128,ROUNDUP(IF('Control Tower'!$B$126=1,'Census Waterfall'!M11,'Census Waterfall'!N11)/'Control Tower'!$B$63*2,0)/2)</f>
        <v/>
      </c>
      <c r="O11" s="25">
        <f>MAX('Control Tower'!$B$128,ROUNDUP(IF('Control Tower'!$B$126=1,'Census Waterfall'!N11,'Census Waterfall'!O11)/'Control Tower'!$B$63*2,0)/2)</f>
        <v/>
      </c>
      <c r="P11" s="25">
        <f>MAX('Control Tower'!$B$128,ROUNDUP(IF('Control Tower'!$B$126=1,'Census Waterfall'!O11,'Census Waterfall'!P11)/'Control Tower'!$B$63*2,0)/2)</f>
        <v/>
      </c>
      <c r="Q11" s="25">
        <f>MAX('Control Tower'!$B$128,ROUNDUP(IF('Control Tower'!$B$126=1,'Census Waterfall'!P11,'Census Waterfall'!Q11)/'Control Tower'!$B$63*2,0)/2)</f>
        <v/>
      </c>
      <c r="R11" s="25">
        <f>MAX('Control Tower'!$B$128,ROUNDUP(IF('Control Tower'!$B$126=1,'Census Waterfall'!Q11,'Census Waterfall'!R11)/'Control Tower'!$B$63*2,0)/2)</f>
        <v/>
      </c>
      <c r="S11" s="25">
        <f>MAX('Control Tower'!$B$128,ROUNDUP(IF('Control Tower'!$B$126=1,'Census Waterfall'!R11,'Census Waterfall'!S11)/'Control Tower'!$B$63*2,0)/2)</f>
        <v/>
      </c>
      <c r="T11" s="25">
        <f>MAX('Control Tower'!$B$128,ROUNDUP(IF('Control Tower'!$B$126=1,'Census Waterfall'!S11,'Census Waterfall'!T11)/'Control Tower'!$B$63*2,0)/2)</f>
        <v/>
      </c>
      <c r="U11" s="25">
        <f>MAX('Control Tower'!$B$128,ROUNDUP(IF('Control Tower'!$B$126=1,'Census Waterfall'!T11,'Census Waterfall'!U11)/'Control Tower'!$B$63*2,0)/2)</f>
        <v/>
      </c>
      <c r="V11" s="25">
        <f>MAX('Control Tower'!$B$128,ROUNDUP(IF('Control Tower'!$B$126=1,'Census Waterfall'!U11,'Census Waterfall'!V11)/'Control Tower'!$B$63*2,0)/2)</f>
        <v/>
      </c>
      <c r="W11" s="25">
        <f>MAX('Control Tower'!$B$128,ROUNDUP(IF('Control Tower'!$B$126=1,'Census Waterfall'!V11,'Census Waterfall'!W11)/'Control Tower'!$B$63*2,0)/2)</f>
        <v/>
      </c>
      <c r="X11" s="25">
        <f>MAX('Control Tower'!$B$128,ROUNDUP(IF('Control Tower'!$B$126=1,'Census Waterfall'!W11,'Census Waterfall'!X11)/'Control Tower'!$B$63*2,0)/2)</f>
        <v/>
      </c>
      <c r="Y11" s="25">
        <f>MAX('Control Tower'!$B$128,ROUNDUP(IF('Control Tower'!$B$126=1,'Census Waterfall'!X11,'Census Waterfall'!Y11)/'Control Tower'!$B$63*2,0)/2)</f>
        <v/>
      </c>
      <c r="Z11" s="25">
        <f>MAX('Control Tower'!$B$128,ROUNDUP(IF('Control Tower'!$B$126=1,'Census Waterfall'!Y11,'Census Waterfall'!Z11)/'Control Tower'!$B$63*2,0)/2)</f>
        <v/>
      </c>
      <c r="AA11" s="25">
        <f>MAX('Control Tower'!$B$128,ROUNDUP(IF('Control Tower'!$B$126=1,'Census Waterfall'!Z11,'Census Waterfall'!AA11)/'Control Tower'!$B$63*2,0)/2)</f>
        <v/>
      </c>
      <c r="AB11" s="25">
        <f>MAX('Control Tower'!$B$128,ROUNDUP(IF('Control Tower'!$B$126=1,'Census Waterfall'!AA11,'Census Waterfall'!AB11)/'Control Tower'!$B$63*2,0)/2)</f>
        <v/>
      </c>
      <c r="AC11" s="25">
        <f>MAX('Control Tower'!$B$128,ROUNDUP(IF('Control Tower'!$B$126=1,'Census Waterfall'!AB11,'Census Waterfall'!AC11)/'Control Tower'!$B$63*2,0)/2)</f>
        <v/>
      </c>
      <c r="AD11" s="25">
        <f>MAX('Control Tower'!$B$128,ROUNDUP(IF('Control Tower'!$B$126=1,'Census Waterfall'!AC11,'Census Waterfall'!AD11)/'Control Tower'!$B$63*2,0)/2)</f>
        <v/>
      </c>
      <c r="AE11" s="25">
        <f>MAX('Control Tower'!$B$128,ROUNDUP(IF('Control Tower'!$B$126=1,'Census Waterfall'!AD11,'Census Waterfall'!AE11)/'Control Tower'!$B$63*2,0)/2)</f>
        <v/>
      </c>
      <c r="AF11" s="25">
        <f>MAX('Control Tower'!$B$128,ROUNDUP(IF('Control Tower'!$B$126=1,'Census Waterfall'!AE11,'Census Waterfall'!AF11)/'Control Tower'!$B$63*2,0)/2)</f>
        <v/>
      </c>
      <c r="AG11" s="25">
        <f>MAX('Control Tower'!$B$128,ROUNDUP(IF('Control Tower'!$B$126=1,'Census Waterfall'!AF11,'Census Waterfall'!AG11)/'Control Tower'!$B$63*2,0)/2)</f>
        <v/>
      </c>
      <c r="AH11" s="25">
        <f>MAX('Control Tower'!$B$128,ROUNDUP(IF('Control Tower'!$B$126=1,'Census Waterfall'!AG11,'Census Waterfall'!AH11)/'Control Tower'!$B$63*2,0)/2)</f>
        <v/>
      </c>
      <c r="AI11" s="25">
        <f>MAX('Control Tower'!$B$128,ROUNDUP(IF('Control Tower'!$B$126=1,'Census Waterfall'!AH11,'Census Waterfall'!AI11)/'Control Tower'!$B$63*2,0)/2)</f>
        <v/>
      </c>
      <c r="AJ11" s="25">
        <f>MAX('Control Tower'!$B$128,ROUNDUP(IF('Control Tower'!$B$126=1,'Census Waterfall'!AI11,'Census Waterfall'!AJ11)/'Control Tower'!$B$63*2,0)/2)</f>
        <v/>
      </c>
      <c r="AK11" s="25">
        <f>MAX('Control Tower'!$B$128,ROUNDUP(IF('Control Tower'!$B$126=1,'Census Waterfall'!AJ11,'Census Waterfall'!AK11)/'Control Tower'!$B$63*2,0)/2)</f>
        <v/>
      </c>
      <c r="AL11" s="25">
        <f>MAX('Control Tower'!$B$128,ROUNDUP(IF('Control Tower'!$B$126=1,'Census Waterfall'!AK11,'Census Waterfall'!AL11)/'Control Tower'!$B$63*2,0)/2)</f>
        <v/>
      </c>
    </row>
    <row r="12">
      <c r="A12" s="4" t="inlineStr">
        <is>
          <t>Hospice Aide / CNA (4000-R-6-5) - wages</t>
        </is>
      </c>
      <c r="C12" s="22">
        <f>C11*'Control Tower'!$B$62/12*(1+'Control Tower'!$B$57)^0*(1+'Control Tower'!$B$39)</f>
        <v/>
      </c>
      <c r="D12" s="22">
        <f>D11*'Control Tower'!$B$62/12*(1+'Control Tower'!$B$57)^0*(1+'Control Tower'!$B$39)</f>
        <v/>
      </c>
      <c r="E12" s="22">
        <f>E11*'Control Tower'!$B$62/12*(1+'Control Tower'!$B$57)^0*(1+'Control Tower'!$B$39)</f>
        <v/>
      </c>
      <c r="F12" s="22">
        <f>F11*'Control Tower'!$B$62/12*(1+'Control Tower'!$B$57)^0*(1+'Control Tower'!$B$39)</f>
        <v/>
      </c>
      <c r="G12" s="22">
        <f>G11*'Control Tower'!$B$62/12*(1+'Control Tower'!$B$57)^0*(1+'Control Tower'!$B$39)</f>
        <v/>
      </c>
      <c r="H12" s="22">
        <f>H11*'Control Tower'!$B$62/12*(1+'Control Tower'!$B$57)^0*(1+'Control Tower'!$B$39)</f>
        <v/>
      </c>
      <c r="I12" s="22">
        <f>I11*'Control Tower'!$B$62/12*(1+'Control Tower'!$B$57)^0*(1+'Control Tower'!$B$39)</f>
        <v/>
      </c>
      <c r="J12" s="22">
        <f>J11*'Control Tower'!$B$62/12*(1+'Control Tower'!$B$57)^0*(1+'Control Tower'!$B$39)</f>
        <v/>
      </c>
      <c r="K12" s="22">
        <f>K11*'Control Tower'!$B$62/12*(1+'Control Tower'!$B$57)^0*(1+'Control Tower'!$B$39)</f>
        <v/>
      </c>
      <c r="L12" s="22">
        <f>L11*'Control Tower'!$B$62/12*(1+'Control Tower'!$B$57)^0*(1+'Control Tower'!$B$39)</f>
        <v/>
      </c>
      <c r="M12" s="22">
        <f>M11*'Control Tower'!$B$62/12*(1+'Control Tower'!$B$57)^0*(1+'Control Tower'!$B$39)</f>
        <v/>
      </c>
      <c r="N12" s="22">
        <f>N11*'Control Tower'!$B$62/12*(1+'Control Tower'!$B$57)^0*(1+'Control Tower'!$B$39)</f>
        <v/>
      </c>
      <c r="O12" s="22">
        <f>O11*'Control Tower'!$B$62/12*(1+'Control Tower'!$B$57)^1*(1+'Control Tower'!$B$39)</f>
        <v/>
      </c>
      <c r="P12" s="22">
        <f>P11*'Control Tower'!$B$62/12*(1+'Control Tower'!$B$57)^1*(1+'Control Tower'!$B$39)</f>
        <v/>
      </c>
      <c r="Q12" s="22">
        <f>Q11*'Control Tower'!$B$62/12*(1+'Control Tower'!$B$57)^1*(1+'Control Tower'!$B$39)</f>
        <v/>
      </c>
      <c r="R12" s="22">
        <f>R11*'Control Tower'!$B$62/12*(1+'Control Tower'!$B$57)^1*(1+'Control Tower'!$B$39)</f>
        <v/>
      </c>
      <c r="S12" s="22">
        <f>S11*'Control Tower'!$B$62/12*(1+'Control Tower'!$B$57)^1*(1+'Control Tower'!$B$39)</f>
        <v/>
      </c>
      <c r="T12" s="22">
        <f>T11*'Control Tower'!$B$62/12*(1+'Control Tower'!$B$57)^1*(1+'Control Tower'!$B$39)</f>
        <v/>
      </c>
      <c r="U12" s="22">
        <f>U11*'Control Tower'!$B$62/12*(1+'Control Tower'!$B$57)^1*(1+'Control Tower'!$B$39)</f>
        <v/>
      </c>
      <c r="V12" s="22">
        <f>V11*'Control Tower'!$B$62/12*(1+'Control Tower'!$B$57)^1*(1+'Control Tower'!$B$39)</f>
        <v/>
      </c>
      <c r="W12" s="22">
        <f>W11*'Control Tower'!$B$62/12*(1+'Control Tower'!$B$57)^1*(1+'Control Tower'!$B$39)</f>
        <v/>
      </c>
      <c r="X12" s="22">
        <f>X11*'Control Tower'!$B$62/12*(1+'Control Tower'!$B$57)^1*(1+'Control Tower'!$B$39)</f>
        <v/>
      </c>
      <c r="Y12" s="22">
        <f>Y11*'Control Tower'!$B$62/12*(1+'Control Tower'!$B$57)^1*(1+'Control Tower'!$B$39)</f>
        <v/>
      </c>
      <c r="Z12" s="22">
        <f>Z11*'Control Tower'!$B$62/12*(1+'Control Tower'!$B$57)^1*(1+'Control Tower'!$B$39)</f>
        <v/>
      </c>
      <c r="AA12" s="22">
        <f>AA11*'Control Tower'!$B$62/12*(1+'Control Tower'!$B$57)^2*(1+'Control Tower'!$B$39)</f>
        <v/>
      </c>
      <c r="AB12" s="22">
        <f>AB11*'Control Tower'!$B$62/12*(1+'Control Tower'!$B$57)^2*(1+'Control Tower'!$B$39)</f>
        <v/>
      </c>
      <c r="AC12" s="22">
        <f>AC11*'Control Tower'!$B$62/12*(1+'Control Tower'!$B$57)^2*(1+'Control Tower'!$B$39)</f>
        <v/>
      </c>
      <c r="AD12" s="22">
        <f>AD11*'Control Tower'!$B$62/12*(1+'Control Tower'!$B$57)^2*(1+'Control Tower'!$B$39)</f>
        <v/>
      </c>
      <c r="AE12" s="22">
        <f>AE11*'Control Tower'!$B$62/12*(1+'Control Tower'!$B$57)^2*(1+'Control Tower'!$B$39)</f>
        <v/>
      </c>
      <c r="AF12" s="22">
        <f>AF11*'Control Tower'!$B$62/12*(1+'Control Tower'!$B$57)^2*(1+'Control Tower'!$B$39)</f>
        <v/>
      </c>
      <c r="AG12" s="22">
        <f>AG11*'Control Tower'!$B$62/12*(1+'Control Tower'!$B$57)^2*(1+'Control Tower'!$B$39)</f>
        <v/>
      </c>
      <c r="AH12" s="22">
        <f>AH11*'Control Tower'!$B$62/12*(1+'Control Tower'!$B$57)^2*(1+'Control Tower'!$B$39)</f>
        <v/>
      </c>
      <c r="AI12" s="22">
        <f>AI11*'Control Tower'!$B$62/12*(1+'Control Tower'!$B$57)^2*(1+'Control Tower'!$B$39)</f>
        <v/>
      </c>
      <c r="AJ12" s="22">
        <f>AJ11*'Control Tower'!$B$62/12*(1+'Control Tower'!$B$57)^2*(1+'Control Tower'!$B$39)</f>
        <v/>
      </c>
      <c r="AK12" s="22">
        <f>AK11*'Control Tower'!$B$62/12*(1+'Control Tower'!$B$57)^2*(1+'Control Tower'!$B$39)</f>
        <v/>
      </c>
      <c r="AL12" s="22">
        <f>AL11*'Control Tower'!$B$62/12*(1+'Control Tower'!$B$57)^2*(1+'Control Tower'!$B$39)</f>
        <v/>
      </c>
    </row>
    <row r="13">
      <c r="A13" s="4" t="inlineStr">
        <is>
          <t>Medical Social Worker (4000-R-6-6) - FTE</t>
        </is>
      </c>
      <c r="C13" s="25">
        <f>ROUNDUP(IF('Control Tower'!$B$126=1,0,'Census Waterfall'!C11)/'Control Tower'!$B$65*2,0)/2</f>
        <v/>
      </c>
      <c r="D13" s="25">
        <f>ROUNDUP(IF('Control Tower'!$B$126=1,'Census Waterfall'!C11,'Census Waterfall'!D11)/'Control Tower'!$B$65*2,0)/2</f>
        <v/>
      </c>
      <c r="E13" s="25">
        <f>ROUNDUP(IF('Control Tower'!$B$126=1,'Census Waterfall'!D11,'Census Waterfall'!E11)/'Control Tower'!$B$65*2,0)/2</f>
        <v/>
      </c>
      <c r="F13" s="25">
        <f>ROUNDUP(IF('Control Tower'!$B$126=1,'Census Waterfall'!E11,'Census Waterfall'!F11)/'Control Tower'!$B$65*2,0)/2</f>
        <v/>
      </c>
      <c r="G13" s="25">
        <f>ROUNDUP(IF('Control Tower'!$B$126=1,'Census Waterfall'!F11,'Census Waterfall'!G11)/'Control Tower'!$B$65*2,0)/2</f>
        <v/>
      </c>
      <c r="H13" s="25">
        <f>ROUNDUP(IF('Control Tower'!$B$126=1,'Census Waterfall'!G11,'Census Waterfall'!H11)/'Control Tower'!$B$65*2,0)/2</f>
        <v/>
      </c>
      <c r="I13" s="25">
        <f>ROUNDUP(IF('Control Tower'!$B$126=1,'Census Waterfall'!H11,'Census Waterfall'!I11)/'Control Tower'!$B$65*2,0)/2</f>
        <v/>
      </c>
      <c r="J13" s="25">
        <f>ROUNDUP(IF('Control Tower'!$B$126=1,'Census Waterfall'!I11,'Census Waterfall'!J11)/'Control Tower'!$B$65*2,0)/2</f>
        <v/>
      </c>
      <c r="K13" s="25">
        <f>ROUNDUP(IF('Control Tower'!$B$126=1,'Census Waterfall'!J11,'Census Waterfall'!K11)/'Control Tower'!$B$65*2,0)/2</f>
        <v/>
      </c>
      <c r="L13" s="25">
        <f>ROUNDUP(IF('Control Tower'!$B$126=1,'Census Waterfall'!K11,'Census Waterfall'!L11)/'Control Tower'!$B$65*2,0)/2</f>
        <v/>
      </c>
      <c r="M13" s="25">
        <f>ROUNDUP(IF('Control Tower'!$B$126=1,'Census Waterfall'!L11,'Census Waterfall'!M11)/'Control Tower'!$B$65*2,0)/2</f>
        <v/>
      </c>
      <c r="N13" s="25">
        <f>ROUNDUP(IF('Control Tower'!$B$126=1,'Census Waterfall'!M11,'Census Waterfall'!N11)/'Control Tower'!$B$65*2,0)/2</f>
        <v/>
      </c>
      <c r="O13" s="25">
        <f>ROUNDUP(IF('Control Tower'!$B$126=1,'Census Waterfall'!N11,'Census Waterfall'!O11)/'Control Tower'!$B$65*2,0)/2</f>
        <v/>
      </c>
      <c r="P13" s="25">
        <f>ROUNDUP(IF('Control Tower'!$B$126=1,'Census Waterfall'!O11,'Census Waterfall'!P11)/'Control Tower'!$B$65*2,0)/2</f>
        <v/>
      </c>
      <c r="Q13" s="25">
        <f>ROUNDUP(IF('Control Tower'!$B$126=1,'Census Waterfall'!P11,'Census Waterfall'!Q11)/'Control Tower'!$B$65*2,0)/2</f>
        <v/>
      </c>
      <c r="R13" s="25">
        <f>ROUNDUP(IF('Control Tower'!$B$126=1,'Census Waterfall'!Q11,'Census Waterfall'!R11)/'Control Tower'!$B$65*2,0)/2</f>
        <v/>
      </c>
      <c r="S13" s="25">
        <f>ROUNDUP(IF('Control Tower'!$B$126=1,'Census Waterfall'!R11,'Census Waterfall'!S11)/'Control Tower'!$B$65*2,0)/2</f>
        <v/>
      </c>
      <c r="T13" s="25">
        <f>ROUNDUP(IF('Control Tower'!$B$126=1,'Census Waterfall'!S11,'Census Waterfall'!T11)/'Control Tower'!$B$65*2,0)/2</f>
        <v/>
      </c>
      <c r="U13" s="25">
        <f>ROUNDUP(IF('Control Tower'!$B$126=1,'Census Waterfall'!T11,'Census Waterfall'!U11)/'Control Tower'!$B$65*2,0)/2</f>
        <v/>
      </c>
      <c r="V13" s="25">
        <f>ROUNDUP(IF('Control Tower'!$B$126=1,'Census Waterfall'!U11,'Census Waterfall'!V11)/'Control Tower'!$B$65*2,0)/2</f>
        <v/>
      </c>
      <c r="W13" s="25">
        <f>ROUNDUP(IF('Control Tower'!$B$126=1,'Census Waterfall'!V11,'Census Waterfall'!W11)/'Control Tower'!$B$65*2,0)/2</f>
        <v/>
      </c>
      <c r="X13" s="25">
        <f>ROUNDUP(IF('Control Tower'!$B$126=1,'Census Waterfall'!W11,'Census Waterfall'!X11)/'Control Tower'!$B$65*2,0)/2</f>
        <v/>
      </c>
      <c r="Y13" s="25">
        <f>ROUNDUP(IF('Control Tower'!$B$126=1,'Census Waterfall'!X11,'Census Waterfall'!Y11)/'Control Tower'!$B$65*2,0)/2</f>
        <v/>
      </c>
      <c r="Z13" s="25">
        <f>ROUNDUP(IF('Control Tower'!$B$126=1,'Census Waterfall'!Y11,'Census Waterfall'!Z11)/'Control Tower'!$B$65*2,0)/2</f>
        <v/>
      </c>
      <c r="AA13" s="25">
        <f>ROUNDUP(IF('Control Tower'!$B$126=1,'Census Waterfall'!Z11,'Census Waterfall'!AA11)/'Control Tower'!$B$65*2,0)/2</f>
        <v/>
      </c>
      <c r="AB13" s="25">
        <f>ROUNDUP(IF('Control Tower'!$B$126=1,'Census Waterfall'!AA11,'Census Waterfall'!AB11)/'Control Tower'!$B$65*2,0)/2</f>
        <v/>
      </c>
      <c r="AC13" s="25">
        <f>ROUNDUP(IF('Control Tower'!$B$126=1,'Census Waterfall'!AB11,'Census Waterfall'!AC11)/'Control Tower'!$B$65*2,0)/2</f>
        <v/>
      </c>
      <c r="AD13" s="25">
        <f>ROUNDUP(IF('Control Tower'!$B$126=1,'Census Waterfall'!AC11,'Census Waterfall'!AD11)/'Control Tower'!$B$65*2,0)/2</f>
        <v/>
      </c>
      <c r="AE13" s="25">
        <f>ROUNDUP(IF('Control Tower'!$B$126=1,'Census Waterfall'!AD11,'Census Waterfall'!AE11)/'Control Tower'!$B$65*2,0)/2</f>
        <v/>
      </c>
      <c r="AF13" s="25">
        <f>ROUNDUP(IF('Control Tower'!$B$126=1,'Census Waterfall'!AE11,'Census Waterfall'!AF11)/'Control Tower'!$B$65*2,0)/2</f>
        <v/>
      </c>
      <c r="AG13" s="25">
        <f>ROUNDUP(IF('Control Tower'!$B$126=1,'Census Waterfall'!AF11,'Census Waterfall'!AG11)/'Control Tower'!$B$65*2,0)/2</f>
        <v/>
      </c>
      <c r="AH13" s="25">
        <f>ROUNDUP(IF('Control Tower'!$B$126=1,'Census Waterfall'!AG11,'Census Waterfall'!AH11)/'Control Tower'!$B$65*2,0)/2</f>
        <v/>
      </c>
      <c r="AI13" s="25">
        <f>ROUNDUP(IF('Control Tower'!$B$126=1,'Census Waterfall'!AH11,'Census Waterfall'!AI11)/'Control Tower'!$B$65*2,0)/2</f>
        <v/>
      </c>
      <c r="AJ13" s="25">
        <f>ROUNDUP(IF('Control Tower'!$B$126=1,'Census Waterfall'!AI11,'Census Waterfall'!AJ11)/'Control Tower'!$B$65*2,0)/2</f>
        <v/>
      </c>
      <c r="AK13" s="25">
        <f>ROUNDUP(IF('Control Tower'!$B$126=1,'Census Waterfall'!AJ11,'Census Waterfall'!AK11)/'Control Tower'!$B$65*2,0)/2</f>
        <v/>
      </c>
      <c r="AL13" s="25">
        <f>ROUNDUP(IF('Control Tower'!$B$126=1,'Census Waterfall'!AK11,'Census Waterfall'!AL11)/'Control Tower'!$B$65*2,0)/2</f>
        <v/>
      </c>
    </row>
    <row r="14">
      <c r="A14" s="4" t="inlineStr">
        <is>
          <t>Medical Social Worker (4000-R-6-6) - wages</t>
        </is>
      </c>
      <c r="C14" s="22">
        <f>C13*'Control Tower'!$B$64/12*(1+'Control Tower'!$B$57)^0*(1+'Control Tower'!$B$39)</f>
        <v/>
      </c>
      <c r="D14" s="22">
        <f>D13*'Control Tower'!$B$64/12*(1+'Control Tower'!$B$57)^0*(1+'Control Tower'!$B$39)</f>
        <v/>
      </c>
      <c r="E14" s="22">
        <f>E13*'Control Tower'!$B$64/12*(1+'Control Tower'!$B$57)^0*(1+'Control Tower'!$B$39)</f>
        <v/>
      </c>
      <c r="F14" s="22">
        <f>F13*'Control Tower'!$B$64/12*(1+'Control Tower'!$B$57)^0*(1+'Control Tower'!$B$39)</f>
        <v/>
      </c>
      <c r="G14" s="22">
        <f>G13*'Control Tower'!$B$64/12*(1+'Control Tower'!$B$57)^0*(1+'Control Tower'!$B$39)</f>
        <v/>
      </c>
      <c r="H14" s="22">
        <f>H13*'Control Tower'!$B$64/12*(1+'Control Tower'!$B$57)^0*(1+'Control Tower'!$B$39)</f>
        <v/>
      </c>
      <c r="I14" s="22">
        <f>I13*'Control Tower'!$B$64/12*(1+'Control Tower'!$B$57)^0*(1+'Control Tower'!$B$39)</f>
        <v/>
      </c>
      <c r="J14" s="22">
        <f>J13*'Control Tower'!$B$64/12*(1+'Control Tower'!$B$57)^0*(1+'Control Tower'!$B$39)</f>
        <v/>
      </c>
      <c r="K14" s="22">
        <f>K13*'Control Tower'!$B$64/12*(1+'Control Tower'!$B$57)^0*(1+'Control Tower'!$B$39)</f>
        <v/>
      </c>
      <c r="L14" s="22">
        <f>L13*'Control Tower'!$B$64/12*(1+'Control Tower'!$B$57)^0*(1+'Control Tower'!$B$39)</f>
        <v/>
      </c>
      <c r="M14" s="22">
        <f>M13*'Control Tower'!$B$64/12*(1+'Control Tower'!$B$57)^0*(1+'Control Tower'!$B$39)</f>
        <v/>
      </c>
      <c r="N14" s="22">
        <f>N13*'Control Tower'!$B$64/12*(1+'Control Tower'!$B$57)^0*(1+'Control Tower'!$B$39)</f>
        <v/>
      </c>
      <c r="O14" s="22">
        <f>O13*'Control Tower'!$B$64/12*(1+'Control Tower'!$B$57)^1*(1+'Control Tower'!$B$39)</f>
        <v/>
      </c>
      <c r="P14" s="22">
        <f>P13*'Control Tower'!$B$64/12*(1+'Control Tower'!$B$57)^1*(1+'Control Tower'!$B$39)</f>
        <v/>
      </c>
      <c r="Q14" s="22">
        <f>Q13*'Control Tower'!$B$64/12*(1+'Control Tower'!$B$57)^1*(1+'Control Tower'!$B$39)</f>
        <v/>
      </c>
      <c r="R14" s="22">
        <f>R13*'Control Tower'!$B$64/12*(1+'Control Tower'!$B$57)^1*(1+'Control Tower'!$B$39)</f>
        <v/>
      </c>
      <c r="S14" s="22">
        <f>S13*'Control Tower'!$B$64/12*(1+'Control Tower'!$B$57)^1*(1+'Control Tower'!$B$39)</f>
        <v/>
      </c>
      <c r="T14" s="22">
        <f>T13*'Control Tower'!$B$64/12*(1+'Control Tower'!$B$57)^1*(1+'Control Tower'!$B$39)</f>
        <v/>
      </c>
      <c r="U14" s="22">
        <f>U13*'Control Tower'!$B$64/12*(1+'Control Tower'!$B$57)^1*(1+'Control Tower'!$B$39)</f>
        <v/>
      </c>
      <c r="V14" s="22">
        <f>V13*'Control Tower'!$B$64/12*(1+'Control Tower'!$B$57)^1*(1+'Control Tower'!$B$39)</f>
        <v/>
      </c>
      <c r="W14" s="22">
        <f>W13*'Control Tower'!$B$64/12*(1+'Control Tower'!$B$57)^1*(1+'Control Tower'!$B$39)</f>
        <v/>
      </c>
      <c r="X14" s="22">
        <f>X13*'Control Tower'!$B$64/12*(1+'Control Tower'!$B$57)^1*(1+'Control Tower'!$B$39)</f>
        <v/>
      </c>
      <c r="Y14" s="22">
        <f>Y13*'Control Tower'!$B$64/12*(1+'Control Tower'!$B$57)^1*(1+'Control Tower'!$B$39)</f>
        <v/>
      </c>
      <c r="Z14" s="22">
        <f>Z13*'Control Tower'!$B$64/12*(1+'Control Tower'!$B$57)^1*(1+'Control Tower'!$B$39)</f>
        <v/>
      </c>
      <c r="AA14" s="22">
        <f>AA13*'Control Tower'!$B$64/12*(1+'Control Tower'!$B$57)^2*(1+'Control Tower'!$B$39)</f>
        <v/>
      </c>
      <c r="AB14" s="22">
        <f>AB13*'Control Tower'!$B$64/12*(1+'Control Tower'!$B$57)^2*(1+'Control Tower'!$B$39)</f>
        <v/>
      </c>
      <c r="AC14" s="22">
        <f>AC13*'Control Tower'!$B$64/12*(1+'Control Tower'!$B$57)^2*(1+'Control Tower'!$B$39)</f>
        <v/>
      </c>
      <c r="AD14" s="22">
        <f>AD13*'Control Tower'!$B$64/12*(1+'Control Tower'!$B$57)^2*(1+'Control Tower'!$B$39)</f>
        <v/>
      </c>
      <c r="AE14" s="22">
        <f>AE13*'Control Tower'!$B$64/12*(1+'Control Tower'!$B$57)^2*(1+'Control Tower'!$B$39)</f>
        <v/>
      </c>
      <c r="AF14" s="22">
        <f>AF13*'Control Tower'!$B$64/12*(1+'Control Tower'!$B$57)^2*(1+'Control Tower'!$B$39)</f>
        <v/>
      </c>
      <c r="AG14" s="22">
        <f>AG13*'Control Tower'!$B$64/12*(1+'Control Tower'!$B$57)^2*(1+'Control Tower'!$B$39)</f>
        <v/>
      </c>
      <c r="AH14" s="22">
        <f>AH13*'Control Tower'!$B$64/12*(1+'Control Tower'!$B$57)^2*(1+'Control Tower'!$B$39)</f>
        <v/>
      </c>
      <c r="AI14" s="22">
        <f>AI13*'Control Tower'!$B$64/12*(1+'Control Tower'!$B$57)^2*(1+'Control Tower'!$B$39)</f>
        <v/>
      </c>
      <c r="AJ14" s="22">
        <f>AJ13*'Control Tower'!$B$64/12*(1+'Control Tower'!$B$57)^2*(1+'Control Tower'!$B$39)</f>
        <v/>
      </c>
      <c r="AK14" s="22">
        <f>AK13*'Control Tower'!$B$64/12*(1+'Control Tower'!$B$57)^2*(1+'Control Tower'!$B$39)</f>
        <v/>
      </c>
      <c r="AL14" s="22">
        <f>AL13*'Control Tower'!$B$64/12*(1+'Control Tower'!$B$57)^2*(1+'Control Tower'!$B$39)</f>
        <v/>
      </c>
    </row>
    <row r="15">
      <c r="A15" s="10" t="inlineStr">
        <is>
          <t>Employed clinical wages</t>
        </is>
      </c>
      <c r="C15" s="23">
        <f>C8+C10+C12+C14</f>
        <v/>
      </c>
      <c r="D15" s="23">
        <f>D8+D10+D12+D14</f>
        <v/>
      </c>
      <c r="E15" s="23">
        <f>E8+E10+E12+E14</f>
        <v/>
      </c>
      <c r="F15" s="23">
        <f>F8+F10+F12+F14</f>
        <v/>
      </c>
      <c r="G15" s="23">
        <f>G8+G10+G12+G14</f>
        <v/>
      </c>
      <c r="H15" s="23">
        <f>H8+H10+H12+H14</f>
        <v/>
      </c>
      <c r="I15" s="23">
        <f>I8+I10+I12+I14</f>
        <v/>
      </c>
      <c r="J15" s="23">
        <f>J8+J10+J12+J14</f>
        <v/>
      </c>
      <c r="K15" s="23">
        <f>K8+K10+K12+K14</f>
        <v/>
      </c>
      <c r="L15" s="23">
        <f>L8+L10+L12+L14</f>
        <v/>
      </c>
      <c r="M15" s="23">
        <f>M8+M10+M12+M14</f>
        <v/>
      </c>
      <c r="N15" s="23">
        <f>N8+N10+N12+N14</f>
        <v/>
      </c>
      <c r="O15" s="23">
        <f>O8+O10+O12+O14</f>
        <v/>
      </c>
      <c r="P15" s="23">
        <f>P8+P10+P12+P14</f>
        <v/>
      </c>
      <c r="Q15" s="23">
        <f>Q8+Q10+Q12+Q14</f>
        <v/>
      </c>
      <c r="R15" s="23">
        <f>R8+R10+R12+R14</f>
        <v/>
      </c>
      <c r="S15" s="23">
        <f>S8+S10+S12+S14</f>
        <v/>
      </c>
      <c r="T15" s="23">
        <f>T8+T10+T12+T14</f>
        <v/>
      </c>
      <c r="U15" s="23">
        <f>U8+U10+U12+U14</f>
        <v/>
      </c>
      <c r="V15" s="23">
        <f>V8+V10+V12+V14</f>
        <v/>
      </c>
      <c r="W15" s="23">
        <f>W8+W10+W12+W14</f>
        <v/>
      </c>
      <c r="X15" s="23">
        <f>X8+X10+X12+X14</f>
        <v/>
      </c>
      <c r="Y15" s="23">
        <f>Y8+Y10+Y12+Y14</f>
        <v/>
      </c>
      <c r="Z15" s="23">
        <f>Z8+Z10+Z12+Z14</f>
        <v/>
      </c>
      <c r="AA15" s="23">
        <f>AA8+AA10+AA12+AA14</f>
        <v/>
      </c>
      <c r="AB15" s="23">
        <f>AB8+AB10+AB12+AB14</f>
        <v/>
      </c>
      <c r="AC15" s="23">
        <f>AC8+AC10+AC12+AC14</f>
        <v/>
      </c>
      <c r="AD15" s="23">
        <f>AD8+AD10+AD12+AD14</f>
        <v/>
      </c>
      <c r="AE15" s="23">
        <f>AE8+AE10+AE12+AE14</f>
        <v/>
      </c>
      <c r="AF15" s="23">
        <f>AF8+AF10+AF12+AF14</f>
        <v/>
      </c>
      <c r="AG15" s="23">
        <f>AG8+AG10+AG12+AG14</f>
        <v/>
      </c>
      <c r="AH15" s="23">
        <f>AH8+AH10+AH12+AH14</f>
        <v/>
      </c>
      <c r="AI15" s="23">
        <f>AI8+AI10+AI12+AI14</f>
        <v/>
      </c>
      <c r="AJ15" s="23">
        <f>AJ8+AJ10+AJ12+AJ14</f>
        <v/>
      </c>
      <c r="AK15" s="23">
        <f>AK8+AK10+AK12+AK14</f>
        <v/>
      </c>
      <c r="AL15" s="23">
        <f>AL8+AL10+AL12+AL14</f>
        <v/>
      </c>
    </row>
    <row r="16">
      <c r="A16" s="3" t="inlineStr">
        <is>
          <t>PRN 1099 SUPPLEMENT (Acct 4025 - no benefits)</t>
        </is>
      </c>
    </row>
    <row r="17">
      <c r="A17" s="4" t="inlineStr">
        <is>
          <t>PRN RN supplement (4025-0-6-1)</t>
        </is>
      </c>
      <c r="C17" s="22">
        <f>MAX(0,'Census Waterfall'!C11*'Control Tower'!$B$70-C7*'Control Tower'!$B$71)*'Control Tower'!$B$72*(1+'Control Tower'!$B$39)</f>
        <v/>
      </c>
      <c r="D17" s="22">
        <f>MAX(0,'Census Waterfall'!D11*'Control Tower'!$B$70-D7*'Control Tower'!$B$71)*'Control Tower'!$B$72*(1+'Control Tower'!$B$39)</f>
        <v/>
      </c>
      <c r="E17" s="22">
        <f>MAX(0,'Census Waterfall'!E11*'Control Tower'!$B$70-E7*'Control Tower'!$B$71)*'Control Tower'!$B$72*(1+'Control Tower'!$B$39)</f>
        <v/>
      </c>
      <c r="F17" s="22">
        <f>MAX(0,'Census Waterfall'!F11*'Control Tower'!$B$70-F7*'Control Tower'!$B$71)*'Control Tower'!$B$72*(1+'Control Tower'!$B$39)</f>
        <v/>
      </c>
      <c r="G17" s="22">
        <f>MAX(0,'Census Waterfall'!G11*'Control Tower'!$B$70-G7*'Control Tower'!$B$71)*'Control Tower'!$B$72*(1+'Control Tower'!$B$39)</f>
        <v/>
      </c>
      <c r="H17" s="22">
        <f>MAX(0,'Census Waterfall'!H11*'Control Tower'!$B$70-H7*'Control Tower'!$B$71)*'Control Tower'!$B$72*(1+'Control Tower'!$B$39)</f>
        <v/>
      </c>
      <c r="I17" s="22">
        <f>MAX(0,'Census Waterfall'!I11*'Control Tower'!$B$70-I7*'Control Tower'!$B$71)*'Control Tower'!$B$72*(1+'Control Tower'!$B$39)</f>
        <v/>
      </c>
      <c r="J17" s="22">
        <f>MAX(0,'Census Waterfall'!J11*'Control Tower'!$B$70-J7*'Control Tower'!$B$71)*'Control Tower'!$B$72*(1+'Control Tower'!$B$39)</f>
        <v/>
      </c>
      <c r="K17" s="22">
        <f>MAX(0,'Census Waterfall'!K11*'Control Tower'!$B$70-K7*'Control Tower'!$B$71)*'Control Tower'!$B$72*(1+'Control Tower'!$B$39)</f>
        <v/>
      </c>
      <c r="L17" s="22">
        <f>MAX(0,'Census Waterfall'!L11*'Control Tower'!$B$70-L7*'Control Tower'!$B$71)*'Control Tower'!$B$72*(1+'Control Tower'!$B$39)</f>
        <v/>
      </c>
      <c r="M17" s="22">
        <f>MAX(0,'Census Waterfall'!M11*'Control Tower'!$B$70-M7*'Control Tower'!$B$71)*'Control Tower'!$B$72*(1+'Control Tower'!$B$39)</f>
        <v/>
      </c>
      <c r="N17" s="22">
        <f>MAX(0,'Census Waterfall'!N11*'Control Tower'!$B$70-N7*'Control Tower'!$B$71)*'Control Tower'!$B$72*(1+'Control Tower'!$B$39)</f>
        <v/>
      </c>
      <c r="O17" s="22">
        <f>MAX(0,'Census Waterfall'!O11*'Control Tower'!$B$70-O7*'Control Tower'!$B$71)*'Control Tower'!$B$72*(1+'Control Tower'!$B$39)</f>
        <v/>
      </c>
      <c r="P17" s="22">
        <f>MAX(0,'Census Waterfall'!P11*'Control Tower'!$B$70-P7*'Control Tower'!$B$71)*'Control Tower'!$B$72*(1+'Control Tower'!$B$39)</f>
        <v/>
      </c>
      <c r="Q17" s="22">
        <f>MAX(0,'Census Waterfall'!Q11*'Control Tower'!$B$70-Q7*'Control Tower'!$B$71)*'Control Tower'!$B$72*(1+'Control Tower'!$B$39)</f>
        <v/>
      </c>
      <c r="R17" s="22">
        <f>MAX(0,'Census Waterfall'!R11*'Control Tower'!$B$70-R7*'Control Tower'!$B$71)*'Control Tower'!$B$72*(1+'Control Tower'!$B$39)</f>
        <v/>
      </c>
      <c r="S17" s="22">
        <f>MAX(0,'Census Waterfall'!S11*'Control Tower'!$B$70-S7*'Control Tower'!$B$71)*'Control Tower'!$B$72*(1+'Control Tower'!$B$39)</f>
        <v/>
      </c>
      <c r="T17" s="22">
        <f>MAX(0,'Census Waterfall'!T11*'Control Tower'!$B$70-T7*'Control Tower'!$B$71)*'Control Tower'!$B$72*(1+'Control Tower'!$B$39)</f>
        <v/>
      </c>
      <c r="U17" s="22">
        <f>MAX(0,'Census Waterfall'!U11*'Control Tower'!$B$70-U7*'Control Tower'!$B$71)*'Control Tower'!$B$72*(1+'Control Tower'!$B$39)</f>
        <v/>
      </c>
      <c r="V17" s="22">
        <f>MAX(0,'Census Waterfall'!V11*'Control Tower'!$B$70-V7*'Control Tower'!$B$71)*'Control Tower'!$B$72*(1+'Control Tower'!$B$39)</f>
        <v/>
      </c>
      <c r="W17" s="22">
        <f>MAX(0,'Census Waterfall'!W11*'Control Tower'!$B$70-W7*'Control Tower'!$B$71)*'Control Tower'!$B$72*(1+'Control Tower'!$B$39)</f>
        <v/>
      </c>
      <c r="X17" s="22">
        <f>MAX(0,'Census Waterfall'!X11*'Control Tower'!$B$70-X7*'Control Tower'!$B$71)*'Control Tower'!$B$72*(1+'Control Tower'!$B$39)</f>
        <v/>
      </c>
      <c r="Y17" s="22">
        <f>MAX(0,'Census Waterfall'!Y11*'Control Tower'!$B$70-Y7*'Control Tower'!$B$71)*'Control Tower'!$B$72*(1+'Control Tower'!$B$39)</f>
        <v/>
      </c>
      <c r="Z17" s="22">
        <f>MAX(0,'Census Waterfall'!Z11*'Control Tower'!$B$70-Z7*'Control Tower'!$B$71)*'Control Tower'!$B$72*(1+'Control Tower'!$B$39)</f>
        <v/>
      </c>
      <c r="AA17" s="22">
        <f>MAX(0,'Census Waterfall'!AA11*'Control Tower'!$B$70-AA7*'Control Tower'!$B$71)*'Control Tower'!$B$72*(1+'Control Tower'!$B$39)</f>
        <v/>
      </c>
      <c r="AB17" s="22">
        <f>MAX(0,'Census Waterfall'!AB11*'Control Tower'!$B$70-AB7*'Control Tower'!$B$71)*'Control Tower'!$B$72*(1+'Control Tower'!$B$39)</f>
        <v/>
      </c>
      <c r="AC17" s="22">
        <f>MAX(0,'Census Waterfall'!AC11*'Control Tower'!$B$70-AC7*'Control Tower'!$B$71)*'Control Tower'!$B$72*(1+'Control Tower'!$B$39)</f>
        <v/>
      </c>
      <c r="AD17" s="22">
        <f>MAX(0,'Census Waterfall'!AD11*'Control Tower'!$B$70-AD7*'Control Tower'!$B$71)*'Control Tower'!$B$72*(1+'Control Tower'!$B$39)</f>
        <v/>
      </c>
      <c r="AE17" s="22">
        <f>MAX(0,'Census Waterfall'!AE11*'Control Tower'!$B$70-AE7*'Control Tower'!$B$71)*'Control Tower'!$B$72*(1+'Control Tower'!$B$39)</f>
        <v/>
      </c>
      <c r="AF17" s="22">
        <f>MAX(0,'Census Waterfall'!AF11*'Control Tower'!$B$70-AF7*'Control Tower'!$B$71)*'Control Tower'!$B$72*(1+'Control Tower'!$B$39)</f>
        <v/>
      </c>
      <c r="AG17" s="22">
        <f>MAX(0,'Census Waterfall'!AG11*'Control Tower'!$B$70-AG7*'Control Tower'!$B$71)*'Control Tower'!$B$72*(1+'Control Tower'!$B$39)</f>
        <v/>
      </c>
      <c r="AH17" s="22">
        <f>MAX(0,'Census Waterfall'!AH11*'Control Tower'!$B$70-AH7*'Control Tower'!$B$71)*'Control Tower'!$B$72*(1+'Control Tower'!$B$39)</f>
        <v/>
      </c>
      <c r="AI17" s="22">
        <f>MAX(0,'Census Waterfall'!AI11*'Control Tower'!$B$70-AI7*'Control Tower'!$B$71)*'Control Tower'!$B$72*(1+'Control Tower'!$B$39)</f>
        <v/>
      </c>
      <c r="AJ17" s="22">
        <f>MAX(0,'Census Waterfall'!AJ11*'Control Tower'!$B$70-AJ7*'Control Tower'!$B$71)*'Control Tower'!$B$72*(1+'Control Tower'!$B$39)</f>
        <v/>
      </c>
      <c r="AK17" s="22">
        <f>MAX(0,'Census Waterfall'!AK11*'Control Tower'!$B$70-AK7*'Control Tower'!$B$71)*'Control Tower'!$B$72*(1+'Control Tower'!$B$39)</f>
        <v/>
      </c>
      <c r="AL17" s="22">
        <f>MAX(0,'Census Waterfall'!AL11*'Control Tower'!$B$70-AL7*'Control Tower'!$B$71)*'Control Tower'!$B$72*(1+'Control Tower'!$B$39)</f>
        <v/>
      </c>
    </row>
    <row r="18">
      <c r="A18" s="4" t="inlineStr">
        <is>
          <t>PRN Aide supplement (4025-0-6-5)</t>
        </is>
      </c>
      <c r="C18" s="22">
        <f>MAX(0,'Census Waterfall'!C11*'Control Tower'!$B$73-C11*'Control Tower'!$B$74)*'Control Tower'!$B$75*(1+'Control Tower'!$B$39)</f>
        <v/>
      </c>
      <c r="D18" s="22">
        <f>MAX(0,'Census Waterfall'!D11*'Control Tower'!$B$73-D11*'Control Tower'!$B$74)*'Control Tower'!$B$75*(1+'Control Tower'!$B$39)</f>
        <v/>
      </c>
      <c r="E18" s="22">
        <f>MAX(0,'Census Waterfall'!E11*'Control Tower'!$B$73-E11*'Control Tower'!$B$74)*'Control Tower'!$B$75*(1+'Control Tower'!$B$39)</f>
        <v/>
      </c>
      <c r="F18" s="22">
        <f>MAX(0,'Census Waterfall'!F11*'Control Tower'!$B$73-F11*'Control Tower'!$B$74)*'Control Tower'!$B$75*(1+'Control Tower'!$B$39)</f>
        <v/>
      </c>
      <c r="G18" s="22">
        <f>MAX(0,'Census Waterfall'!G11*'Control Tower'!$B$73-G11*'Control Tower'!$B$74)*'Control Tower'!$B$75*(1+'Control Tower'!$B$39)</f>
        <v/>
      </c>
      <c r="H18" s="22">
        <f>MAX(0,'Census Waterfall'!H11*'Control Tower'!$B$73-H11*'Control Tower'!$B$74)*'Control Tower'!$B$75*(1+'Control Tower'!$B$39)</f>
        <v/>
      </c>
      <c r="I18" s="22">
        <f>MAX(0,'Census Waterfall'!I11*'Control Tower'!$B$73-I11*'Control Tower'!$B$74)*'Control Tower'!$B$75*(1+'Control Tower'!$B$39)</f>
        <v/>
      </c>
      <c r="J18" s="22">
        <f>MAX(0,'Census Waterfall'!J11*'Control Tower'!$B$73-J11*'Control Tower'!$B$74)*'Control Tower'!$B$75*(1+'Control Tower'!$B$39)</f>
        <v/>
      </c>
      <c r="K18" s="22">
        <f>MAX(0,'Census Waterfall'!K11*'Control Tower'!$B$73-K11*'Control Tower'!$B$74)*'Control Tower'!$B$75*(1+'Control Tower'!$B$39)</f>
        <v/>
      </c>
      <c r="L18" s="22">
        <f>MAX(0,'Census Waterfall'!L11*'Control Tower'!$B$73-L11*'Control Tower'!$B$74)*'Control Tower'!$B$75*(1+'Control Tower'!$B$39)</f>
        <v/>
      </c>
      <c r="M18" s="22">
        <f>MAX(0,'Census Waterfall'!M11*'Control Tower'!$B$73-M11*'Control Tower'!$B$74)*'Control Tower'!$B$75*(1+'Control Tower'!$B$39)</f>
        <v/>
      </c>
      <c r="N18" s="22">
        <f>MAX(0,'Census Waterfall'!N11*'Control Tower'!$B$73-N11*'Control Tower'!$B$74)*'Control Tower'!$B$75*(1+'Control Tower'!$B$39)</f>
        <v/>
      </c>
      <c r="O18" s="22">
        <f>MAX(0,'Census Waterfall'!O11*'Control Tower'!$B$73-O11*'Control Tower'!$B$74)*'Control Tower'!$B$75*(1+'Control Tower'!$B$39)</f>
        <v/>
      </c>
      <c r="P18" s="22">
        <f>MAX(0,'Census Waterfall'!P11*'Control Tower'!$B$73-P11*'Control Tower'!$B$74)*'Control Tower'!$B$75*(1+'Control Tower'!$B$39)</f>
        <v/>
      </c>
      <c r="Q18" s="22">
        <f>MAX(0,'Census Waterfall'!Q11*'Control Tower'!$B$73-Q11*'Control Tower'!$B$74)*'Control Tower'!$B$75*(1+'Control Tower'!$B$39)</f>
        <v/>
      </c>
      <c r="R18" s="22">
        <f>MAX(0,'Census Waterfall'!R11*'Control Tower'!$B$73-R11*'Control Tower'!$B$74)*'Control Tower'!$B$75*(1+'Control Tower'!$B$39)</f>
        <v/>
      </c>
      <c r="S18" s="22">
        <f>MAX(0,'Census Waterfall'!S11*'Control Tower'!$B$73-S11*'Control Tower'!$B$74)*'Control Tower'!$B$75*(1+'Control Tower'!$B$39)</f>
        <v/>
      </c>
      <c r="T18" s="22">
        <f>MAX(0,'Census Waterfall'!T11*'Control Tower'!$B$73-T11*'Control Tower'!$B$74)*'Control Tower'!$B$75*(1+'Control Tower'!$B$39)</f>
        <v/>
      </c>
      <c r="U18" s="22">
        <f>MAX(0,'Census Waterfall'!U11*'Control Tower'!$B$73-U11*'Control Tower'!$B$74)*'Control Tower'!$B$75*(1+'Control Tower'!$B$39)</f>
        <v/>
      </c>
      <c r="V18" s="22">
        <f>MAX(0,'Census Waterfall'!V11*'Control Tower'!$B$73-V11*'Control Tower'!$B$74)*'Control Tower'!$B$75*(1+'Control Tower'!$B$39)</f>
        <v/>
      </c>
      <c r="W18" s="22">
        <f>MAX(0,'Census Waterfall'!W11*'Control Tower'!$B$73-W11*'Control Tower'!$B$74)*'Control Tower'!$B$75*(1+'Control Tower'!$B$39)</f>
        <v/>
      </c>
      <c r="X18" s="22">
        <f>MAX(0,'Census Waterfall'!X11*'Control Tower'!$B$73-X11*'Control Tower'!$B$74)*'Control Tower'!$B$75*(1+'Control Tower'!$B$39)</f>
        <v/>
      </c>
      <c r="Y18" s="22">
        <f>MAX(0,'Census Waterfall'!Y11*'Control Tower'!$B$73-Y11*'Control Tower'!$B$74)*'Control Tower'!$B$75*(1+'Control Tower'!$B$39)</f>
        <v/>
      </c>
      <c r="Z18" s="22">
        <f>MAX(0,'Census Waterfall'!Z11*'Control Tower'!$B$73-Z11*'Control Tower'!$B$74)*'Control Tower'!$B$75*(1+'Control Tower'!$B$39)</f>
        <v/>
      </c>
      <c r="AA18" s="22">
        <f>MAX(0,'Census Waterfall'!AA11*'Control Tower'!$B$73-AA11*'Control Tower'!$B$74)*'Control Tower'!$B$75*(1+'Control Tower'!$B$39)</f>
        <v/>
      </c>
      <c r="AB18" s="22">
        <f>MAX(0,'Census Waterfall'!AB11*'Control Tower'!$B$73-AB11*'Control Tower'!$B$74)*'Control Tower'!$B$75*(1+'Control Tower'!$B$39)</f>
        <v/>
      </c>
      <c r="AC18" s="22">
        <f>MAX(0,'Census Waterfall'!AC11*'Control Tower'!$B$73-AC11*'Control Tower'!$B$74)*'Control Tower'!$B$75*(1+'Control Tower'!$B$39)</f>
        <v/>
      </c>
      <c r="AD18" s="22">
        <f>MAX(0,'Census Waterfall'!AD11*'Control Tower'!$B$73-AD11*'Control Tower'!$B$74)*'Control Tower'!$B$75*(1+'Control Tower'!$B$39)</f>
        <v/>
      </c>
      <c r="AE18" s="22">
        <f>MAX(0,'Census Waterfall'!AE11*'Control Tower'!$B$73-AE11*'Control Tower'!$B$74)*'Control Tower'!$B$75*(1+'Control Tower'!$B$39)</f>
        <v/>
      </c>
      <c r="AF18" s="22">
        <f>MAX(0,'Census Waterfall'!AF11*'Control Tower'!$B$73-AF11*'Control Tower'!$B$74)*'Control Tower'!$B$75*(1+'Control Tower'!$B$39)</f>
        <v/>
      </c>
      <c r="AG18" s="22">
        <f>MAX(0,'Census Waterfall'!AG11*'Control Tower'!$B$73-AG11*'Control Tower'!$B$74)*'Control Tower'!$B$75*(1+'Control Tower'!$B$39)</f>
        <v/>
      </c>
      <c r="AH18" s="22">
        <f>MAX(0,'Census Waterfall'!AH11*'Control Tower'!$B$73-AH11*'Control Tower'!$B$74)*'Control Tower'!$B$75*(1+'Control Tower'!$B$39)</f>
        <v/>
      </c>
      <c r="AI18" s="22">
        <f>MAX(0,'Census Waterfall'!AI11*'Control Tower'!$B$73-AI11*'Control Tower'!$B$74)*'Control Tower'!$B$75*(1+'Control Tower'!$B$39)</f>
        <v/>
      </c>
      <c r="AJ18" s="22">
        <f>MAX(0,'Census Waterfall'!AJ11*'Control Tower'!$B$73-AJ11*'Control Tower'!$B$74)*'Control Tower'!$B$75*(1+'Control Tower'!$B$39)</f>
        <v/>
      </c>
      <c r="AK18" s="22">
        <f>MAX(0,'Census Waterfall'!AK11*'Control Tower'!$B$73-AK11*'Control Tower'!$B$74)*'Control Tower'!$B$75*(1+'Control Tower'!$B$39)</f>
        <v/>
      </c>
      <c r="AL18" s="22">
        <f>MAX(0,'Census Waterfall'!AL11*'Control Tower'!$B$73-AL11*'Control Tower'!$B$74)*'Control Tower'!$B$75*(1+'Control Tower'!$B$39)</f>
        <v/>
      </c>
    </row>
    <row r="19">
      <c r="A19" s="4" t="inlineStr">
        <is>
          <t>PRN MSW supplement (4025-0-6-6)</t>
        </is>
      </c>
      <c r="C19" s="22">
        <f>MAX(0,'Census Waterfall'!C11*'Control Tower'!$B$76-C13*'Control Tower'!$B$77)*'Control Tower'!$B$78*(1+'Control Tower'!$B$39)</f>
        <v/>
      </c>
      <c r="D19" s="22">
        <f>MAX(0,'Census Waterfall'!D11*'Control Tower'!$B$76-D13*'Control Tower'!$B$77)*'Control Tower'!$B$78*(1+'Control Tower'!$B$39)</f>
        <v/>
      </c>
      <c r="E19" s="22">
        <f>MAX(0,'Census Waterfall'!E11*'Control Tower'!$B$76-E13*'Control Tower'!$B$77)*'Control Tower'!$B$78*(1+'Control Tower'!$B$39)</f>
        <v/>
      </c>
      <c r="F19" s="22">
        <f>MAX(0,'Census Waterfall'!F11*'Control Tower'!$B$76-F13*'Control Tower'!$B$77)*'Control Tower'!$B$78*(1+'Control Tower'!$B$39)</f>
        <v/>
      </c>
      <c r="G19" s="22">
        <f>MAX(0,'Census Waterfall'!G11*'Control Tower'!$B$76-G13*'Control Tower'!$B$77)*'Control Tower'!$B$78*(1+'Control Tower'!$B$39)</f>
        <v/>
      </c>
      <c r="H19" s="22">
        <f>MAX(0,'Census Waterfall'!H11*'Control Tower'!$B$76-H13*'Control Tower'!$B$77)*'Control Tower'!$B$78*(1+'Control Tower'!$B$39)</f>
        <v/>
      </c>
      <c r="I19" s="22">
        <f>MAX(0,'Census Waterfall'!I11*'Control Tower'!$B$76-I13*'Control Tower'!$B$77)*'Control Tower'!$B$78*(1+'Control Tower'!$B$39)</f>
        <v/>
      </c>
      <c r="J19" s="22">
        <f>MAX(0,'Census Waterfall'!J11*'Control Tower'!$B$76-J13*'Control Tower'!$B$77)*'Control Tower'!$B$78*(1+'Control Tower'!$B$39)</f>
        <v/>
      </c>
      <c r="K19" s="22">
        <f>MAX(0,'Census Waterfall'!K11*'Control Tower'!$B$76-K13*'Control Tower'!$B$77)*'Control Tower'!$B$78*(1+'Control Tower'!$B$39)</f>
        <v/>
      </c>
      <c r="L19" s="22">
        <f>MAX(0,'Census Waterfall'!L11*'Control Tower'!$B$76-L13*'Control Tower'!$B$77)*'Control Tower'!$B$78*(1+'Control Tower'!$B$39)</f>
        <v/>
      </c>
      <c r="M19" s="22">
        <f>MAX(0,'Census Waterfall'!M11*'Control Tower'!$B$76-M13*'Control Tower'!$B$77)*'Control Tower'!$B$78*(1+'Control Tower'!$B$39)</f>
        <v/>
      </c>
      <c r="N19" s="22">
        <f>MAX(0,'Census Waterfall'!N11*'Control Tower'!$B$76-N13*'Control Tower'!$B$77)*'Control Tower'!$B$78*(1+'Control Tower'!$B$39)</f>
        <v/>
      </c>
      <c r="O19" s="22">
        <f>MAX(0,'Census Waterfall'!O11*'Control Tower'!$B$76-O13*'Control Tower'!$B$77)*'Control Tower'!$B$78*(1+'Control Tower'!$B$39)</f>
        <v/>
      </c>
      <c r="P19" s="22">
        <f>MAX(0,'Census Waterfall'!P11*'Control Tower'!$B$76-P13*'Control Tower'!$B$77)*'Control Tower'!$B$78*(1+'Control Tower'!$B$39)</f>
        <v/>
      </c>
      <c r="Q19" s="22">
        <f>MAX(0,'Census Waterfall'!Q11*'Control Tower'!$B$76-Q13*'Control Tower'!$B$77)*'Control Tower'!$B$78*(1+'Control Tower'!$B$39)</f>
        <v/>
      </c>
      <c r="R19" s="22">
        <f>MAX(0,'Census Waterfall'!R11*'Control Tower'!$B$76-R13*'Control Tower'!$B$77)*'Control Tower'!$B$78*(1+'Control Tower'!$B$39)</f>
        <v/>
      </c>
      <c r="S19" s="22">
        <f>MAX(0,'Census Waterfall'!S11*'Control Tower'!$B$76-S13*'Control Tower'!$B$77)*'Control Tower'!$B$78*(1+'Control Tower'!$B$39)</f>
        <v/>
      </c>
      <c r="T19" s="22">
        <f>MAX(0,'Census Waterfall'!T11*'Control Tower'!$B$76-T13*'Control Tower'!$B$77)*'Control Tower'!$B$78*(1+'Control Tower'!$B$39)</f>
        <v/>
      </c>
      <c r="U19" s="22">
        <f>MAX(0,'Census Waterfall'!U11*'Control Tower'!$B$76-U13*'Control Tower'!$B$77)*'Control Tower'!$B$78*(1+'Control Tower'!$B$39)</f>
        <v/>
      </c>
      <c r="V19" s="22">
        <f>MAX(0,'Census Waterfall'!V11*'Control Tower'!$B$76-V13*'Control Tower'!$B$77)*'Control Tower'!$B$78*(1+'Control Tower'!$B$39)</f>
        <v/>
      </c>
      <c r="W19" s="22">
        <f>MAX(0,'Census Waterfall'!W11*'Control Tower'!$B$76-W13*'Control Tower'!$B$77)*'Control Tower'!$B$78*(1+'Control Tower'!$B$39)</f>
        <v/>
      </c>
      <c r="X19" s="22">
        <f>MAX(0,'Census Waterfall'!X11*'Control Tower'!$B$76-X13*'Control Tower'!$B$77)*'Control Tower'!$B$78*(1+'Control Tower'!$B$39)</f>
        <v/>
      </c>
      <c r="Y19" s="22">
        <f>MAX(0,'Census Waterfall'!Y11*'Control Tower'!$B$76-Y13*'Control Tower'!$B$77)*'Control Tower'!$B$78*(1+'Control Tower'!$B$39)</f>
        <v/>
      </c>
      <c r="Z19" s="22">
        <f>MAX(0,'Census Waterfall'!Z11*'Control Tower'!$B$76-Z13*'Control Tower'!$B$77)*'Control Tower'!$B$78*(1+'Control Tower'!$B$39)</f>
        <v/>
      </c>
      <c r="AA19" s="22">
        <f>MAX(0,'Census Waterfall'!AA11*'Control Tower'!$B$76-AA13*'Control Tower'!$B$77)*'Control Tower'!$B$78*(1+'Control Tower'!$B$39)</f>
        <v/>
      </c>
      <c r="AB19" s="22">
        <f>MAX(0,'Census Waterfall'!AB11*'Control Tower'!$B$76-AB13*'Control Tower'!$B$77)*'Control Tower'!$B$78*(1+'Control Tower'!$B$39)</f>
        <v/>
      </c>
      <c r="AC19" s="22">
        <f>MAX(0,'Census Waterfall'!AC11*'Control Tower'!$B$76-AC13*'Control Tower'!$B$77)*'Control Tower'!$B$78*(1+'Control Tower'!$B$39)</f>
        <v/>
      </c>
      <c r="AD19" s="22">
        <f>MAX(0,'Census Waterfall'!AD11*'Control Tower'!$B$76-AD13*'Control Tower'!$B$77)*'Control Tower'!$B$78*(1+'Control Tower'!$B$39)</f>
        <v/>
      </c>
      <c r="AE19" s="22">
        <f>MAX(0,'Census Waterfall'!AE11*'Control Tower'!$B$76-AE13*'Control Tower'!$B$77)*'Control Tower'!$B$78*(1+'Control Tower'!$B$39)</f>
        <v/>
      </c>
      <c r="AF19" s="22">
        <f>MAX(0,'Census Waterfall'!AF11*'Control Tower'!$B$76-AF13*'Control Tower'!$B$77)*'Control Tower'!$B$78*(1+'Control Tower'!$B$39)</f>
        <v/>
      </c>
      <c r="AG19" s="22">
        <f>MAX(0,'Census Waterfall'!AG11*'Control Tower'!$B$76-AG13*'Control Tower'!$B$77)*'Control Tower'!$B$78*(1+'Control Tower'!$B$39)</f>
        <v/>
      </c>
      <c r="AH19" s="22">
        <f>MAX(0,'Census Waterfall'!AH11*'Control Tower'!$B$76-AH13*'Control Tower'!$B$77)*'Control Tower'!$B$78*(1+'Control Tower'!$B$39)</f>
        <v/>
      </c>
      <c r="AI19" s="22">
        <f>MAX(0,'Census Waterfall'!AI11*'Control Tower'!$B$76-AI13*'Control Tower'!$B$77)*'Control Tower'!$B$78*(1+'Control Tower'!$B$39)</f>
        <v/>
      </c>
      <c r="AJ19" s="22">
        <f>MAX(0,'Census Waterfall'!AJ11*'Control Tower'!$B$76-AJ13*'Control Tower'!$B$77)*'Control Tower'!$B$78*(1+'Control Tower'!$B$39)</f>
        <v/>
      </c>
      <c r="AK19" s="22">
        <f>MAX(0,'Census Waterfall'!AK11*'Control Tower'!$B$76-AK13*'Control Tower'!$B$77)*'Control Tower'!$B$78*(1+'Control Tower'!$B$39)</f>
        <v/>
      </c>
      <c r="AL19" s="22">
        <f>MAX(0,'Census Waterfall'!AL11*'Control Tower'!$B$76-AL13*'Control Tower'!$B$77)*'Control Tower'!$B$78*(1+'Control Tower'!$B$39)</f>
        <v/>
      </c>
    </row>
    <row r="20">
      <c r="A20" s="4" t="inlineStr">
        <is>
          <t>PRN Chaplain above base (4025-0-6-7)</t>
        </is>
      </c>
      <c r="C20" s="22">
        <f>MAX(0,'Census Waterfall'!C11*'Control Tower'!$B$79-'Control Tower'!$B$80)*'Control Tower'!$B$81*(1+'Control Tower'!$B$39)</f>
        <v/>
      </c>
      <c r="D20" s="22">
        <f>MAX(0,'Census Waterfall'!D11*'Control Tower'!$B$79-'Control Tower'!$B$80)*'Control Tower'!$B$81*(1+'Control Tower'!$B$39)</f>
        <v/>
      </c>
      <c r="E20" s="22">
        <f>MAX(0,'Census Waterfall'!E11*'Control Tower'!$B$79-'Control Tower'!$B$80)*'Control Tower'!$B$81*(1+'Control Tower'!$B$39)</f>
        <v/>
      </c>
      <c r="F20" s="22">
        <f>MAX(0,'Census Waterfall'!F11*'Control Tower'!$B$79-'Control Tower'!$B$80)*'Control Tower'!$B$81*(1+'Control Tower'!$B$39)</f>
        <v/>
      </c>
      <c r="G20" s="22">
        <f>MAX(0,'Census Waterfall'!G11*'Control Tower'!$B$79-'Control Tower'!$B$80)*'Control Tower'!$B$81*(1+'Control Tower'!$B$39)</f>
        <v/>
      </c>
      <c r="H20" s="22">
        <f>MAX(0,'Census Waterfall'!H11*'Control Tower'!$B$79-'Control Tower'!$B$80)*'Control Tower'!$B$81*(1+'Control Tower'!$B$39)</f>
        <v/>
      </c>
      <c r="I20" s="22">
        <f>MAX(0,'Census Waterfall'!I11*'Control Tower'!$B$79-'Control Tower'!$B$80)*'Control Tower'!$B$81*(1+'Control Tower'!$B$39)</f>
        <v/>
      </c>
      <c r="J20" s="22">
        <f>MAX(0,'Census Waterfall'!J11*'Control Tower'!$B$79-'Control Tower'!$B$80)*'Control Tower'!$B$81*(1+'Control Tower'!$B$39)</f>
        <v/>
      </c>
      <c r="K20" s="22">
        <f>MAX(0,'Census Waterfall'!K11*'Control Tower'!$B$79-'Control Tower'!$B$80)*'Control Tower'!$B$81*(1+'Control Tower'!$B$39)</f>
        <v/>
      </c>
      <c r="L20" s="22">
        <f>MAX(0,'Census Waterfall'!L11*'Control Tower'!$B$79-'Control Tower'!$B$80)*'Control Tower'!$B$81*(1+'Control Tower'!$B$39)</f>
        <v/>
      </c>
      <c r="M20" s="22">
        <f>MAX(0,'Census Waterfall'!M11*'Control Tower'!$B$79-'Control Tower'!$B$80)*'Control Tower'!$B$81*(1+'Control Tower'!$B$39)</f>
        <v/>
      </c>
      <c r="N20" s="22">
        <f>MAX(0,'Census Waterfall'!N11*'Control Tower'!$B$79-'Control Tower'!$B$80)*'Control Tower'!$B$81*(1+'Control Tower'!$B$39)</f>
        <v/>
      </c>
      <c r="O20" s="22">
        <f>MAX(0,'Census Waterfall'!O11*'Control Tower'!$B$79-'Control Tower'!$B$80)*'Control Tower'!$B$81*(1+'Control Tower'!$B$39)</f>
        <v/>
      </c>
      <c r="P20" s="22">
        <f>MAX(0,'Census Waterfall'!P11*'Control Tower'!$B$79-'Control Tower'!$B$80)*'Control Tower'!$B$81*(1+'Control Tower'!$B$39)</f>
        <v/>
      </c>
      <c r="Q20" s="22">
        <f>MAX(0,'Census Waterfall'!Q11*'Control Tower'!$B$79-'Control Tower'!$B$80)*'Control Tower'!$B$81*(1+'Control Tower'!$B$39)</f>
        <v/>
      </c>
      <c r="R20" s="22">
        <f>MAX(0,'Census Waterfall'!R11*'Control Tower'!$B$79-'Control Tower'!$B$80)*'Control Tower'!$B$81*(1+'Control Tower'!$B$39)</f>
        <v/>
      </c>
      <c r="S20" s="22">
        <f>MAX(0,'Census Waterfall'!S11*'Control Tower'!$B$79-'Control Tower'!$B$80)*'Control Tower'!$B$81*(1+'Control Tower'!$B$39)</f>
        <v/>
      </c>
      <c r="T20" s="22">
        <f>MAX(0,'Census Waterfall'!T11*'Control Tower'!$B$79-'Control Tower'!$B$80)*'Control Tower'!$B$81*(1+'Control Tower'!$B$39)</f>
        <v/>
      </c>
      <c r="U20" s="22">
        <f>MAX(0,'Census Waterfall'!U11*'Control Tower'!$B$79-'Control Tower'!$B$80)*'Control Tower'!$B$81*(1+'Control Tower'!$B$39)</f>
        <v/>
      </c>
      <c r="V20" s="22">
        <f>MAX(0,'Census Waterfall'!V11*'Control Tower'!$B$79-'Control Tower'!$B$80)*'Control Tower'!$B$81*(1+'Control Tower'!$B$39)</f>
        <v/>
      </c>
      <c r="W20" s="22">
        <f>MAX(0,'Census Waterfall'!W11*'Control Tower'!$B$79-'Control Tower'!$B$80)*'Control Tower'!$B$81*(1+'Control Tower'!$B$39)</f>
        <v/>
      </c>
      <c r="X20" s="22">
        <f>MAX(0,'Census Waterfall'!X11*'Control Tower'!$B$79-'Control Tower'!$B$80)*'Control Tower'!$B$81*(1+'Control Tower'!$B$39)</f>
        <v/>
      </c>
      <c r="Y20" s="22">
        <f>MAX(0,'Census Waterfall'!Y11*'Control Tower'!$B$79-'Control Tower'!$B$80)*'Control Tower'!$B$81*(1+'Control Tower'!$B$39)</f>
        <v/>
      </c>
      <c r="Z20" s="22">
        <f>MAX(0,'Census Waterfall'!Z11*'Control Tower'!$B$79-'Control Tower'!$B$80)*'Control Tower'!$B$81*(1+'Control Tower'!$B$39)</f>
        <v/>
      </c>
      <c r="AA20" s="22">
        <f>MAX(0,'Census Waterfall'!AA11*'Control Tower'!$B$79-'Control Tower'!$B$80)*'Control Tower'!$B$81*(1+'Control Tower'!$B$39)</f>
        <v/>
      </c>
      <c r="AB20" s="22">
        <f>MAX(0,'Census Waterfall'!AB11*'Control Tower'!$B$79-'Control Tower'!$B$80)*'Control Tower'!$B$81*(1+'Control Tower'!$B$39)</f>
        <v/>
      </c>
      <c r="AC20" s="22">
        <f>MAX(0,'Census Waterfall'!AC11*'Control Tower'!$B$79-'Control Tower'!$B$80)*'Control Tower'!$B$81*(1+'Control Tower'!$B$39)</f>
        <v/>
      </c>
      <c r="AD20" s="22">
        <f>MAX(0,'Census Waterfall'!AD11*'Control Tower'!$B$79-'Control Tower'!$B$80)*'Control Tower'!$B$81*(1+'Control Tower'!$B$39)</f>
        <v/>
      </c>
      <c r="AE20" s="22">
        <f>MAX(0,'Census Waterfall'!AE11*'Control Tower'!$B$79-'Control Tower'!$B$80)*'Control Tower'!$B$81*(1+'Control Tower'!$B$39)</f>
        <v/>
      </c>
      <c r="AF20" s="22">
        <f>MAX(0,'Census Waterfall'!AF11*'Control Tower'!$B$79-'Control Tower'!$B$80)*'Control Tower'!$B$81*(1+'Control Tower'!$B$39)</f>
        <v/>
      </c>
      <c r="AG20" s="22">
        <f>MAX(0,'Census Waterfall'!AG11*'Control Tower'!$B$79-'Control Tower'!$B$80)*'Control Tower'!$B$81*(1+'Control Tower'!$B$39)</f>
        <v/>
      </c>
      <c r="AH20" s="22">
        <f>MAX(0,'Census Waterfall'!AH11*'Control Tower'!$B$79-'Control Tower'!$B$80)*'Control Tower'!$B$81*(1+'Control Tower'!$B$39)</f>
        <v/>
      </c>
      <c r="AI20" s="22">
        <f>MAX(0,'Census Waterfall'!AI11*'Control Tower'!$B$79-'Control Tower'!$B$80)*'Control Tower'!$B$81*(1+'Control Tower'!$B$39)</f>
        <v/>
      </c>
      <c r="AJ20" s="22">
        <f>MAX(0,'Census Waterfall'!AJ11*'Control Tower'!$B$79-'Control Tower'!$B$80)*'Control Tower'!$B$81*(1+'Control Tower'!$B$39)</f>
        <v/>
      </c>
      <c r="AK20" s="22">
        <f>MAX(0,'Census Waterfall'!AK11*'Control Tower'!$B$79-'Control Tower'!$B$80)*'Control Tower'!$B$81*(1+'Control Tower'!$B$39)</f>
        <v/>
      </c>
      <c r="AL20" s="22">
        <f>MAX(0,'Census Waterfall'!AL11*'Control Tower'!$B$79-'Control Tower'!$B$80)*'Control Tower'!$B$81*(1+'Control Tower'!$B$39)</f>
        <v/>
      </c>
    </row>
    <row r="21">
      <c r="A21" s="10" t="inlineStr">
        <is>
          <t>Total PRN supplement</t>
        </is>
      </c>
      <c r="C21" s="23">
        <f>C17+C18+C19+C20</f>
        <v/>
      </c>
      <c r="D21" s="23">
        <f>D17+D18+D19+D20</f>
        <v/>
      </c>
      <c r="E21" s="23">
        <f>E17+E18+E19+E20</f>
        <v/>
      </c>
      <c r="F21" s="23">
        <f>F17+F18+F19+F20</f>
        <v/>
      </c>
      <c r="G21" s="23">
        <f>G17+G18+G19+G20</f>
        <v/>
      </c>
      <c r="H21" s="23">
        <f>H17+H18+H19+H20</f>
        <v/>
      </c>
      <c r="I21" s="23">
        <f>I17+I18+I19+I20</f>
        <v/>
      </c>
      <c r="J21" s="23">
        <f>J17+J18+J19+J20</f>
        <v/>
      </c>
      <c r="K21" s="23">
        <f>K17+K18+K19+K20</f>
        <v/>
      </c>
      <c r="L21" s="23">
        <f>L17+L18+L19+L20</f>
        <v/>
      </c>
      <c r="M21" s="23">
        <f>M17+M18+M19+M20</f>
        <v/>
      </c>
      <c r="N21" s="23">
        <f>N17+N18+N19+N20</f>
        <v/>
      </c>
      <c r="O21" s="23">
        <f>O17+O18+O19+O20</f>
        <v/>
      </c>
      <c r="P21" s="23">
        <f>P17+P18+P19+P20</f>
        <v/>
      </c>
      <c r="Q21" s="23">
        <f>Q17+Q18+Q19+Q20</f>
        <v/>
      </c>
      <c r="R21" s="23">
        <f>R17+R18+R19+R20</f>
        <v/>
      </c>
      <c r="S21" s="23">
        <f>S17+S18+S19+S20</f>
        <v/>
      </c>
      <c r="T21" s="23">
        <f>T17+T18+T19+T20</f>
        <v/>
      </c>
      <c r="U21" s="23">
        <f>U17+U18+U19+U20</f>
        <v/>
      </c>
      <c r="V21" s="23">
        <f>V17+V18+V19+V20</f>
        <v/>
      </c>
      <c r="W21" s="23">
        <f>W17+W18+W19+W20</f>
        <v/>
      </c>
      <c r="X21" s="23">
        <f>X17+X18+X19+X20</f>
        <v/>
      </c>
      <c r="Y21" s="23">
        <f>Y17+Y18+Y19+Y20</f>
        <v/>
      </c>
      <c r="Z21" s="23">
        <f>Z17+Z18+Z19+Z20</f>
        <v/>
      </c>
      <c r="AA21" s="23">
        <f>AA17+AA18+AA19+AA20</f>
        <v/>
      </c>
      <c r="AB21" s="23">
        <f>AB17+AB18+AB19+AB20</f>
        <v/>
      </c>
      <c r="AC21" s="23">
        <f>AC17+AC18+AC19+AC20</f>
        <v/>
      </c>
      <c r="AD21" s="23">
        <f>AD17+AD18+AD19+AD20</f>
        <v/>
      </c>
      <c r="AE21" s="23">
        <f>AE17+AE18+AE19+AE20</f>
        <v/>
      </c>
      <c r="AF21" s="23">
        <f>AF17+AF18+AF19+AF20</f>
        <v/>
      </c>
      <c r="AG21" s="23">
        <f>AG17+AG18+AG19+AG20</f>
        <v/>
      </c>
      <c r="AH21" s="23">
        <f>AH17+AH18+AH19+AH20</f>
        <v/>
      </c>
      <c r="AI21" s="23">
        <f>AI17+AI18+AI19+AI20</f>
        <v/>
      </c>
      <c r="AJ21" s="23">
        <f>AJ17+AJ18+AJ19+AJ20</f>
        <v/>
      </c>
      <c r="AK21" s="23">
        <f>AK17+AK18+AK19+AK20</f>
        <v/>
      </c>
      <c r="AL21" s="23">
        <f>AL17+AL18+AL19+AL20</f>
        <v/>
      </c>
    </row>
    <row r="22">
      <c r="A22" s="3" t="inlineStr">
        <is>
          <t>CONTRACT &amp; INDIRECT (leadership per Control Tower start months)</t>
        </is>
      </c>
    </row>
    <row r="23">
      <c r="A23" s="4" t="inlineStr">
        <is>
          <t>Chaplain base contract (4020-0-6-7)</t>
        </is>
      </c>
      <c r="C23" s="22">
        <f>'Control Tower'!$B$66*(1+'Control Tower'!$B$57)^0</f>
        <v/>
      </c>
      <c r="D23" s="22">
        <f>'Control Tower'!$B$66*(1+'Control Tower'!$B$57)^0</f>
        <v/>
      </c>
      <c r="E23" s="22">
        <f>'Control Tower'!$B$66*(1+'Control Tower'!$B$57)^0</f>
        <v/>
      </c>
      <c r="F23" s="22">
        <f>'Control Tower'!$B$66*(1+'Control Tower'!$B$57)^0</f>
        <v/>
      </c>
      <c r="G23" s="22">
        <f>'Control Tower'!$B$66*(1+'Control Tower'!$B$57)^0</f>
        <v/>
      </c>
      <c r="H23" s="22">
        <f>'Control Tower'!$B$66*(1+'Control Tower'!$B$57)^0</f>
        <v/>
      </c>
      <c r="I23" s="22">
        <f>'Control Tower'!$B$66*(1+'Control Tower'!$B$57)^0</f>
        <v/>
      </c>
      <c r="J23" s="22">
        <f>'Control Tower'!$B$66*(1+'Control Tower'!$B$57)^0</f>
        <v/>
      </c>
      <c r="K23" s="22">
        <f>'Control Tower'!$B$66*(1+'Control Tower'!$B$57)^0</f>
        <v/>
      </c>
      <c r="L23" s="22">
        <f>'Control Tower'!$B$66*(1+'Control Tower'!$B$57)^0</f>
        <v/>
      </c>
      <c r="M23" s="22">
        <f>'Control Tower'!$B$66*(1+'Control Tower'!$B$57)^0</f>
        <v/>
      </c>
      <c r="N23" s="22">
        <f>'Control Tower'!$B$66*(1+'Control Tower'!$B$57)^0</f>
        <v/>
      </c>
      <c r="O23" s="22">
        <f>'Control Tower'!$B$66*(1+'Control Tower'!$B$57)^1</f>
        <v/>
      </c>
      <c r="P23" s="22">
        <f>'Control Tower'!$B$66*(1+'Control Tower'!$B$57)^1</f>
        <v/>
      </c>
      <c r="Q23" s="22">
        <f>'Control Tower'!$B$66*(1+'Control Tower'!$B$57)^1</f>
        <v/>
      </c>
      <c r="R23" s="22">
        <f>'Control Tower'!$B$66*(1+'Control Tower'!$B$57)^1</f>
        <v/>
      </c>
      <c r="S23" s="22">
        <f>'Control Tower'!$B$66*(1+'Control Tower'!$B$57)^1</f>
        <v/>
      </c>
      <c r="T23" s="22">
        <f>'Control Tower'!$B$66*(1+'Control Tower'!$B$57)^1</f>
        <v/>
      </c>
      <c r="U23" s="22">
        <f>'Control Tower'!$B$66*(1+'Control Tower'!$B$57)^1</f>
        <v/>
      </c>
      <c r="V23" s="22">
        <f>'Control Tower'!$B$66*(1+'Control Tower'!$B$57)^1</f>
        <v/>
      </c>
      <c r="W23" s="22">
        <f>'Control Tower'!$B$66*(1+'Control Tower'!$B$57)^1</f>
        <v/>
      </c>
      <c r="X23" s="22">
        <f>'Control Tower'!$B$66*(1+'Control Tower'!$B$57)^1</f>
        <v/>
      </c>
      <c r="Y23" s="22">
        <f>'Control Tower'!$B$66*(1+'Control Tower'!$B$57)^1</f>
        <v/>
      </c>
      <c r="Z23" s="22">
        <f>'Control Tower'!$B$66*(1+'Control Tower'!$B$57)^1</f>
        <v/>
      </c>
      <c r="AA23" s="22">
        <f>'Control Tower'!$B$66*(1+'Control Tower'!$B$57)^2</f>
        <v/>
      </c>
      <c r="AB23" s="22">
        <f>'Control Tower'!$B$66*(1+'Control Tower'!$B$57)^2</f>
        <v/>
      </c>
      <c r="AC23" s="22">
        <f>'Control Tower'!$B$66*(1+'Control Tower'!$B$57)^2</f>
        <v/>
      </c>
      <c r="AD23" s="22">
        <f>'Control Tower'!$B$66*(1+'Control Tower'!$B$57)^2</f>
        <v/>
      </c>
      <c r="AE23" s="22">
        <f>'Control Tower'!$B$66*(1+'Control Tower'!$B$57)^2</f>
        <v/>
      </c>
      <c r="AF23" s="22">
        <f>'Control Tower'!$B$66*(1+'Control Tower'!$B$57)^2</f>
        <v/>
      </c>
      <c r="AG23" s="22">
        <f>'Control Tower'!$B$66*(1+'Control Tower'!$B$57)^2</f>
        <v/>
      </c>
      <c r="AH23" s="22">
        <f>'Control Tower'!$B$66*(1+'Control Tower'!$B$57)^2</f>
        <v/>
      </c>
      <c r="AI23" s="22">
        <f>'Control Tower'!$B$66*(1+'Control Tower'!$B$57)^2</f>
        <v/>
      </c>
      <c r="AJ23" s="22">
        <f>'Control Tower'!$B$66*(1+'Control Tower'!$B$57)^2</f>
        <v/>
      </c>
      <c r="AK23" s="22">
        <f>'Control Tower'!$B$66*(1+'Control Tower'!$B$57)^2</f>
        <v/>
      </c>
      <c r="AL23" s="22">
        <f>'Control Tower'!$B$66*(1+'Control Tower'!$B$57)^2</f>
        <v/>
      </c>
    </row>
    <row r="24">
      <c r="A24" s="4" t="inlineStr">
        <is>
          <t>Medical director (4020-0-6-M)</t>
        </is>
      </c>
      <c r="C24" s="22">
        <f>IF(1&gt;='Control Tower'!$B$68,'Control Tower'!$B$67*(1+'Control Tower'!$B$57)^0,0)</f>
        <v/>
      </c>
      <c r="D24" s="22">
        <f>IF(2&gt;='Control Tower'!$B$68,'Control Tower'!$B$67*(1+'Control Tower'!$B$57)^0,0)</f>
        <v/>
      </c>
      <c r="E24" s="22">
        <f>IF(3&gt;='Control Tower'!$B$68,'Control Tower'!$B$67*(1+'Control Tower'!$B$57)^0,0)</f>
        <v/>
      </c>
      <c r="F24" s="22">
        <f>IF(4&gt;='Control Tower'!$B$68,'Control Tower'!$B$67*(1+'Control Tower'!$B$57)^0,0)</f>
        <v/>
      </c>
      <c r="G24" s="22">
        <f>IF(5&gt;='Control Tower'!$B$68,'Control Tower'!$B$67*(1+'Control Tower'!$B$57)^0,0)</f>
        <v/>
      </c>
      <c r="H24" s="22">
        <f>IF(6&gt;='Control Tower'!$B$68,'Control Tower'!$B$67*(1+'Control Tower'!$B$57)^0,0)</f>
        <v/>
      </c>
      <c r="I24" s="22">
        <f>IF(7&gt;='Control Tower'!$B$68,'Control Tower'!$B$67*(1+'Control Tower'!$B$57)^0,0)</f>
        <v/>
      </c>
      <c r="J24" s="22">
        <f>IF(8&gt;='Control Tower'!$B$68,'Control Tower'!$B$67*(1+'Control Tower'!$B$57)^0,0)</f>
        <v/>
      </c>
      <c r="K24" s="22">
        <f>IF(9&gt;='Control Tower'!$B$68,'Control Tower'!$B$67*(1+'Control Tower'!$B$57)^0,0)</f>
        <v/>
      </c>
      <c r="L24" s="22">
        <f>IF(10&gt;='Control Tower'!$B$68,'Control Tower'!$B$67*(1+'Control Tower'!$B$57)^0,0)</f>
        <v/>
      </c>
      <c r="M24" s="22">
        <f>IF(11&gt;='Control Tower'!$B$68,'Control Tower'!$B$67*(1+'Control Tower'!$B$57)^0,0)</f>
        <v/>
      </c>
      <c r="N24" s="22">
        <f>IF(12&gt;='Control Tower'!$B$68,'Control Tower'!$B$67*(1+'Control Tower'!$B$57)^0,0)</f>
        <v/>
      </c>
      <c r="O24" s="22">
        <f>IF(13&gt;='Control Tower'!$B$68,'Control Tower'!$B$67*(1+'Control Tower'!$B$57)^1,0)</f>
        <v/>
      </c>
      <c r="P24" s="22">
        <f>IF(14&gt;='Control Tower'!$B$68,'Control Tower'!$B$67*(1+'Control Tower'!$B$57)^1,0)</f>
        <v/>
      </c>
      <c r="Q24" s="22">
        <f>IF(15&gt;='Control Tower'!$B$68,'Control Tower'!$B$67*(1+'Control Tower'!$B$57)^1,0)</f>
        <v/>
      </c>
      <c r="R24" s="22">
        <f>IF(16&gt;='Control Tower'!$B$68,'Control Tower'!$B$67*(1+'Control Tower'!$B$57)^1,0)</f>
        <v/>
      </c>
      <c r="S24" s="22">
        <f>IF(17&gt;='Control Tower'!$B$68,'Control Tower'!$B$67*(1+'Control Tower'!$B$57)^1,0)</f>
        <v/>
      </c>
      <c r="T24" s="22">
        <f>IF(18&gt;='Control Tower'!$B$68,'Control Tower'!$B$67*(1+'Control Tower'!$B$57)^1,0)</f>
        <v/>
      </c>
      <c r="U24" s="22">
        <f>IF(19&gt;='Control Tower'!$B$68,'Control Tower'!$B$67*(1+'Control Tower'!$B$57)^1,0)</f>
        <v/>
      </c>
      <c r="V24" s="22">
        <f>IF(20&gt;='Control Tower'!$B$68,'Control Tower'!$B$67*(1+'Control Tower'!$B$57)^1,0)</f>
        <v/>
      </c>
      <c r="W24" s="22">
        <f>IF(21&gt;='Control Tower'!$B$68,'Control Tower'!$B$67*(1+'Control Tower'!$B$57)^1,0)</f>
        <v/>
      </c>
      <c r="X24" s="22">
        <f>IF(22&gt;='Control Tower'!$B$68,'Control Tower'!$B$67*(1+'Control Tower'!$B$57)^1,0)</f>
        <v/>
      </c>
      <c r="Y24" s="22">
        <f>IF(23&gt;='Control Tower'!$B$68,'Control Tower'!$B$67*(1+'Control Tower'!$B$57)^1,0)</f>
        <v/>
      </c>
      <c r="Z24" s="22">
        <f>IF(24&gt;='Control Tower'!$B$68,'Control Tower'!$B$67*(1+'Control Tower'!$B$57)^1,0)</f>
        <v/>
      </c>
      <c r="AA24" s="22">
        <f>IF(25&gt;='Control Tower'!$B$68,'Control Tower'!$B$67*(1+'Control Tower'!$B$57)^2,0)</f>
        <v/>
      </c>
      <c r="AB24" s="22">
        <f>IF(26&gt;='Control Tower'!$B$68,'Control Tower'!$B$67*(1+'Control Tower'!$B$57)^2,0)</f>
        <v/>
      </c>
      <c r="AC24" s="22">
        <f>IF(27&gt;='Control Tower'!$B$68,'Control Tower'!$B$67*(1+'Control Tower'!$B$57)^2,0)</f>
        <v/>
      </c>
      <c r="AD24" s="22">
        <f>IF(28&gt;='Control Tower'!$B$68,'Control Tower'!$B$67*(1+'Control Tower'!$B$57)^2,0)</f>
        <v/>
      </c>
      <c r="AE24" s="22">
        <f>IF(29&gt;='Control Tower'!$B$68,'Control Tower'!$B$67*(1+'Control Tower'!$B$57)^2,0)</f>
        <v/>
      </c>
      <c r="AF24" s="22">
        <f>IF(30&gt;='Control Tower'!$B$68,'Control Tower'!$B$67*(1+'Control Tower'!$B$57)^2,0)</f>
        <v/>
      </c>
      <c r="AG24" s="22">
        <f>IF(31&gt;='Control Tower'!$B$68,'Control Tower'!$B$67*(1+'Control Tower'!$B$57)^2,0)</f>
        <v/>
      </c>
      <c r="AH24" s="22">
        <f>IF(32&gt;='Control Tower'!$B$68,'Control Tower'!$B$67*(1+'Control Tower'!$B$57)^2,0)</f>
        <v/>
      </c>
      <c r="AI24" s="22">
        <f>IF(33&gt;='Control Tower'!$B$68,'Control Tower'!$B$67*(1+'Control Tower'!$B$57)^2,0)</f>
        <v/>
      </c>
      <c r="AJ24" s="22">
        <f>IF(34&gt;='Control Tower'!$B$68,'Control Tower'!$B$67*(1+'Control Tower'!$B$57)^2,0)</f>
        <v/>
      </c>
      <c r="AK24" s="22">
        <f>IF(35&gt;='Control Tower'!$B$68,'Control Tower'!$B$67*(1+'Control Tower'!$B$57)^2,0)</f>
        <v/>
      </c>
      <c r="AL24" s="22">
        <f>IF(36&gt;='Control Tower'!$B$68,'Control Tower'!$B$67*(1+'Control Tower'!$B$57)^2,0)</f>
        <v/>
      </c>
    </row>
    <row r="25">
      <c r="A25" s="4" t="inlineStr">
        <is>
          <t>Silas Shelton - Executive Director (4000-0-A-0)</t>
        </is>
      </c>
      <c r="C25" s="22">
        <f>IF(1&gt;='Control Tower'!$B$84,'Control Tower'!$B$83/12*(1+'Control Tower'!$B$57)^0*(1+'Control Tower'!$B$39),0)</f>
        <v/>
      </c>
      <c r="D25" s="22">
        <f>IF(2&gt;='Control Tower'!$B$84,'Control Tower'!$B$83/12*(1+'Control Tower'!$B$57)^0*(1+'Control Tower'!$B$39),0)</f>
        <v/>
      </c>
      <c r="E25" s="22">
        <f>IF(3&gt;='Control Tower'!$B$84,'Control Tower'!$B$83/12*(1+'Control Tower'!$B$57)^0*(1+'Control Tower'!$B$39),0)</f>
        <v/>
      </c>
      <c r="F25" s="22">
        <f>IF(4&gt;='Control Tower'!$B$84,'Control Tower'!$B$83/12*(1+'Control Tower'!$B$57)^0*(1+'Control Tower'!$B$39),0)</f>
        <v/>
      </c>
      <c r="G25" s="22">
        <f>IF(5&gt;='Control Tower'!$B$84,'Control Tower'!$B$83/12*(1+'Control Tower'!$B$57)^0*(1+'Control Tower'!$B$39),0)</f>
        <v/>
      </c>
      <c r="H25" s="22">
        <f>IF(6&gt;='Control Tower'!$B$84,'Control Tower'!$B$83/12*(1+'Control Tower'!$B$57)^0*(1+'Control Tower'!$B$39),0)</f>
        <v/>
      </c>
      <c r="I25" s="22">
        <f>IF(7&gt;='Control Tower'!$B$84,'Control Tower'!$B$83/12*(1+'Control Tower'!$B$57)^0*(1+'Control Tower'!$B$39),0)</f>
        <v/>
      </c>
      <c r="J25" s="22">
        <f>IF(8&gt;='Control Tower'!$B$84,'Control Tower'!$B$83/12*(1+'Control Tower'!$B$57)^0*(1+'Control Tower'!$B$39),0)</f>
        <v/>
      </c>
      <c r="K25" s="22">
        <f>IF(9&gt;='Control Tower'!$B$84,'Control Tower'!$B$83/12*(1+'Control Tower'!$B$57)^0*(1+'Control Tower'!$B$39),0)</f>
        <v/>
      </c>
      <c r="L25" s="22">
        <f>IF(10&gt;='Control Tower'!$B$84,'Control Tower'!$B$83/12*(1+'Control Tower'!$B$57)^0*(1+'Control Tower'!$B$39),0)</f>
        <v/>
      </c>
      <c r="M25" s="22">
        <f>IF(11&gt;='Control Tower'!$B$84,'Control Tower'!$B$83/12*(1+'Control Tower'!$B$57)^0*(1+'Control Tower'!$B$39),0)</f>
        <v/>
      </c>
      <c r="N25" s="22">
        <f>IF(12&gt;='Control Tower'!$B$84,'Control Tower'!$B$83/12*(1+'Control Tower'!$B$57)^0*(1+'Control Tower'!$B$39),0)</f>
        <v/>
      </c>
      <c r="O25" s="22">
        <f>IF(13&gt;='Control Tower'!$B$84,'Control Tower'!$B$83/12*(1+'Control Tower'!$B$57)^1*(1+'Control Tower'!$B$39),0)</f>
        <v/>
      </c>
      <c r="P25" s="22">
        <f>IF(14&gt;='Control Tower'!$B$84,'Control Tower'!$B$83/12*(1+'Control Tower'!$B$57)^1*(1+'Control Tower'!$B$39),0)</f>
        <v/>
      </c>
      <c r="Q25" s="22">
        <f>IF(15&gt;='Control Tower'!$B$84,'Control Tower'!$B$83/12*(1+'Control Tower'!$B$57)^1*(1+'Control Tower'!$B$39),0)</f>
        <v/>
      </c>
      <c r="R25" s="22">
        <f>IF(16&gt;='Control Tower'!$B$84,'Control Tower'!$B$83/12*(1+'Control Tower'!$B$57)^1*(1+'Control Tower'!$B$39),0)</f>
        <v/>
      </c>
      <c r="S25" s="22">
        <f>IF(17&gt;='Control Tower'!$B$84,'Control Tower'!$B$83/12*(1+'Control Tower'!$B$57)^1*(1+'Control Tower'!$B$39),0)</f>
        <v/>
      </c>
      <c r="T25" s="22">
        <f>IF(18&gt;='Control Tower'!$B$84,'Control Tower'!$B$83/12*(1+'Control Tower'!$B$57)^1*(1+'Control Tower'!$B$39),0)</f>
        <v/>
      </c>
      <c r="U25" s="22">
        <f>IF(19&gt;='Control Tower'!$B$84,'Control Tower'!$B$83/12*(1+'Control Tower'!$B$57)^1*(1+'Control Tower'!$B$39),0)</f>
        <v/>
      </c>
      <c r="V25" s="22">
        <f>IF(20&gt;='Control Tower'!$B$84,'Control Tower'!$B$83/12*(1+'Control Tower'!$B$57)^1*(1+'Control Tower'!$B$39),0)</f>
        <v/>
      </c>
      <c r="W25" s="22">
        <f>IF(21&gt;='Control Tower'!$B$84,'Control Tower'!$B$83/12*(1+'Control Tower'!$B$57)^1*(1+'Control Tower'!$B$39),0)</f>
        <v/>
      </c>
      <c r="X25" s="22">
        <f>IF(22&gt;='Control Tower'!$B$84,'Control Tower'!$B$83/12*(1+'Control Tower'!$B$57)^1*(1+'Control Tower'!$B$39),0)</f>
        <v/>
      </c>
      <c r="Y25" s="22">
        <f>IF(23&gt;='Control Tower'!$B$84,'Control Tower'!$B$83/12*(1+'Control Tower'!$B$57)^1*(1+'Control Tower'!$B$39),0)</f>
        <v/>
      </c>
      <c r="Z25" s="22">
        <f>IF(24&gt;='Control Tower'!$B$84,'Control Tower'!$B$83/12*(1+'Control Tower'!$B$57)^1*(1+'Control Tower'!$B$39),0)</f>
        <v/>
      </c>
      <c r="AA25" s="22">
        <f>IF(25&gt;='Control Tower'!$B$84,'Control Tower'!$B$83/12*(1+'Control Tower'!$B$57)^2*(1+'Control Tower'!$B$39),0)</f>
        <v/>
      </c>
      <c r="AB25" s="22">
        <f>IF(26&gt;='Control Tower'!$B$84,'Control Tower'!$B$83/12*(1+'Control Tower'!$B$57)^2*(1+'Control Tower'!$B$39),0)</f>
        <v/>
      </c>
      <c r="AC25" s="22">
        <f>IF(27&gt;='Control Tower'!$B$84,'Control Tower'!$B$83/12*(1+'Control Tower'!$B$57)^2*(1+'Control Tower'!$B$39),0)</f>
        <v/>
      </c>
      <c r="AD25" s="22">
        <f>IF(28&gt;='Control Tower'!$B$84,'Control Tower'!$B$83/12*(1+'Control Tower'!$B$57)^2*(1+'Control Tower'!$B$39),0)</f>
        <v/>
      </c>
      <c r="AE25" s="22">
        <f>IF(29&gt;='Control Tower'!$B$84,'Control Tower'!$B$83/12*(1+'Control Tower'!$B$57)^2*(1+'Control Tower'!$B$39),0)</f>
        <v/>
      </c>
      <c r="AF25" s="22">
        <f>IF(30&gt;='Control Tower'!$B$84,'Control Tower'!$B$83/12*(1+'Control Tower'!$B$57)^2*(1+'Control Tower'!$B$39),0)</f>
        <v/>
      </c>
      <c r="AG25" s="22">
        <f>IF(31&gt;='Control Tower'!$B$84,'Control Tower'!$B$83/12*(1+'Control Tower'!$B$57)^2*(1+'Control Tower'!$B$39),0)</f>
        <v/>
      </c>
      <c r="AH25" s="22">
        <f>IF(32&gt;='Control Tower'!$B$84,'Control Tower'!$B$83/12*(1+'Control Tower'!$B$57)^2*(1+'Control Tower'!$B$39),0)</f>
        <v/>
      </c>
      <c r="AI25" s="22">
        <f>IF(33&gt;='Control Tower'!$B$84,'Control Tower'!$B$83/12*(1+'Control Tower'!$B$57)^2*(1+'Control Tower'!$B$39),0)</f>
        <v/>
      </c>
      <c r="AJ25" s="22">
        <f>IF(34&gt;='Control Tower'!$B$84,'Control Tower'!$B$83/12*(1+'Control Tower'!$B$57)^2*(1+'Control Tower'!$B$39),0)</f>
        <v/>
      </c>
      <c r="AK25" s="22">
        <f>IF(35&gt;='Control Tower'!$B$84,'Control Tower'!$B$83/12*(1+'Control Tower'!$B$57)^2*(1+'Control Tower'!$B$39),0)</f>
        <v/>
      </c>
      <c r="AL25" s="22">
        <f>IF(36&gt;='Control Tower'!$B$84,'Control Tower'!$B$83/12*(1+'Control Tower'!$B$57)^2*(1+'Control Tower'!$B$39),0)</f>
        <v/>
      </c>
    </row>
    <row r="26">
      <c r="A26" s="4" t="inlineStr">
        <is>
          <t>Dana Davenport - Director of Nursing (4000-0-C-0)</t>
        </is>
      </c>
      <c r="C26" s="22">
        <f>IF(1&gt;='Control Tower'!$B$86,'Control Tower'!$B$85/12*(1+'Control Tower'!$B$57)^0*(1+'Control Tower'!$B$39),0)</f>
        <v/>
      </c>
      <c r="D26" s="22">
        <f>IF(2&gt;='Control Tower'!$B$86,'Control Tower'!$B$85/12*(1+'Control Tower'!$B$57)^0*(1+'Control Tower'!$B$39),0)</f>
        <v/>
      </c>
      <c r="E26" s="22">
        <f>IF(3&gt;='Control Tower'!$B$86,'Control Tower'!$B$85/12*(1+'Control Tower'!$B$57)^0*(1+'Control Tower'!$B$39),0)</f>
        <v/>
      </c>
      <c r="F26" s="22">
        <f>IF(4&gt;='Control Tower'!$B$86,'Control Tower'!$B$85/12*(1+'Control Tower'!$B$57)^0*(1+'Control Tower'!$B$39),0)</f>
        <v/>
      </c>
      <c r="G26" s="22">
        <f>IF(5&gt;='Control Tower'!$B$86,'Control Tower'!$B$85/12*(1+'Control Tower'!$B$57)^0*(1+'Control Tower'!$B$39),0)</f>
        <v/>
      </c>
      <c r="H26" s="22">
        <f>IF(6&gt;='Control Tower'!$B$86,'Control Tower'!$B$85/12*(1+'Control Tower'!$B$57)^0*(1+'Control Tower'!$B$39),0)</f>
        <v/>
      </c>
      <c r="I26" s="22">
        <f>IF(7&gt;='Control Tower'!$B$86,'Control Tower'!$B$85/12*(1+'Control Tower'!$B$57)^0*(1+'Control Tower'!$B$39),0)</f>
        <v/>
      </c>
      <c r="J26" s="22">
        <f>IF(8&gt;='Control Tower'!$B$86,'Control Tower'!$B$85/12*(1+'Control Tower'!$B$57)^0*(1+'Control Tower'!$B$39),0)</f>
        <v/>
      </c>
      <c r="K26" s="22">
        <f>IF(9&gt;='Control Tower'!$B$86,'Control Tower'!$B$85/12*(1+'Control Tower'!$B$57)^0*(1+'Control Tower'!$B$39),0)</f>
        <v/>
      </c>
      <c r="L26" s="22">
        <f>IF(10&gt;='Control Tower'!$B$86,'Control Tower'!$B$85/12*(1+'Control Tower'!$B$57)^0*(1+'Control Tower'!$B$39),0)</f>
        <v/>
      </c>
      <c r="M26" s="22">
        <f>IF(11&gt;='Control Tower'!$B$86,'Control Tower'!$B$85/12*(1+'Control Tower'!$B$57)^0*(1+'Control Tower'!$B$39),0)</f>
        <v/>
      </c>
      <c r="N26" s="22">
        <f>IF(12&gt;='Control Tower'!$B$86,'Control Tower'!$B$85/12*(1+'Control Tower'!$B$57)^0*(1+'Control Tower'!$B$39),0)</f>
        <v/>
      </c>
      <c r="O26" s="22">
        <f>IF(13&gt;='Control Tower'!$B$86,'Control Tower'!$B$85/12*(1+'Control Tower'!$B$57)^1*(1+'Control Tower'!$B$39),0)</f>
        <v/>
      </c>
      <c r="P26" s="22">
        <f>IF(14&gt;='Control Tower'!$B$86,'Control Tower'!$B$85/12*(1+'Control Tower'!$B$57)^1*(1+'Control Tower'!$B$39),0)</f>
        <v/>
      </c>
      <c r="Q26" s="22">
        <f>IF(15&gt;='Control Tower'!$B$86,'Control Tower'!$B$85/12*(1+'Control Tower'!$B$57)^1*(1+'Control Tower'!$B$39),0)</f>
        <v/>
      </c>
      <c r="R26" s="22">
        <f>IF(16&gt;='Control Tower'!$B$86,'Control Tower'!$B$85/12*(1+'Control Tower'!$B$57)^1*(1+'Control Tower'!$B$39),0)</f>
        <v/>
      </c>
      <c r="S26" s="22">
        <f>IF(17&gt;='Control Tower'!$B$86,'Control Tower'!$B$85/12*(1+'Control Tower'!$B$57)^1*(1+'Control Tower'!$B$39),0)</f>
        <v/>
      </c>
      <c r="T26" s="22">
        <f>IF(18&gt;='Control Tower'!$B$86,'Control Tower'!$B$85/12*(1+'Control Tower'!$B$57)^1*(1+'Control Tower'!$B$39),0)</f>
        <v/>
      </c>
      <c r="U26" s="22">
        <f>IF(19&gt;='Control Tower'!$B$86,'Control Tower'!$B$85/12*(1+'Control Tower'!$B$57)^1*(1+'Control Tower'!$B$39),0)</f>
        <v/>
      </c>
      <c r="V26" s="22">
        <f>IF(20&gt;='Control Tower'!$B$86,'Control Tower'!$B$85/12*(1+'Control Tower'!$B$57)^1*(1+'Control Tower'!$B$39),0)</f>
        <v/>
      </c>
      <c r="W26" s="22">
        <f>IF(21&gt;='Control Tower'!$B$86,'Control Tower'!$B$85/12*(1+'Control Tower'!$B$57)^1*(1+'Control Tower'!$B$39),0)</f>
        <v/>
      </c>
      <c r="X26" s="22">
        <f>IF(22&gt;='Control Tower'!$B$86,'Control Tower'!$B$85/12*(1+'Control Tower'!$B$57)^1*(1+'Control Tower'!$B$39),0)</f>
        <v/>
      </c>
      <c r="Y26" s="22">
        <f>IF(23&gt;='Control Tower'!$B$86,'Control Tower'!$B$85/12*(1+'Control Tower'!$B$57)^1*(1+'Control Tower'!$B$39),0)</f>
        <v/>
      </c>
      <c r="Z26" s="22">
        <f>IF(24&gt;='Control Tower'!$B$86,'Control Tower'!$B$85/12*(1+'Control Tower'!$B$57)^1*(1+'Control Tower'!$B$39),0)</f>
        <v/>
      </c>
      <c r="AA26" s="22">
        <f>IF(25&gt;='Control Tower'!$B$86,'Control Tower'!$B$85/12*(1+'Control Tower'!$B$57)^2*(1+'Control Tower'!$B$39),0)</f>
        <v/>
      </c>
      <c r="AB26" s="22">
        <f>IF(26&gt;='Control Tower'!$B$86,'Control Tower'!$B$85/12*(1+'Control Tower'!$B$57)^2*(1+'Control Tower'!$B$39),0)</f>
        <v/>
      </c>
      <c r="AC26" s="22">
        <f>IF(27&gt;='Control Tower'!$B$86,'Control Tower'!$B$85/12*(1+'Control Tower'!$B$57)^2*(1+'Control Tower'!$B$39),0)</f>
        <v/>
      </c>
      <c r="AD26" s="22">
        <f>IF(28&gt;='Control Tower'!$B$86,'Control Tower'!$B$85/12*(1+'Control Tower'!$B$57)^2*(1+'Control Tower'!$B$39),0)</f>
        <v/>
      </c>
      <c r="AE26" s="22">
        <f>IF(29&gt;='Control Tower'!$B$86,'Control Tower'!$B$85/12*(1+'Control Tower'!$B$57)^2*(1+'Control Tower'!$B$39),0)</f>
        <v/>
      </c>
      <c r="AF26" s="22">
        <f>IF(30&gt;='Control Tower'!$B$86,'Control Tower'!$B$85/12*(1+'Control Tower'!$B$57)^2*(1+'Control Tower'!$B$39),0)</f>
        <v/>
      </c>
      <c r="AG26" s="22">
        <f>IF(31&gt;='Control Tower'!$B$86,'Control Tower'!$B$85/12*(1+'Control Tower'!$B$57)^2*(1+'Control Tower'!$B$39),0)</f>
        <v/>
      </c>
      <c r="AH26" s="22">
        <f>IF(32&gt;='Control Tower'!$B$86,'Control Tower'!$B$85/12*(1+'Control Tower'!$B$57)^2*(1+'Control Tower'!$B$39),0)</f>
        <v/>
      </c>
      <c r="AI26" s="22">
        <f>IF(33&gt;='Control Tower'!$B$86,'Control Tower'!$B$85/12*(1+'Control Tower'!$B$57)^2*(1+'Control Tower'!$B$39),0)</f>
        <v/>
      </c>
      <c r="AJ26" s="22">
        <f>IF(34&gt;='Control Tower'!$B$86,'Control Tower'!$B$85/12*(1+'Control Tower'!$B$57)^2*(1+'Control Tower'!$B$39),0)</f>
        <v/>
      </c>
      <c r="AK26" s="22">
        <f>IF(35&gt;='Control Tower'!$B$86,'Control Tower'!$B$85/12*(1+'Control Tower'!$B$57)^2*(1+'Control Tower'!$B$39),0)</f>
        <v/>
      </c>
      <c r="AL26" s="22">
        <f>IF(36&gt;='Control Tower'!$B$86,'Control Tower'!$B$85/12*(1+'Control Tower'!$B$57)^2*(1+'Control Tower'!$B$39),0)</f>
        <v/>
      </c>
    </row>
    <row r="27">
      <c r="A27" s="4" t="inlineStr">
        <is>
          <t>Brad Woodard - Director of Sales (4000-0-M-0)</t>
        </is>
      </c>
      <c r="C27" s="22">
        <f>IF(1&gt;='Control Tower'!$B$88,'Control Tower'!$B$87/12*(1+'Control Tower'!$B$57)^0*(1+'Control Tower'!$B$39),0)</f>
        <v/>
      </c>
      <c r="D27" s="22">
        <f>IF(2&gt;='Control Tower'!$B$88,'Control Tower'!$B$87/12*(1+'Control Tower'!$B$57)^0*(1+'Control Tower'!$B$39),0)</f>
        <v/>
      </c>
      <c r="E27" s="22">
        <f>IF(3&gt;='Control Tower'!$B$88,'Control Tower'!$B$87/12*(1+'Control Tower'!$B$57)^0*(1+'Control Tower'!$B$39),0)</f>
        <v/>
      </c>
      <c r="F27" s="22">
        <f>IF(4&gt;='Control Tower'!$B$88,'Control Tower'!$B$87/12*(1+'Control Tower'!$B$57)^0*(1+'Control Tower'!$B$39),0)</f>
        <v/>
      </c>
      <c r="G27" s="22">
        <f>IF(5&gt;='Control Tower'!$B$88,'Control Tower'!$B$87/12*(1+'Control Tower'!$B$57)^0*(1+'Control Tower'!$B$39),0)</f>
        <v/>
      </c>
      <c r="H27" s="22">
        <f>IF(6&gt;='Control Tower'!$B$88,'Control Tower'!$B$87/12*(1+'Control Tower'!$B$57)^0*(1+'Control Tower'!$B$39),0)</f>
        <v/>
      </c>
      <c r="I27" s="22">
        <f>IF(7&gt;='Control Tower'!$B$88,'Control Tower'!$B$87/12*(1+'Control Tower'!$B$57)^0*(1+'Control Tower'!$B$39),0)</f>
        <v/>
      </c>
      <c r="J27" s="22">
        <f>IF(8&gt;='Control Tower'!$B$88,'Control Tower'!$B$87/12*(1+'Control Tower'!$B$57)^0*(1+'Control Tower'!$B$39),0)</f>
        <v/>
      </c>
      <c r="K27" s="22">
        <f>IF(9&gt;='Control Tower'!$B$88,'Control Tower'!$B$87/12*(1+'Control Tower'!$B$57)^0*(1+'Control Tower'!$B$39),0)</f>
        <v/>
      </c>
      <c r="L27" s="22">
        <f>IF(10&gt;='Control Tower'!$B$88,'Control Tower'!$B$87/12*(1+'Control Tower'!$B$57)^0*(1+'Control Tower'!$B$39),0)</f>
        <v/>
      </c>
      <c r="M27" s="22">
        <f>IF(11&gt;='Control Tower'!$B$88,'Control Tower'!$B$87/12*(1+'Control Tower'!$B$57)^0*(1+'Control Tower'!$B$39),0)</f>
        <v/>
      </c>
      <c r="N27" s="22">
        <f>IF(12&gt;='Control Tower'!$B$88,'Control Tower'!$B$87/12*(1+'Control Tower'!$B$57)^0*(1+'Control Tower'!$B$39),0)</f>
        <v/>
      </c>
      <c r="O27" s="22">
        <f>IF(13&gt;='Control Tower'!$B$88,'Control Tower'!$B$87/12*(1+'Control Tower'!$B$57)^1*(1+'Control Tower'!$B$39),0)</f>
        <v/>
      </c>
      <c r="P27" s="22">
        <f>IF(14&gt;='Control Tower'!$B$88,'Control Tower'!$B$87/12*(1+'Control Tower'!$B$57)^1*(1+'Control Tower'!$B$39),0)</f>
        <v/>
      </c>
      <c r="Q27" s="22">
        <f>IF(15&gt;='Control Tower'!$B$88,'Control Tower'!$B$87/12*(1+'Control Tower'!$B$57)^1*(1+'Control Tower'!$B$39),0)</f>
        <v/>
      </c>
      <c r="R27" s="22">
        <f>IF(16&gt;='Control Tower'!$B$88,'Control Tower'!$B$87/12*(1+'Control Tower'!$B$57)^1*(1+'Control Tower'!$B$39),0)</f>
        <v/>
      </c>
      <c r="S27" s="22">
        <f>IF(17&gt;='Control Tower'!$B$88,'Control Tower'!$B$87/12*(1+'Control Tower'!$B$57)^1*(1+'Control Tower'!$B$39),0)</f>
        <v/>
      </c>
      <c r="T27" s="22">
        <f>IF(18&gt;='Control Tower'!$B$88,'Control Tower'!$B$87/12*(1+'Control Tower'!$B$57)^1*(1+'Control Tower'!$B$39),0)</f>
        <v/>
      </c>
      <c r="U27" s="22">
        <f>IF(19&gt;='Control Tower'!$B$88,'Control Tower'!$B$87/12*(1+'Control Tower'!$B$57)^1*(1+'Control Tower'!$B$39),0)</f>
        <v/>
      </c>
      <c r="V27" s="22">
        <f>IF(20&gt;='Control Tower'!$B$88,'Control Tower'!$B$87/12*(1+'Control Tower'!$B$57)^1*(1+'Control Tower'!$B$39),0)</f>
        <v/>
      </c>
      <c r="W27" s="22">
        <f>IF(21&gt;='Control Tower'!$B$88,'Control Tower'!$B$87/12*(1+'Control Tower'!$B$57)^1*(1+'Control Tower'!$B$39),0)</f>
        <v/>
      </c>
      <c r="X27" s="22">
        <f>IF(22&gt;='Control Tower'!$B$88,'Control Tower'!$B$87/12*(1+'Control Tower'!$B$57)^1*(1+'Control Tower'!$B$39),0)</f>
        <v/>
      </c>
      <c r="Y27" s="22">
        <f>IF(23&gt;='Control Tower'!$B$88,'Control Tower'!$B$87/12*(1+'Control Tower'!$B$57)^1*(1+'Control Tower'!$B$39),0)</f>
        <v/>
      </c>
      <c r="Z27" s="22">
        <f>IF(24&gt;='Control Tower'!$B$88,'Control Tower'!$B$87/12*(1+'Control Tower'!$B$57)^1*(1+'Control Tower'!$B$39),0)</f>
        <v/>
      </c>
      <c r="AA27" s="22">
        <f>IF(25&gt;='Control Tower'!$B$88,'Control Tower'!$B$87/12*(1+'Control Tower'!$B$57)^2*(1+'Control Tower'!$B$39),0)</f>
        <v/>
      </c>
      <c r="AB27" s="22">
        <f>IF(26&gt;='Control Tower'!$B$88,'Control Tower'!$B$87/12*(1+'Control Tower'!$B$57)^2*(1+'Control Tower'!$B$39),0)</f>
        <v/>
      </c>
      <c r="AC27" s="22">
        <f>IF(27&gt;='Control Tower'!$B$88,'Control Tower'!$B$87/12*(1+'Control Tower'!$B$57)^2*(1+'Control Tower'!$B$39),0)</f>
        <v/>
      </c>
      <c r="AD27" s="22">
        <f>IF(28&gt;='Control Tower'!$B$88,'Control Tower'!$B$87/12*(1+'Control Tower'!$B$57)^2*(1+'Control Tower'!$B$39),0)</f>
        <v/>
      </c>
      <c r="AE27" s="22">
        <f>IF(29&gt;='Control Tower'!$B$88,'Control Tower'!$B$87/12*(1+'Control Tower'!$B$57)^2*(1+'Control Tower'!$B$39),0)</f>
        <v/>
      </c>
      <c r="AF27" s="22">
        <f>IF(30&gt;='Control Tower'!$B$88,'Control Tower'!$B$87/12*(1+'Control Tower'!$B$57)^2*(1+'Control Tower'!$B$39),0)</f>
        <v/>
      </c>
      <c r="AG27" s="22">
        <f>IF(31&gt;='Control Tower'!$B$88,'Control Tower'!$B$87/12*(1+'Control Tower'!$B$57)^2*(1+'Control Tower'!$B$39),0)</f>
        <v/>
      </c>
      <c r="AH27" s="22">
        <f>IF(32&gt;='Control Tower'!$B$88,'Control Tower'!$B$87/12*(1+'Control Tower'!$B$57)^2*(1+'Control Tower'!$B$39),0)</f>
        <v/>
      </c>
      <c r="AI27" s="22">
        <f>IF(33&gt;='Control Tower'!$B$88,'Control Tower'!$B$87/12*(1+'Control Tower'!$B$57)^2*(1+'Control Tower'!$B$39),0)</f>
        <v/>
      </c>
      <c r="AJ27" s="22">
        <f>IF(34&gt;='Control Tower'!$B$88,'Control Tower'!$B$87/12*(1+'Control Tower'!$B$57)^2*(1+'Control Tower'!$B$39),0)</f>
        <v/>
      </c>
      <c r="AK27" s="22">
        <f>IF(35&gt;='Control Tower'!$B$88,'Control Tower'!$B$87/12*(1+'Control Tower'!$B$57)^2*(1+'Control Tower'!$B$39),0)</f>
        <v/>
      </c>
      <c r="AL27" s="22">
        <f>IF(36&gt;='Control Tower'!$B$88,'Control Tower'!$B$87/12*(1+'Control Tower'!$B$57)^2*(1+'Control Tower'!$B$39),0)</f>
        <v/>
      </c>
    </row>
    <row r="28">
      <c r="A28" s="4" t="inlineStr">
        <is>
          <t>Rhonda Smith - ADON / Intake (4000-0-I-1)</t>
        </is>
      </c>
      <c r="C28" s="22">
        <f>IF(1&gt;='Control Tower'!$B$90,'Control Tower'!$B$89/12*(1+'Control Tower'!$B$57)^0*(1+'Control Tower'!$B$39),0)</f>
        <v/>
      </c>
      <c r="D28" s="22">
        <f>IF(2&gt;='Control Tower'!$B$90,'Control Tower'!$B$89/12*(1+'Control Tower'!$B$57)^0*(1+'Control Tower'!$B$39),0)</f>
        <v/>
      </c>
      <c r="E28" s="22">
        <f>IF(3&gt;='Control Tower'!$B$90,'Control Tower'!$B$89/12*(1+'Control Tower'!$B$57)^0*(1+'Control Tower'!$B$39),0)</f>
        <v/>
      </c>
      <c r="F28" s="22">
        <f>IF(4&gt;='Control Tower'!$B$90,'Control Tower'!$B$89/12*(1+'Control Tower'!$B$57)^0*(1+'Control Tower'!$B$39),0)</f>
        <v/>
      </c>
      <c r="G28" s="22">
        <f>IF(5&gt;='Control Tower'!$B$90,'Control Tower'!$B$89/12*(1+'Control Tower'!$B$57)^0*(1+'Control Tower'!$B$39),0)</f>
        <v/>
      </c>
      <c r="H28" s="22">
        <f>IF(6&gt;='Control Tower'!$B$90,'Control Tower'!$B$89/12*(1+'Control Tower'!$B$57)^0*(1+'Control Tower'!$B$39),0)</f>
        <v/>
      </c>
      <c r="I28" s="22">
        <f>IF(7&gt;='Control Tower'!$B$90,'Control Tower'!$B$89/12*(1+'Control Tower'!$B$57)^0*(1+'Control Tower'!$B$39),0)</f>
        <v/>
      </c>
      <c r="J28" s="22">
        <f>IF(8&gt;='Control Tower'!$B$90,'Control Tower'!$B$89/12*(1+'Control Tower'!$B$57)^0*(1+'Control Tower'!$B$39),0)</f>
        <v/>
      </c>
      <c r="K28" s="22">
        <f>IF(9&gt;='Control Tower'!$B$90,'Control Tower'!$B$89/12*(1+'Control Tower'!$B$57)^0*(1+'Control Tower'!$B$39),0)</f>
        <v/>
      </c>
      <c r="L28" s="22">
        <f>IF(10&gt;='Control Tower'!$B$90,'Control Tower'!$B$89/12*(1+'Control Tower'!$B$57)^0*(1+'Control Tower'!$B$39),0)</f>
        <v/>
      </c>
      <c r="M28" s="22">
        <f>IF(11&gt;='Control Tower'!$B$90,'Control Tower'!$B$89/12*(1+'Control Tower'!$B$57)^0*(1+'Control Tower'!$B$39),0)</f>
        <v/>
      </c>
      <c r="N28" s="22">
        <f>IF(12&gt;='Control Tower'!$B$90,'Control Tower'!$B$89/12*(1+'Control Tower'!$B$57)^0*(1+'Control Tower'!$B$39),0)</f>
        <v/>
      </c>
      <c r="O28" s="22">
        <f>IF(13&gt;='Control Tower'!$B$90,'Control Tower'!$B$89/12*(1+'Control Tower'!$B$57)^1*(1+'Control Tower'!$B$39),0)</f>
        <v/>
      </c>
      <c r="P28" s="22">
        <f>IF(14&gt;='Control Tower'!$B$90,'Control Tower'!$B$89/12*(1+'Control Tower'!$B$57)^1*(1+'Control Tower'!$B$39),0)</f>
        <v/>
      </c>
      <c r="Q28" s="22">
        <f>IF(15&gt;='Control Tower'!$B$90,'Control Tower'!$B$89/12*(1+'Control Tower'!$B$57)^1*(1+'Control Tower'!$B$39),0)</f>
        <v/>
      </c>
      <c r="R28" s="22">
        <f>IF(16&gt;='Control Tower'!$B$90,'Control Tower'!$B$89/12*(1+'Control Tower'!$B$57)^1*(1+'Control Tower'!$B$39),0)</f>
        <v/>
      </c>
      <c r="S28" s="22">
        <f>IF(17&gt;='Control Tower'!$B$90,'Control Tower'!$B$89/12*(1+'Control Tower'!$B$57)^1*(1+'Control Tower'!$B$39),0)</f>
        <v/>
      </c>
      <c r="T28" s="22">
        <f>IF(18&gt;='Control Tower'!$B$90,'Control Tower'!$B$89/12*(1+'Control Tower'!$B$57)^1*(1+'Control Tower'!$B$39),0)</f>
        <v/>
      </c>
      <c r="U28" s="22">
        <f>IF(19&gt;='Control Tower'!$B$90,'Control Tower'!$B$89/12*(1+'Control Tower'!$B$57)^1*(1+'Control Tower'!$B$39),0)</f>
        <v/>
      </c>
      <c r="V28" s="22">
        <f>IF(20&gt;='Control Tower'!$B$90,'Control Tower'!$B$89/12*(1+'Control Tower'!$B$57)^1*(1+'Control Tower'!$B$39),0)</f>
        <v/>
      </c>
      <c r="W28" s="22">
        <f>IF(21&gt;='Control Tower'!$B$90,'Control Tower'!$B$89/12*(1+'Control Tower'!$B$57)^1*(1+'Control Tower'!$B$39),0)</f>
        <v/>
      </c>
      <c r="X28" s="22">
        <f>IF(22&gt;='Control Tower'!$B$90,'Control Tower'!$B$89/12*(1+'Control Tower'!$B$57)^1*(1+'Control Tower'!$B$39),0)</f>
        <v/>
      </c>
      <c r="Y28" s="22">
        <f>IF(23&gt;='Control Tower'!$B$90,'Control Tower'!$B$89/12*(1+'Control Tower'!$B$57)^1*(1+'Control Tower'!$B$39),0)</f>
        <v/>
      </c>
      <c r="Z28" s="22">
        <f>IF(24&gt;='Control Tower'!$B$90,'Control Tower'!$B$89/12*(1+'Control Tower'!$B$57)^1*(1+'Control Tower'!$B$39),0)</f>
        <v/>
      </c>
      <c r="AA28" s="22">
        <f>IF(25&gt;='Control Tower'!$B$90,'Control Tower'!$B$89/12*(1+'Control Tower'!$B$57)^2*(1+'Control Tower'!$B$39),0)</f>
        <v/>
      </c>
      <c r="AB28" s="22">
        <f>IF(26&gt;='Control Tower'!$B$90,'Control Tower'!$B$89/12*(1+'Control Tower'!$B$57)^2*(1+'Control Tower'!$B$39),0)</f>
        <v/>
      </c>
      <c r="AC28" s="22">
        <f>IF(27&gt;='Control Tower'!$B$90,'Control Tower'!$B$89/12*(1+'Control Tower'!$B$57)^2*(1+'Control Tower'!$B$39),0)</f>
        <v/>
      </c>
      <c r="AD28" s="22">
        <f>IF(28&gt;='Control Tower'!$B$90,'Control Tower'!$B$89/12*(1+'Control Tower'!$B$57)^2*(1+'Control Tower'!$B$39),0)</f>
        <v/>
      </c>
      <c r="AE28" s="22">
        <f>IF(29&gt;='Control Tower'!$B$90,'Control Tower'!$B$89/12*(1+'Control Tower'!$B$57)^2*(1+'Control Tower'!$B$39),0)</f>
        <v/>
      </c>
      <c r="AF28" s="22">
        <f>IF(30&gt;='Control Tower'!$B$90,'Control Tower'!$B$89/12*(1+'Control Tower'!$B$57)^2*(1+'Control Tower'!$B$39),0)</f>
        <v/>
      </c>
      <c r="AG28" s="22">
        <f>IF(31&gt;='Control Tower'!$B$90,'Control Tower'!$B$89/12*(1+'Control Tower'!$B$57)^2*(1+'Control Tower'!$B$39),0)</f>
        <v/>
      </c>
      <c r="AH28" s="22">
        <f>IF(32&gt;='Control Tower'!$B$90,'Control Tower'!$B$89/12*(1+'Control Tower'!$B$57)^2*(1+'Control Tower'!$B$39),0)</f>
        <v/>
      </c>
      <c r="AI28" s="22">
        <f>IF(33&gt;='Control Tower'!$B$90,'Control Tower'!$B$89/12*(1+'Control Tower'!$B$57)^2*(1+'Control Tower'!$B$39),0)</f>
        <v/>
      </c>
      <c r="AJ28" s="22">
        <f>IF(34&gt;='Control Tower'!$B$90,'Control Tower'!$B$89/12*(1+'Control Tower'!$B$57)^2*(1+'Control Tower'!$B$39),0)</f>
        <v/>
      </c>
      <c r="AK28" s="22">
        <f>IF(35&gt;='Control Tower'!$B$90,'Control Tower'!$B$89/12*(1+'Control Tower'!$B$57)^2*(1+'Control Tower'!$B$39),0)</f>
        <v/>
      </c>
      <c r="AL28" s="22">
        <f>IF(36&gt;='Control Tower'!$B$90,'Control Tower'!$B$89/12*(1+'Control Tower'!$B$57)^2*(1+'Control Tower'!$B$39),0)</f>
        <v/>
      </c>
    </row>
    <row r="29">
      <c r="A29" s="4" t="inlineStr">
        <is>
          <t>Volunteer + Bereavement Coordinator (4000-0-A-0)</t>
        </is>
      </c>
      <c r="C29" s="22">
        <f>IF(1&gt;='Control Tower'!$B$92,'Control Tower'!$B$91/12*(1+'Control Tower'!$B$57)^0*(1+'Control Tower'!$B$39),0)</f>
        <v/>
      </c>
      <c r="D29" s="22">
        <f>IF(2&gt;='Control Tower'!$B$92,'Control Tower'!$B$91/12*(1+'Control Tower'!$B$57)^0*(1+'Control Tower'!$B$39),0)</f>
        <v/>
      </c>
      <c r="E29" s="22">
        <f>IF(3&gt;='Control Tower'!$B$92,'Control Tower'!$B$91/12*(1+'Control Tower'!$B$57)^0*(1+'Control Tower'!$B$39),0)</f>
        <v/>
      </c>
      <c r="F29" s="22">
        <f>IF(4&gt;='Control Tower'!$B$92,'Control Tower'!$B$91/12*(1+'Control Tower'!$B$57)^0*(1+'Control Tower'!$B$39),0)</f>
        <v/>
      </c>
      <c r="G29" s="22">
        <f>IF(5&gt;='Control Tower'!$B$92,'Control Tower'!$B$91/12*(1+'Control Tower'!$B$57)^0*(1+'Control Tower'!$B$39),0)</f>
        <v/>
      </c>
      <c r="H29" s="22">
        <f>IF(6&gt;='Control Tower'!$B$92,'Control Tower'!$B$91/12*(1+'Control Tower'!$B$57)^0*(1+'Control Tower'!$B$39),0)</f>
        <v/>
      </c>
      <c r="I29" s="22">
        <f>IF(7&gt;='Control Tower'!$B$92,'Control Tower'!$B$91/12*(1+'Control Tower'!$B$57)^0*(1+'Control Tower'!$B$39),0)</f>
        <v/>
      </c>
      <c r="J29" s="22">
        <f>IF(8&gt;='Control Tower'!$B$92,'Control Tower'!$B$91/12*(1+'Control Tower'!$B$57)^0*(1+'Control Tower'!$B$39),0)</f>
        <v/>
      </c>
      <c r="K29" s="22">
        <f>IF(9&gt;='Control Tower'!$B$92,'Control Tower'!$B$91/12*(1+'Control Tower'!$B$57)^0*(1+'Control Tower'!$B$39),0)</f>
        <v/>
      </c>
      <c r="L29" s="22">
        <f>IF(10&gt;='Control Tower'!$B$92,'Control Tower'!$B$91/12*(1+'Control Tower'!$B$57)^0*(1+'Control Tower'!$B$39),0)</f>
        <v/>
      </c>
      <c r="M29" s="22">
        <f>IF(11&gt;='Control Tower'!$B$92,'Control Tower'!$B$91/12*(1+'Control Tower'!$B$57)^0*(1+'Control Tower'!$B$39),0)</f>
        <v/>
      </c>
      <c r="N29" s="22">
        <f>IF(12&gt;='Control Tower'!$B$92,'Control Tower'!$B$91/12*(1+'Control Tower'!$B$57)^0*(1+'Control Tower'!$B$39),0)</f>
        <v/>
      </c>
      <c r="O29" s="22">
        <f>IF(13&gt;='Control Tower'!$B$92,'Control Tower'!$B$91/12*(1+'Control Tower'!$B$57)^1*(1+'Control Tower'!$B$39),0)</f>
        <v/>
      </c>
      <c r="P29" s="22">
        <f>IF(14&gt;='Control Tower'!$B$92,'Control Tower'!$B$91/12*(1+'Control Tower'!$B$57)^1*(1+'Control Tower'!$B$39),0)</f>
        <v/>
      </c>
      <c r="Q29" s="22">
        <f>IF(15&gt;='Control Tower'!$B$92,'Control Tower'!$B$91/12*(1+'Control Tower'!$B$57)^1*(1+'Control Tower'!$B$39),0)</f>
        <v/>
      </c>
      <c r="R29" s="22">
        <f>IF(16&gt;='Control Tower'!$B$92,'Control Tower'!$B$91/12*(1+'Control Tower'!$B$57)^1*(1+'Control Tower'!$B$39),0)</f>
        <v/>
      </c>
      <c r="S29" s="22">
        <f>IF(17&gt;='Control Tower'!$B$92,'Control Tower'!$B$91/12*(1+'Control Tower'!$B$57)^1*(1+'Control Tower'!$B$39),0)</f>
        <v/>
      </c>
      <c r="T29" s="22">
        <f>IF(18&gt;='Control Tower'!$B$92,'Control Tower'!$B$91/12*(1+'Control Tower'!$B$57)^1*(1+'Control Tower'!$B$39),0)</f>
        <v/>
      </c>
      <c r="U29" s="22">
        <f>IF(19&gt;='Control Tower'!$B$92,'Control Tower'!$B$91/12*(1+'Control Tower'!$B$57)^1*(1+'Control Tower'!$B$39),0)</f>
        <v/>
      </c>
      <c r="V29" s="22">
        <f>IF(20&gt;='Control Tower'!$B$92,'Control Tower'!$B$91/12*(1+'Control Tower'!$B$57)^1*(1+'Control Tower'!$B$39),0)</f>
        <v/>
      </c>
      <c r="W29" s="22">
        <f>IF(21&gt;='Control Tower'!$B$92,'Control Tower'!$B$91/12*(1+'Control Tower'!$B$57)^1*(1+'Control Tower'!$B$39),0)</f>
        <v/>
      </c>
      <c r="X29" s="22">
        <f>IF(22&gt;='Control Tower'!$B$92,'Control Tower'!$B$91/12*(1+'Control Tower'!$B$57)^1*(1+'Control Tower'!$B$39),0)</f>
        <v/>
      </c>
      <c r="Y29" s="22">
        <f>IF(23&gt;='Control Tower'!$B$92,'Control Tower'!$B$91/12*(1+'Control Tower'!$B$57)^1*(1+'Control Tower'!$B$39),0)</f>
        <v/>
      </c>
      <c r="Z29" s="22">
        <f>IF(24&gt;='Control Tower'!$B$92,'Control Tower'!$B$91/12*(1+'Control Tower'!$B$57)^1*(1+'Control Tower'!$B$39),0)</f>
        <v/>
      </c>
      <c r="AA29" s="22">
        <f>IF(25&gt;='Control Tower'!$B$92,'Control Tower'!$B$91/12*(1+'Control Tower'!$B$57)^2*(1+'Control Tower'!$B$39),0)</f>
        <v/>
      </c>
      <c r="AB29" s="22">
        <f>IF(26&gt;='Control Tower'!$B$92,'Control Tower'!$B$91/12*(1+'Control Tower'!$B$57)^2*(1+'Control Tower'!$B$39),0)</f>
        <v/>
      </c>
      <c r="AC29" s="22">
        <f>IF(27&gt;='Control Tower'!$B$92,'Control Tower'!$B$91/12*(1+'Control Tower'!$B$57)^2*(1+'Control Tower'!$B$39),0)</f>
        <v/>
      </c>
      <c r="AD29" s="22">
        <f>IF(28&gt;='Control Tower'!$B$92,'Control Tower'!$B$91/12*(1+'Control Tower'!$B$57)^2*(1+'Control Tower'!$B$39),0)</f>
        <v/>
      </c>
      <c r="AE29" s="22">
        <f>IF(29&gt;='Control Tower'!$B$92,'Control Tower'!$B$91/12*(1+'Control Tower'!$B$57)^2*(1+'Control Tower'!$B$39),0)</f>
        <v/>
      </c>
      <c r="AF29" s="22">
        <f>IF(30&gt;='Control Tower'!$B$92,'Control Tower'!$B$91/12*(1+'Control Tower'!$B$57)^2*(1+'Control Tower'!$B$39),0)</f>
        <v/>
      </c>
      <c r="AG29" s="22">
        <f>IF(31&gt;='Control Tower'!$B$92,'Control Tower'!$B$91/12*(1+'Control Tower'!$B$57)^2*(1+'Control Tower'!$B$39),0)</f>
        <v/>
      </c>
      <c r="AH29" s="22">
        <f>IF(32&gt;='Control Tower'!$B$92,'Control Tower'!$B$91/12*(1+'Control Tower'!$B$57)^2*(1+'Control Tower'!$B$39),0)</f>
        <v/>
      </c>
      <c r="AI29" s="22">
        <f>IF(33&gt;='Control Tower'!$B$92,'Control Tower'!$B$91/12*(1+'Control Tower'!$B$57)^2*(1+'Control Tower'!$B$39),0)</f>
        <v/>
      </c>
      <c r="AJ29" s="22">
        <f>IF(34&gt;='Control Tower'!$B$92,'Control Tower'!$B$91/12*(1+'Control Tower'!$B$57)^2*(1+'Control Tower'!$B$39),0)</f>
        <v/>
      </c>
      <c r="AK29" s="22">
        <f>IF(35&gt;='Control Tower'!$B$92,'Control Tower'!$B$91/12*(1+'Control Tower'!$B$57)^2*(1+'Control Tower'!$B$39),0)</f>
        <v/>
      </c>
      <c r="AL29" s="22">
        <f>IF(36&gt;='Control Tower'!$B$92,'Control Tower'!$B$91/12*(1+'Control Tower'!$B$57)^2*(1+'Control Tower'!$B$39),0)</f>
        <v/>
      </c>
    </row>
    <row r="30">
      <c r="A30" s="4" t="inlineStr">
        <is>
          <t>QAPI / Compliance 0.5 FTE (begins at ADC threshold)</t>
        </is>
      </c>
      <c r="C30" s="22">
        <f>IF('Census Waterfall'!C11&gt;='Control Tower'!$B$94,0.5*'Control Tower'!$B$93/12*(1+'Control Tower'!$B$57)^0*(1+'Control Tower'!$B$39),0)</f>
        <v/>
      </c>
      <c r="D30" s="22">
        <f>IF('Census Waterfall'!D11&gt;='Control Tower'!$B$94,0.5*'Control Tower'!$B$93/12*(1+'Control Tower'!$B$57)^0*(1+'Control Tower'!$B$39),0)</f>
        <v/>
      </c>
      <c r="E30" s="22">
        <f>IF('Census Waterfall'!E11&gt;='Control Tower'!$B$94,0.5*'Control Tower'!$B$93/12*(1+'Control Tower'!$B$57)^0*(1+'Control Tower'!$B$39),0)</f>
        <v/>
      </c>
      <c r="F30" s="22">
        <f>IF('Census Waterfall'!F11&gt;='Control Tower'!$B$94,0.5*'Control Tower'!$B$93/12*(1+'Control Tower'!$B$57)^0*(1+'Control Tower'!$B$39),0)</f>
        <v/>
      </c>
      <c r="G30" s="22">
        <f>IF('Census Waterfall'!G11&gt;='Control Tower'!$B$94,0.5*'Control Tower'!$B$93/12*(1+'Control Tower'!$B$57)^0*(1+'Control Tower'!$B$39),0)</f>
        <v/>
      </c>
      <c r="H30" s="22">
        <f>IF('Census Waterfall'!H11&gt;='Control Tower'!$B$94,0.5*'Control Tower'!$B$93/12*(1+'Control Tower'!$B$57)^0*(1+'Control Tower'!$B$39),0)</f>
        <v/>
      </c>
      <c r="I30" s="22">
        <f>IF('Census Waterfall'!I11&gt;='Control Tower'!$B$94,0.5*'Control Tower'!$B$93/12*(1+'Control Tower'!$B$57)^0*(1+'Control Tower'!$B$39),0)</f>
        <v/>
      </c>
      <c r="J30" s="22">
        <f>IF('Census Waterfall'!J11&gt;='Control Tower'!$B$94,0.5*'Control Tower'!$B$93/12*(1+'Control Tower'!$B$57)^0*(1+'Control Tower'!$B$39),0)</f>
        <v/>
      </c>
      <c r="K30" s="22">
        <f>IF('Census Waterfall'!K11&gt;='Control Tower'!$B$94,0.5*'Control Tower'!$B$93/12*(1+'Control Tower'!$B$57)^0*(1+'Control Tower'!$B$39),0)</f>
        <v/>
      </c>
      <c r="L30" s="22">
        <f>IF('Census Waterfall'!L11&gt;='Control Tower'!$B$94,0.5*'Control Tower'!$B$93/12*(1+'Control Tower'!$B$57)^0*(1+'Control Tower'!$B$39),0)</f>
        <v/>
      </c>
      <c r="M30" s="22">
        <f>IF('Census Waterfall'!M11&gt;='Control Tower'!$B$94,0.5*'Control Tower'!$B$93/12*(1+'Control Tower'!$B$57)^0*(1+'Control Tower'!$B$39),0)</f>
        <v/>
      </c>
      <c r="N30" s="22">
        <f>IF('Census Waterfall'!N11&gt;='Control Tower'!$B$94,0.5*'Control Tower'!$B$93/12*(1+'Control Tower'!$B$57)^0*(1+'Control Tower'!$B$39),0)</f>
        <v/>
      </c>
      <c r="O30" s="22">
        <f>IF('Census Waterfall'!O11&gt;='Control Tower'!$B$94,0.5*'Control Tower'!$B$93/12*(1+'Control Tower'!$B$57)^1*(1+'Control Tower'!$B$39),0)</f>
        <v/>
      </c>
      <c r="P30" s="22">
        <f>IF('Census Waterfall'!P11&gt;='Control Tower'!$B$94,0.5*'Control Tower'!$B$93/12*(1+'Control Tower'!$B$57)^1*(1+'Control Tower'!$B$39),0)</f>
        <v/>
      </c>
      <c r="Q30" s="22">
        <f>IF('Census Waterfall'!Q11&gt;='Control Tower'!$B$94,0.5*'Control Tower'!$B$93/12*(1+'Control Tower'!$B$57)^1*(1+'Control Tower'!$B$39),0)</f>
        <v/>
      </c>
      <c r="R30" s="22">
        <f>IF('Census Waterfall'!R11&gt;='Control Tower'!$B$94,0.5*'Control Tower'!$B$93/12*(1+'Control Tower'!$B$57)^1*(1+'Control Tower'!$B$39),0)</f>
        <v/>
      </c>
      <c r="S30" s="22">
        <f>IF('Census Waterfall'!S11&gt;='Control Tower'!$B$94,0.5*'Control Tower'!$B$93/12*(1+'Control Tower'!$B$57)^1*(1+'Control Tower'!$B$39),0)</f>
        <v/>
      </c>
      <c r="T30" s="22">
        <f>IF('Census Waterfall'!T11&gt;='Control Tower'!$B$94,0.5*'Control Tower'!$B$93/12*(1+'Control Tower'!$B$57)^1*(1+'Control Tower'!$B$39),0)</f>
        <v/>
      </c>
      <c r="U30" s="22">
        <f>IF('Census Waterfall'!U11&gt;='Control Tower'!$B$94,0.5*'Control Tower'!$B$93/12*(1+'Control Tower'!$B$57)^1*(1+'Control Tower'!$B$39),0)</f>
        <v/>
      </c>
      <c r="V30" s="22">
        <f>IF('Census Waterfall'!V11&gt;='Control Tower'!$B$94,0.5*'Control Tower'!$B$93/12*(1+'Control Tower'!$B$57)^1*(1+'Control Tower'!$B$39),0)</f>
        <v/>
      </c>
      <c r="W30" s="22">
        <f>IF('Census Waterfall'!W11&gt;='Control Tower'!$B$94,0.5*'Control Tower'!$B$93/12*(1+'Control Tower'!$B$57)^1*(1+'Control Tower'!$B$39),0)</f>
        <v/>
      </c>
      <c r="X30" s="22">
        <f>IF('Census Waterfall'!X11&gt;='Control Tower'!$B$94,0.5*'Control Tower'!$B$93/12*(1+'Control Tower'!$B$57)^1*(1+'Control Tower'!$B$39),0)</f>
        <v/>
      </c>
      <c r="Y30" s="22">
        <f>IF('Census Waterfall'!Y11&gt;='Control Tower'!$B$94,0.5*'Control Tower'!$B$93/12*(1+'Control Tower'!$B$57)^1*(1+'Control Tower'!$B$39),0)</f>
        <v/>
      </c>
      <c r="Z30" s="22">
        <f>IF('Census Waterfall'!Z11&gt;='Control Tower'!$B$94,0.5*'Control Tower'!$B$93/12*(1+'Control Tower'!$B$57)^1*(1+'Control Tower'!$B$39),0)</f>
        <v/>
      </c>
      <c r="AA30" s="22">
        <f>IF('Census Waterfall'!AA11&gt;='Control Tower'!$B$94,0.5*'Control Tower'!$B$93/12*(1+'Control Tower'!$B$57)^2*(1+'Control Tower'!$B$39),0)</f>
        <v/>
      </c>
      <c r="AB30" s="22">
        <f>IF('Census Waterfall'!AB11&gt;='Control Tower'!$B$94,0.5*'Control Tower'!$B$93/12*(1+'Control Tower'!$B$57)^2*(1+'Control Tower'!$B$39),0)</f>
        <v/>
      </c>
      <c r="AC30" s="22">
        <f>IF('Census Waterfall'!AC11&gt;='Control Tower'!$B$94,0.5*'Control Tower'!$B$93/12*(1+'Control Tower'!$B$57)^2*(1+'Control Tower'!$B$39),0)</f>
        <v/>
      </c>
      <c r="AD30" s="22">
        <f>IF('Census Waterfall'!AD11&gt;='Control Tower'!$B$94,0.5*'Control Tower'!$B$93/12*(1+'Control Tower'!$B$57)^2*(1+'Control Tower'!$B$39),0)</f>
        <v/>
      </c>
      <c r="AE30" s="22">
        <f>IF('Census Waterfall'!AE11&gt;='Control Tower'!$B$94,0.5*'Control Tower'!$B$93/12*(1+'Control Tower'!$B$57)^2*(1+'Control Tower'!$B$39),0)</f>
        <v/>
      </c>
      <c r="AF30" s="22">
        <f>IF('Census Waterfall'!AF11&gt;='Control Tower'!$B$94,0.5*'Control Tower'!$B$93/12*(1+'Control Tower'!$B$57)^2*(1+'Control Tower'!$B$39),0)</f>
        <v/>
      </c>
      <c r="AG30" s="22">
        <f>IF('Census Waterfall'!AG11&gt;='Control Tower'!$B$94,0.5*'Control Tower'!$B$93/12*(1+'Control Tower'!$B$57)^2*(1+'Control Tower'!$B$39),0)</f>
        <v/>
      </c>
      <c r="AH30" s="22">
        <f>IF('Census Waterfall'!AH11&gt;='Control Tower'!$B$94,0.5*'Control Tower'!$B$93/12*(1+'Control Tower'!$B$57)^2*(1+'Control Tower'!$B$39),0)</f>
        <v/>
      </c>
      <c r="AI30" s="22">
        <f>IF('Census Waterfall'!AI11&gt;='Control Tower'!$B$94,0.5*'Control Tower'!$B$93/12*(1+'Control Tower'!$B$57)^2*(1+'Control Tower'!$B$39),0)</f>
        <v/>
      </c>
      <c r="AJ30" s="22">
        <f>IF('Census Waterfall'!AJ11&gt;='Control Tower'!$B$94,0.5*'Control Tower'!$B$93/12*(1+'Control Tower'!$B$57)^2*(1+'Control Tower'!$B$39),0)</f>
        <v/>
      </c>
      <c r="AK30" s="22">
        <f>IF('Census Waterfall'!AK11&gt;='Control Tower'!$B$94,0.5*'Control Tower'!$B$93/12*(1+'Control Tower'!$B$57)^2*(1+'Control Tower'!$B$39),0)</f>
        <v/>
      </c>
      <c r="AL30" s="22">
        <f>IF('Census Waterfall'!AL11&gt;='Control Tower'!$B$94,0.5*'Control Tower'!$B$93/12*(1+'Control Tower'!$B$57)^2*(1+'Control Tower'!$B$39),0)</f>
        <v/>
      </c>
    </row>
    <row r="31">
      <c r="A31" s="10" t="inlineStr">
        <is>
          <t>Indirect employed wages</t>
        </is>
      </c>
      <c r="C31" s="23">
        <f>C25+C26+C27+C28+C29+C30</f>
        <v/>
      </c>
      <c r="D31" s="23">
        <f>D25+D26+D27+D28+D29+D30</f>
        <v/>
      </c>
      <c r="E31" s="23">
        <f>E25+E26+E27+E28+E29+E30</f>
        <v/>
      </c>
      <c r="F31" s="23">
        <f>F25+F26+F27+F28+F29+F30</f>
        <v/>
      </c>
      <c r="G31" s="23">
        <f>G25+G26+G27+G28+G29+G30</f>
        <v/>
      </c>
      <c r="H31" s="23">
        <f>H25+H26+H27+H28+H29+H30</f>
        <v/>
      </c>
      <c r="I31" s="23">
        <f>I25+I26+I27+I28+I29+I30</f>
        <v/>
      </c>
      <c r="J31" s="23">
        <f>J25+J26+J27+J28+J29+J30</f>
        <v/>
      </c>
      <c r="K31" s="23">
        <f>K25+K26+K27+K28+K29+K30</f>
        <v/>
      </c>
      <c r="L31" s="23">
        <f>L25+L26+L27+L28+L29+L30</f>
        <v/>
      </c>
      <c r="M31" s="23">
        <f>M25+M26+M27+M28+M29+M30</f>
        <v/>
      </c>
      <c r="N31" s="23">
        <f>N25+N26+N27+N28+N29+N30</f>
        <v/>
      </c>
      <c r="O31" s="23">
        <f>O25+O26+O27+O28+O29+O30</f>
        <v/>
      </c>
      <c r="P31" s="23">
        <f>P25+P26+P27+P28+P29+P30</f>
        <v/>
      </c>
      <c r="Q31" s="23">
        <f>Q25+Q26+Q27+Q28+Q29+Q30</f>
        <v/>
      </c>
      <c r="R31" s="23">
        <f>R25+R26+R27+R28+R29+R30</f>
        <v/>
      </c>
      <c r="S31" s="23">
        <f>S25+S26+S27+S28+S29+S30</f>
        <v/>
      </c>
      <c r="T31" s="23">
        <f>T25+T26+T27+T28+T29+T30</f>
        <v/>
      </c>
      <c r="U31" s="23">
        <f>U25+U26+U27+U28+U29+U30</f>
        <v/>
      </c>
      <c r="V31" s="23">
        <f>V25+V26+V27+V28+V29+V30</f>
        <v/>
      </c>
      <c r="W31" s="23">
        <f>W25+W26+W27+W28+W29+W30</f>
        <v/>
      </c>
      <c r="X31" s="23">
        <f>X25+X26+X27+X28+X29+X30</f>
        <v/>
      </c>
      <c r="Y31" s="23">
        <f>Y25+Y26+Y27+Y28+Y29+Y30</f>
        <v/>
      </c>
      <c r="Z31" s="23">
        <f>Z25+Z26+Z27+Z28+Z29+Z30</f>
        <v/>
      </c>
      <c r="AA31" s="23">
        <f>AA25+AA26+AA27+AA28+AA29+AA30</f>
        <v/>
      </c>
      <c r="AB31" s="23">
        <f>AB25+AB26+AB27+AB28+AB29+AB30</f>
        <v/>
      </c>
      <c r="AC31" s="23">
        <f>AC25+AC26+AC27+AC28+AC29+AC30</f>
        <v/>
      </c>
      <c r="AD31" s="23">
        <f>AD25+AD26+AD27+AD28+AD29+AD30</f>
        <v/>
      </c>
      <c r="AE31" s="23">
        <f>AE25+AE26+AE27+AE28+AE29+AE30</f>
        <v/>
      </c>
      <c r="AF31" s="23">
        <f>AF25+AF26+AF27+AF28+AF29+AF30</f>
        <v/>
      </c>
      <c r="AG31" s="23">
        <f>AG25+AG26+AG27+AG28+AG29+AG30</f>
        <v/>
      </c>
      <c r="AH31" s="23">
        <f>AH25+AH26+AH27+AH28+AH29+AH30</f>
        <v/>
      </c>
      <c r="AI31" s="23">
        <f>AI25+AI26+AI27+AI28+AI29+AI30</f>
        <v/>
      </c>
      <c r="AJ31" s="23">
        <f>AJ25+AJ26+AJ27+AJ28+AJ29+AJ30</f>
        <v/>
      </c>
      <c r="AK31" s="23">
        <f>AK25+AK26+AK27+AK28+AK29+AK30</f>
        <v/>
      </c>
      <c r="AL31" s="23">
        <f>AL25+AL26+AL27+AL28+AL29+AL30</f>
        <v/>
      </c>
    </row>
    <row r="32">
      <c r="A32" s="3" t="inlineStr">
        <is>
          <t>LOADS (employed wages only - Acct 4110/4120/4130)</t>
        </is>
      </c>
    </row>
    <row r="33">
      <c r="A33" s="4" t="inlineStr">
        <is>
          <t>Clinical benefits load</t>
        </is>
      </c>
      <c r="C33" s="22">
        <f>C15*'Control Tower'!$B$55</f>
        <v/>
      </c>
      <c r="D33" s="22">
        <f>D15*'Control Tower'!$B$55</f>
        <v/>
      </c>
      <c r="E33" s="22">
        <f>E15*'Control Tower'!$B$55</f>
        <v/>
      </c>
      <c r="F33" s="22">
        <f>F15*'Control Tower'!$B$55</f>
        <v/>
      </c>
      <c r="G33" s="22">
        <f>G15*'Control Tower'!$B$55</f>
        <v/>
      </c>
      <c r="H33" s="22">
        <f>H15*'Control Tower'!$B$55</f>
        <v/>
      </c>
      <c r="I33" s="22">
        <f>I15*'Control Tower'!$B$55</f>
        <v/>
      </c>
      <c r="J33" s="22">
        <f>J15*'Control Tower'!$B$55</f>
        <v/>
      </c>
      <c r="K33" s="22">
        <f>K15*'Control Tower'!$B$55</f>
        <v/>
      </c>
      <c r="L33" s="22">
        <f>L15*'Control Tower'!$B$55</f>
        <v/>
      </c>
      <c r="M33" s="22">
        <f>M15*'Control Tower'!$B$55</f>
        <v/>
      </c>
      <c r="N33" s="22">
        <f>N15*'Control Tower'!$B$55</f>
        <v/>
      </c>
      <c r="O33" s="22">
        <f>O15*'Control Tower'!$B$55</f>
        <v/>
      </c>
      <c r="P33" s="22">
        <f>P15*'Control Tower'!$B$55</f>
        <v/>
      </c>
      <c r="Q33" s="22">
        <f>Q15*'Control Tower'!$B$55</f>
        <v/>
      </c>
      <c r="R33" s="22">
        <f>R15*'Control Tower'!$B$55</f>
        <v/>
      </c>
      <c r="S33" s="22">
        <f>S15*'Control Tower'!$B$55</f>
        <v/>
      </c>
      <c r="T33" s="22">
        <f>T15*'Control Tower'!$B$55</f>
        <v/>
      </c>
      <c r="U33" s="22">
        <f>U15*'Control Tower'!$B$55</f>
        <v/>
      </c>
      <c r="V33" s="22">
        <f>V15*'Control Tower'!$B$55</f>
        <v/>
      </c>
      <c r="W33" s="22">
        <f>W15*'Control Tower'!$B$55</f>
        <v/>
      </c>
      <c r="X33" s="22">
        <f>X15*'Control Tower'!$B$55</f>
        <v/>
      </c>
      <c r="Y33" s="22">
        <f>Y15*'Control Tower'!$B$55</f>
        <v/>
      </c>
      <c r="Z33" s="22">
        <f>Z15*'Control Tower'!$B$55</f>
        <v/>
      </c>
      <c r="AA33" s="22">
        <f>AA15*'Control Tower'!$B$55</f>
        <v/>
      </c>
      <c r="AB33" s="22">
        <f>AB15*'Control Tower'!$B$55</f>
        <v/>
      </c>
      <c r="AC33" s="22">
        <f>AC15*'Control Tower'!$B$55</f>
        <v/>
      </c>
      <c r="AD33" s="22">
        <f>AD15*'Control Tower'!$B$55</f>
        <v/>
      </c>
      <c r="AE33" s="22">
        <f>AE15*'Control Tower'!$B$55</f>
        <v/>
      </c>
      <c r="AF33" s="22">
        <f>AF15*'Control Tower'!$B$55</f>
        <v/>
      </c>
      <c r="AG33" s="22">
        <f>AG15*'Control Tower'!$B$55</f>
        <v/>
      </c>
      <c r="AH33" s="22">
        <f>AH15*'Control Tower'!$B$55</f>
        <v/>
      </c>
      <c r="AI33" s="22">
        <f>AI15*'Control Tower'!$B$55</f>
        <v/>
      </c>
      <c r="AJ33" s="22">
        <f>AJ15*'Control Tower'!$B$55</f>
        <v/>
      </c>
      <c r="AK33" s="22">
        <f>AK15*'Control Tower'!$B$55</f>
        <v/>
      </c>
      <c r="AL33" s="22">
        <f>AL15*'Control Tower'!$B$55</f>
        <v/>
      </c>
    </row>
    <row r="34">
      <c r="A34" s="4" t="inlineStr">
        <is>
          <t>Clinical workers comp</t>
        </is>
      </c>
      <c r="C34" s="22">
        <f>C15*'Control Tower'!$B$56</f>
        <v/>
      </c>
      <c r="D34" s="22">
        <f>D15*'Control Tower'!$B$56</f>
        <v/>
      </c>
      <c r="E34" s="22">
        <f>E15*'Control Tower'!$B$56</f>
        <v/>
      </c>
      <c r="F34" s="22">
        <f>F15*'Control Tower'!$B$56</f>
        <v/>
      </c>
      <c r="G34" s="22">
        <f>G15*'Control Tower'!$B$56</f>
        <v/>
      </c>
      <c r="H34" s="22">
        <f>H15*'Control Tower'!$B$56</f>
        <v/>
      </c>
      <c r="I34" s="22">
        <f>I15*'Control Tower'!$B$56</f>
        <v/>
      </c>
      <c r="J34" s="22">
        <f>J15*'Control Tower'!$B$56</f>
        <v/>
      </c>
      <c r="K34" s="22">
        <f>K15*'Control Tower'!$B$56</f>
        <v/>
      </c>
      <c r="L34" s="22">
        <f>L15*'Control Tower'!$B$56</f>
        <v/>
      </c>
      <c r="M34" s="22">
        <f>M15*'Control Tower'!$B$56</f>
        <v/>
      </c>
      <c r="N34" s="22">
        <f>N15*'Control Tower'!$B$56</f>
        <v/>
      </c>
      <c r="O34" s="22">
        <f>O15*'Control Tower'!$B$56</f>
        <v/>
      </c>
      <c r="P34" s="22">
        <f>P15*'Control Tower'!$B$56</f>
        <v/>
      </c>
      <c r="Q34" s="22">
        <f>Q15*'Control Tower'!$B$56</f>
        <v/>
      </c>
      <c r="R34" s="22">
        <f>R15*'Control Tower'!$B$56</f>
        <v/>
      </c>
      <c r="S34" s="22">
        <f>S15*'Control Tower'!$B$56</f>
        <v/>
      </c>
      <c r="T34" s="22">
        <f>T15*'Control Tower'!$B$56</f>
        <v/>
      </c>
      <c r="U34" s="22">
        <f>U15*'Control Tower'!$B$56</f>
        <v/>
      </c>
      <c r="V34" s="22">
        <f>V15*'Control Tower'!$B$56</f>
        <v/>
      </c>
      <c r="W34" s="22">
        <f>W15*'Control Tower'!$B$56</f>
        <v/>
      </c>
      <c r="X34" s="22">
        <f>X15*'Control Tower'!$B$56</f>
        <v/>
      </c>
      <c r="Y34" s="22">
        <f>Y15*'Control Tower'!$B$56</f>
        <v/>
      </c>
      <c r="Z34" s="22">
        <f>Z15*'Control Tower'!$B$56</f>
        <v/>
      </c>
      <c r="AA34" s="22">
        <f>AA15*'Control Tower'!$B$56</f>
        <v/>
      </c>
      <c r="AB34" s="22">
        <f>AB15*'Control Tower'!$B$56</f>
        <v/>
      </c>
      <c r="AC34" s="22">
        <f>AC15*'Control Tower'!$B$56</f>
        <v/>
      </c>
      <c r="AD34" s="22">
        <f>AD15*'Control Tower'!$B$56</f>
        <v/>
      </c>
      <c r="AE34" s="22">
        <f>AE15*'Control Tower'!$B$56</f>
        <v/>
      </c>
      <c r="AF34" s="22">
        <f>AF15*'Control Tower'!$B$56</f>
        <v/>
      </c>
      <c r="AG34" s="22">
        <f>AG15*'Control Tower'!$B$56</f>
        <v/>
      </c>
      <c r="AH34" s="22">
        <f>AH15*'Control Tower'!$B$56</f>
        <v/>
      </c>
      <c r="AI34" s="22">
        <f>AI15*'Control Tower'!$B$56</f>
        <v/>
      </c>
      <c r="AJ34" s="22">
        <f>AJ15*'Control Tower'!$B$56</f>
        <v/>
      </c>
      <c r="AK34" s="22">
        <f>AK15*'Control Tower'!$B$56</f>
        <v/>
      </c>
      <c r="AL34" s="22">
        <f>AL15*'Control Tower'!$B$56</f>
        <v/>
      </c>
    </row>
    <row r="35">
      <c r="A35" s="4" t="inlineStr">
        <is>
          <t>Indirect benefits load</t>
        </is>
      </c>
      <c r="C35" s="22">
        <f>C31*'Control Tower'!$B$55</f>
        <v/>
      </c>
      <c r="D35" s="22">
        <f>D31*'Control Tower'!$B$55</f>
        <v/>
      </c>
      <c r="E35" s="22">
        <f>E31*'Control Tower'!$B$55</f>
        <v/>
      </c>
      <c r="F35" s="22">
        <f>F31*'Control Tower'!$B$55</f>
        <v/>
      </c>
      <c r="G35" s="22">
        <f>G31*'Control Tower'!$B$55</f>
        <v/>
      </c>
      <c r="H35" s="22">
        <f>H31*'Control Tower'!$B$55</f>
        <v/>
      </c>
      <c r="I35" s="22">
        <f>I31*'Control Tower'!$B$55</f>
        <v/>
      </c>
      <c r="J35" s="22">
        <f>J31*'Control Tower'!$B$55</f>
        <v/>
      </c>
      <c r="K35" s="22">
        <f>K31*'Control Tower'!$B$55</f>
        <v/>
      </c>
      <c r="L35" s="22">
        <f>L31*'Control Tower'!$B$55</f>
        <v/>
      </c>
      <c r="M35" s="22">
        <f>M31*'Control Tower'!$B$55</f>
        <v/>
      </c>
      <c r="N35" s="22">
        <f>N31*'Control Tower'!$B$55</f>
        <v/>
      </c>
      <c r="O35" s="22">
        <f>O31*'Control Tower'!$B$55</f>
        <v/>
      </c>
      <c r="P35" s="22">
        <f>P31*'Control Tower'!$B$55</f>
        <v/>
      </c>
      <c r="Q35" s="22">
        <f>Q31*'Control Tower'!$B$55</f>
        <v/>
      </c>
      <c r="R35" s="22">
        <f>R31*'Control Tower'!$B$55</f>
        <v/>
      </c>
      <c r="S35" s="22">
        <f>S31*'Control Tower'!$B$55</f>
        <v/>
      </c>
      <c r="T35" s="22">
        <f>T31*'Control Tower'!$B$55</f>
        <v/>
      </c>
      <c r="U35" s="22">
        <f>U31*'Control Tower'!$B$55</f>
        <v/>
      </c>
      <c r="V35" s="22">
        <f>V31*'Control Tower'!$B$55</f>
        <v/>
      </c>
      <c r="W35" s="22">
        <f>W31*'Control Tower'!$B$55</f>
        <v/>
      </c>
      <c r="X35" s="22">
        <f>X31*'Control Tower'!$B$55</f>
        <v/>
      </c>
      <c r="Y35" s="22">
        <f>Y31*'Control Tower'!$B$55</f>
        <v/>
      </c>
      <c r="Z35" s="22">
        <f>Z31*'Control Tower'!$B$55</f>
        <v/>
      </c>
      <c r="AA35" s="22">
        <f>AA31*'Control Tower'!$B$55</f>
        <v/>
      </c>
      <c r="AB35" s="22">
        <f>AB31*'Control Tower'!$B$55</f>
        <v/>
      </c>
      <c r="AC35" s="22">
        <f>AC31*'Control Tower'!$B$55</f>
        <v/>
      </c>
      <c r="AD35" s="22">
        <f>AD31*'Control Tower'!$B$55</f>
        <v/>
      </c>
      <c r="AE35" s="22">
        <f>AE31*'Control Tower'!$B$55</f>
        <v/>
      </c>
      <c r="AF35" s="22">
        <f>AF31*'Control Tower'!$B$55</f>
        <v/>
      </c>
      <c r="AG35" s="22">
        <f>AG31*'Control Tower'!$B$55</f>
        <v/>
      </c>
      <c r="AH35" s="22">
        <f>AH31*'Control Tower'!$B$55</f>
        <v/>
      </c>
      <c r="AI35" s="22">
        <f>AI31*'Control Tower'!$B$55</f>
        <v/>
      </c>
      <c r="AJ35" s="22">
        <f>AJ31*'Control Tower'!$B$55</f>
        <v/>
      </c>
      <c r="AK35" s="22">
        <f>AK31*'Control Tower'!$B$55</f>
        <v/>
      </c>
      <c r="AL35" s="22">
        <f>AL31*'Control Tower'!$B$55</f>
        <v/>
      </c>
    </row>
    <row r="36">
      <c r="A36" s="4" t="inlineStr">
        <is>
          <t>Indirect workers comp</t>
        </is>
      </c>
      <c r="C36" s="22">
        <f>C31*'Control Tower'!$B$56</f>
        <v/>
      </c>
      <c r="D36" s="22">
        <f>D31*'Control Tower'!$B$56</f>
        <v/>
      </c>
      <c r="E36" s="22">
        <f>E31*'Control Tower'!$B$56</f>
        <v/>
      </c>
      <c r="F36" s="22">
        <f>F31*'Control Tower'!$B$56</f>
        <v/>
      </c>
      <c r="G36" s="22">
        <f>G31*'Control Tower'!$B$56</f>
        <v/>
      </c>
      <c r="H36" s="22">
        <f>H31*'Control Tower'!$B$56</f>
        <v/>
      </c>
      <c r="I36" s="22">
        <f>I31*'Control Tower'!$B$56</f>
        <v/>
      </c>
      <c r="J36" s="22">
        <f>J31*'Control Tower'!$B$56</f>
        <v/>
      </c>
      <c r="K36" s="22">
        <f>K31*'Control Tower'!$B$56</f>
        <v/>
      </c>
      <c r="L36" s="22">
        <f>L31*'Control Tower'!$B$56</f>
        <v/>
      </c>
      <c r="M36" s="22">
        <f>M31*'Control Tower'!$B$56</f>
        <v/>
      </c>
      <c r="N36" s="22">
        <f>N31*'Control Tower'!$B$56</f>
        <v/>
      </c>
      <c r="O36" s="22">
        <f>O31*'Control Tower'!$B$56</f>
        <v/>
      </c>
      <c r="P36" s="22">
        <f>P31*'Control Tower'!$B$56</f>
        <v/>
      </c>
      <c r="Q36" s="22">
        <f>Q31*'Control Tower'!$B$56</f>
        <v/>
      </c>
      <c r="R36" s="22">
        <f>R31*'Control Tower'!$B$56</f>
        <v/>
      </c>
      <c r="S36" s="22">
        <f>S31*'Control Tower'!$B$56</f>
        <v/>
      </c>
      <c r="T36" s="22">
        <f>T31*'Control Tower'!$B$56</f>
        <v/>
      </c>
      <c r="U36" s="22">
        <f>U31*'Control Tower'!$B$56</f>
        <v/>
      </c>
      <c r="V36" s="22">
        <f>V31*'Control Tower'!$B$56</f>
        <v/>
      </c>
      <c r="W36" s="22">
        <f>W31*'Control Tower'!$B$56</f>
        <v/>
      </c>
      <c r="X36" s="22">
        <f>X31*'Control Tower'!$B$56</f>
        <v/>
      </c>
      <c r="Y36" s="22">
        <f>Y31*'Control Tower'!$B$56</f>
        <v/>
      </c>
      <c r="Z36" s="22">
        <f>Z31*'Control Tower'!$B$56</f>
        <v/>
      </c>
      <c r="AA36" s="22">
        <f>AA31*'Control Tower'!$B$56</f>
        <v/>
      </c>
      <c r="AB36" s="22">
        <f>AB31*'Control Tower'!$B$56</f>
        <v/>
      </c>
      <c r="AC36" s="22">
        <f>AC31*'Control Tower'!$B$56</f>
        <v/>
      </c>
      <c r="AD36" s="22">
        <f>AD31*'Control Tower'!$B$56</f>
        <v/>
      </c>
      <c r="AE36" s="22">
        <f>AE31*'Control Tower'!$B$56</f>
        <v/>
      </c>
      <c r="AF36" s="22">
        <f>AF31*'Control Tower'!$B$56</f>
        <v/>
      </c>
      <c r="AG36" s="22">
        <f>AG31*'Control Tower'!$B$56</f>
        <v/>
      </c>
      <c r="AH36" s="22">
        <f>AH31*'Control Tower'!$B$56</f>
        <v/>
      </c>
      <c r="AI36" s="22">
        <f>AI31*'Control Tower'!$B$56</f>
        <v/>
      </c>
      <c r="AJ36" s="22">
        <f>AJ31*'Control Tower'!$B$56</f>
        <v/>
      </c>
      <c r="AK36" s="22">
        <f>AK31*'Control Tower'!$B$56</f>
        <v/>
      </c>
      <c r="AL36" s="22">
        <f>AL31*'Control Tower'!$B$56</f>
        <v/>
      </c>
    </row>
    <row r="37">
      <c r="A37" s="10" t="inlineStr">
        <is>
          <t>TOTAL CLINICAL LABOR (employed + loads + contract + PRN)</t>
        </is>
      </c>
      <c r="C37" s="24">
        <f>C15+C33+C34+C23+C24+C21</f>
        <v/>
      </c>
      <c r="D37" s="24">
        <f>D15+D33+D34+D23+D24+D21</f>
        <v/>
      </c>
      <c r="E37" s="24">
        <f>E15+E33+E34+E23+E24+E21</f>
        <v/>
      </c>
      <c r="F37" s="24">
        <f>F15+F33+F34+F23+F24+F21</f>
        <v/>
      </c>
      <c r="G37" s="24">
        <f>G15+G33+G34+G23+G24+G21</f>
        <v/>
      </c>
      <c r="H37" s="24">
        <f>H15+H33+H34+H23+H24+H21</f>
        <v/>
      </c>
      <c r="I37" s="24">
        <f>I15+I33+I34+I23+I24+I21</f>
        <v/>
      </c>
      <c r="J37" s="24">
        <f>J15+J33+J34+J23+J24+J21</f>
        <v/>
      </c>
      <c r="K37" s="24">
        <f>K15+K33+K34+K23+K24+K21</f>
        <v/>
      </c>
      <c r="L37" s="24">
        <f>L15+L33+L34+L23+L24+L21</f>
        <v/>
      </c>
      <c r="M37" s="24">
        <f>M15+M33+M34+M23+M24+M21</f>
        <v/>
      </c>
      <c r="N37" s="24">
        <f>N15+N33+N34+N23+N24+N21</f>
        <v/>
      </c>
      <c r="O37" s="24">
        <f>O15+O33+O34+O23+O24+O21</f>
        <v/>
      </c>
      <c r="P37" s="24">
        <f>P15+P33+P34+P23+P24+P21</f>
        <v/>
      </c>
      <c r="Q37" s="24">
        <f>Q15+Q33+Q34+Q23+Q24+Q21</f>
        <v/>
      </c>
      <c r="R37" s="24">
        <f>R15+R33+R34+R23+R24+R21</f>
        <v/>
      </c>
      <c r="S37" s="24">
        <f>S15+S33+S34+S23+S24+S21</f>
        <v/>
      </c>
      <c r="T37" s="24">
        <f>T15+T33+T34+T23+T24+T21</f>
        <v/>
      </c>
      <c r="U37" s="24">
        <f>U15+U33+U34+U23+U24+U21</f>
        <v/>
      </c>
      <c r="V37" s="24">
        <f>V15+V33+V34+V23+V24+V21</f>
        <v/>
      </c>
      <c r="W37" s="24">
        <f>W15+W33+W34+W23+W24+W21</f>
        <v/>
      </c>
      <c r="X37" s="24">
        <f>X15+X33+X34+X23+X24+X21</f>
        <v/>
      </c>
      <c r="Y37" s="24">
        <f>Y15+Y33+Y34+Y23+Y24+Y21</f>
        <v/>
      </c>
      <c r="Z37" s="24">
        <f>Z15+Z33+Z34+Z23+Z24+Z21</f>
        <v/>
      </c>
      <c r="AA37" s="24">
        <f>AA15+AA33+AA34+AA23+AA24+AA21</f>
        <v/>
      </c>
      <c r="AB37" s="24">
        <f>AB15+AB33+AB34+AB23+AB24+AB21</f>
        <v/>
      </c>
      <c r="AC37" s="24">
        <f>AC15+AC33+AC34+AC23+AC24+AC21</f>
        <v/>
      </c>
      <c r="AD37" s="24">
        <f>AD15+AD33+AD34+AD23+AD24+AD21</f>
        <v/>
      </c>
      <c r="AE37" s="24">
        <f>AE15+AE33+AE34+AE23+AE24+AE21</f>
        <v/>
      </c>
      <c r="AF37" s="24">
        <f>AF15+AF33+AF34+AF23+AF24+AF21</f>
        <v/>
      </c>
      <c r="AG37" s="24">
        <f>AG15+AG33+AG34+AG23+AG24+AG21</f>
        <v/>
      </c>
      <c r="AH37" s="24">
        <f>AH15+AH33+AH34+AH23+AH24+AH21</f>
        <v/>
      </c>
      <c r="AI37" s="24">
        <f>AI15+AI33+AI34+AI23+AI24+AI21</f>
        <v/>
      </c>
      <c r="AJ37" s="24">
        <f>AJ15+AJ33+AJ34+AJ23+AJ24+AJ21</f>
        <v/>
      </c>
      <c r="AK37" s="24">
        <f>AK15+AK33+AK34+AK23+AK24+AK21</f>
        <v/>
      </c>
      <c r="AL37" s="24">
        <f>AL15+AL33+AL34+AL23+AL24+AL21</f>
        <v/>
      </c>
    </row>
    <row r="38">
      <c r="A38" s="10" t="inlineStr">
        <is>
          <t>TOTAL INDIRECT LABOR (employed + loads)</t>
        </is>
      </c>
      <c r="C38" s="24">
        <f>C31+C35+C36</f>
        <v/>
      </c>
      <c r="D38" s="24">
        <f>D31+D35+D36</f>
        <v/>
      </c>
      <c r="E38" s="24">
        <f>E31+E35+E36</f>
        <v/>
      </c>
      <c r="F38" s="24">
        <f>F31+F35+F36</f>
        <v/>
      </c>
      <c r="G38" s="24">
        <f>G31+G35+G36</f>
        <v/>
      </c>
      <c r="H38" s="24">
        <f>H31+H35+H36</f>
        <v/>
      </c>
      <c r="I38" s="24">
        <f>I31+I35+I36</f>
        <v/>
      </c>
      <c r="J38" s="24">
        <f>J31+J35+J36</f>
        <v/>
      </c>
      <c r="K38" s="24">
        <f>K31+K35+K36</f>
        <v/>
      </c>
      <c r="L38" s="24">
        <f>L31+L35+L36</f>
        <v/>
      </c>
      <c r="M38" s="24">
        <f>M31+M35+M36</f>
        <v/>
      </c>
      <c r="N38" s="24">
        <f>N31+N35+N36</f>
        <v/>
      </c>
      <c r="O38" s="24">
        <f>O31+O35+O36</f>
        <v/>
      </c>
      <c r="P38" s="24">
        <f>P31+P35+P36</f>
        <v/>
      </c>
      <c r="Q38" s="24">
        <f>Q31+Q35+Q36</f>
        <v/>
      </c>
      <c r="R38" s="24">
        <f>R31+R35+R36</f>
        <v/>
      </c>
      <c r="S38" s="24">
        <f>S31+S35+S36</f>
        <v/>
      </c>
      <c r="T38" s="24">
        <f>T31+T35+T36</f>
        <v/>
      </c>
      <c r="U38" s="24">
        <f>U31+U35+U36</f>
        <v/>
      </c>
      <c r="V38" s="24">
        <f>V31+V35+V36</f>
        <v/>
      </c>
      <c r="W38" s="24">
        <f>W31+W35+W36</f>
        <v/>
      </c>
      <c r="X38" s="24">
        <f>X31+X35+X36</f>
        <v/>
      </c>
      <c r="Y38" s="24">
        <f>Y31+Y35+Y36</f>
        <v/>
      </c>
      <c r="Z38" s="24">
        <f>Z31+Z35+Z36</f>
        <v/>
      </c>
      <c r="AA38" s="24">
        <f>AA31+AA35+AA36</f>
        <v/>
      </c>
      <c r="AB38" s="24">
        <f>AB31+AB35+AB36</f>
        <v/>
      </c>
      <c r="AC38" s="24">
        <f>AC31+AC35+AC36</f>
        <v/>
      </c>
      <c r="AD38" s="24">
        <f>AD31+AD35+AD36</f>
        <v/>
      </c>
      <c r="AE38" s="24">
        <f>AE31+AE35+AE36</f>
        <v/>
      </c>
      <c r="AF38" s="24">
        <f>AF31+AF35+AF36</f>
        <v/>
      </c>
      <c r="AG38" s="24">
        <f>AG31+AG35+AG36</f>
        <v/>
      </c>
      <c r="AH38" s="24">
        <f>AH31+AH35+AH36</f>
        <v/>
      </c>
      <c r="AI38" s="24">
        <f>AI31+AI35+AI36</f>
        <v/>
      </c>
      <c r="AJ38" s="24">
        <f>AJ31+AJ35+AJ36</f>
        <v/>
      </c>
      <c r="AK38" s="24">
        <f>AK31+AK35+AK36</f>
        <v/>
      </c>
      <c r="AL38" s="24">
        <f>AL31+AL35+AL36</f>
        <v/>
      </c>
    </row>
    <row r="39">
      <c r="A39" s="6" t="inlineStr">
        <is>
          <t>Total employed payroll cash (wages + loads)</t>
        </is>
      </c>
      <c r="C39" s="22">
        <f>C15+C31+C33+C34+C35+C36</f>
        <v/>
      </c>
      <c r="D39" s="22">
        <f>D15+D31+D33+D34+D35+D36</f>
        <v/>
      </c>
      <c r="E39" s="22">
        <f>E15+E31+E33+E34+E35+E36</f>
        <v/>
      </c>
      <c r="F39" s="22">
        <f>F15+F31+F33+F34+F35+F36</f>
        <v/>
      </c>
      <c r="G39" s="22">
        <f>G15+G31+G33+G34+G35+G36</f>
        <v/>
      </c>
      <c r="H39" s="22">
        <f>H15+H31+H33+H34+H35+H36</f>
        <v/>
      </c>
      <c r="I39" s="22">
        <f>I15+I31+I33+I34+I35+I36</f>
        <v/>
      </c>
      <c r="J39" s="22">
        <f>J15+J31+J33+J34+J35+J36</f>
        <v/>
      </c>
      <c r="K39" s="22">
        <f>K15+K31+K33+K34+K35+K36</f>
        <v/>
      </c>
      <c r="L39" s="22">
        <f>L15+L31+L33+L34+L35+L36</f>
        <v/>
      </c>
      <c r="M39" s="22">
        <f>M15+M31+M33+M34+M35+M36</f>
        <v/>
      </c>
      <c r="N39" s="22">
        <f>N15+N31+N33+N34+N35+N36</f>
        <v/>
      </c>
      <c r="O39" s="22">
        <f>O15+O31+O33+O34+O35+O36</f>
        <v/>
      </c>
      <c r="P39" s="22">
        <f>P15+P31+P33+P34+P35+P36</f>
        <v/>
      </c>
      <c r="Q39" s="22">
        <f>Q15+Q31+Q33+Q34+Q35+Q36</f>
        <v/>
      </c>
      <c r="R39" s="22">
        <f>R15+R31+R33+R34+R35+R36</f>
        <v/>
      </c>
      <c r="S39" s="22">
        <f>S15+S31+S33+S34+S35+S36</f>
        <v/>
      </c>
      <c r="T39" s="22">
        <f>T15+T31+T33+T34+T35+T36</f>
        <v/>
      </c>
      <c r="U39" s="22">
        <f>U15+U31+U33+U34+U35+U36</f>
        <v/>
      </c>
      <c r="V39" s="22">
        <f>V15+V31+V33+V34+V35+V36</f>
        <v/>
      </c>
      <c r="W39" s="22">
        <f>W15+W31+W33+W34+W35+W36</f>
        <v/>
      </c>
      <c r="X39" s="22">
        <f>X15+X31+X33+X34+X35+X36</f>
        <v/>
      </c>
      <c r="Y39" s="22">
        <f>Y15+Y31+Y33+Y34+Y35+Y36</f>
        <v/>
      </c>
      <c r="Z39" s="22">
        <f>Z15+Z31+Z33+Z34+Z35+Z36</f>
        <v/>
      </c>
      <c r="AA39" s="22">
        <f>AA15+AA31+AA33+AA34+AA35+AA36</f>
        <v/>
      </c>
      <c r="AB39" s="22">
        <f>AB15+AB31+AB33+AB34+AB35+AB36</f>
        <v/>
      </c>
      <c r="AC39" s="22">
        <f>AC15+AC31+AC33+AC34+AC35+AC36</f>
        <v/>
      </c>
      <c r="AD39" s="22">
        <f>AD15+AD31+AD33+AD34+AD35+AD36</f>
        <v/>
      </c>
      <c r="AE39" s="22">
        <f>AE15+AE31+AE33+AE34+AE35+AE36</f>
        <v/>
      </c>
      <c r="AF39" s="22">
        <f>AF15+AF31+AF33+AF34+AF35+AF36</f>
        <v/>
      </c>
      <c r="AG39" s="22">
        <f>AG15+AG31+AG33+AG34+AG35+AG36</f>
        <v/>
      </c>
      <c r="AH39" s="22">
        <f>AH15+AH31+AH33+AH34+AH35+AH36</f>
        <v/>
      </c>
      <c r="AI39" s="22">
        <f>AI15+AI31+AI33+AI34+AI35+AI36</f>
        <v/>
      </c>
      <c r="AJ39" s="22">
        <f>AJ15+AJ31+AJ33+AJ34+AJ35+AJ36</f>
        <v/>
      </c>
      <c r="AK39" s="22">
        <f>AK15+AK31+AK33+AK34+AK35+AK36</f>
        <v/>
      </c>
      <c r="AL39" s="22">
        <f>AL15+AL31+AL33+AL34+AL35+AL36</f>
        <v/>
      </c>
    </row>
    <row r="40">
      <c r="A40" s="3" t="inlineStr">
        <is>
          <t>MANAGEMENT SALARY DEFERRAL (owner-operator wages accrue until break-even census; P&amp;L expense unchanged)</t>
        </is>
      </c>
    </row>
    <row r="41">
      <c r="A41" s="4" t="inlineStr">
        <is>
          <t>Deferral active this month (1 = wages accruing)</t>
        </is>
      </c>
      <c r="C41" s="12">
        <f>IF(AND('Control Tower'!$B$123=1,0&lt;'Control Tower'!$B$124,1&lt;'Control Tower'!$B$125),1,0)</f>
        <v/>
      </c>
      <c r="D41" s="12">
        <f>IF(AND('Control Tower'!$B$123=1,'Census Waterfall'!C11&lt;'Control Tower'!$B$124,2&lt;'Control Tower'!$B$125),1,0)</f>
        <v/>
      </c>
      <c r="E41" s="12">
        <f>IF(AND('Control Tower'!$B$123=1,'Census Waterfall'!D11&lt;'Control Tower'!$B$124,3&lt;'Control Tower'!$B$125),1,0)</f>
        <v/>
      </c>
      <c r="F41" s="12">
        <f>IF(AND('Control Tower'!$B$123=1,'Census Waterfall'!E11&lt;'Control Tower'!$B$124,4&lt;'Control Tower'!$B$125),1,0)</f>
        <v/>
      </c>
      <c r="G41" s="12">
        <f>IF(AND('Control Tower'!$B$123=1,'Census Waterfall'!F11&lt;'Control Tower'!$B$124,5&lt;'Control Tower'!$B$125),1,0)</f>
        <v/>
      </c>
      <c r="H41" s="12">
        <f>IF(AND('Control Tower'!$B$123=1,'Census Waterfall'!G11&lt;'Control Tower'!$B$124,6&lt;'Control Tower'!$B$125),1,0)</f>
        <v/>
      </c>
      <c r="I41" s="12">
        <f>IF(AND('Control Tower'!$B$123=1,'Census Waterfall'!H11&lt;'Control Tower'!$B$124,7&lt;'Control Tower'!$B$125),1,0)</f>
        <v/>
      </c>
      <c r="J41" s="12">
        <f>IF(AND('Control Tower'!$B$123=1,'Census Waterfall'!I11&lt;'Control Tower'!$B$124,8&lt;'Control Tower'!$B$125),1,0)</f>
        <v/>
      </c>
      <c r="K41" s="12">
        <f>IF(AND('Control Tower'!$B$123=1,'Census Waterfall'!J11&lt;'Control Tower'!$B$124,9&lt;'Control Tower'!$B$125),1,0)</f>
        <v/>
      </c>
      <c r="L41" s="12">
        <f>IF(AND('Control Tower'!$B$123=1,'Census Waterfall'!K11&lt;'Control Tower'!$B$124,10&lt;'Control Tower'!$B$125),1,0)</f>
        <v/>
      </c>
      <c r="M41" s="12">
        <f>IF(AND('Control Tower'!$B$123=1,'Census Waterfall'!L11&lt;'Control Tower'!$B$124,11&lt;'Control Tower'!$B$125),1,0)</f>
        <v/>
      </c>
      <c r="N41" s="12">
        <f>IF(AND('Control Tower'!$B$123=1,'Census Waterfall'!M11&lt;'Control Tower'!$B$124,12&lt;'Control Tower'!$B$125),1,0)</f>
        <v/>
      </c>
      <c r="O41" s="12">
        <f>IF(AND('Control Tower'!$B$123=1,'Census Waterfall'!N11&lt;'Control Tower'!$B$124,13&lt;'Control Tower'!$B$125),1,0)</f>
        <v/>
      </c>
      <c r="P41" s="12">
        <f>IF(AND('Control Tower'!$B$123=1,'Census Waterfall'!O11&lt;'Control Tower'!$B$124,14&lt;'Control Tower'!$B$125),1,0)</f>
        <v/>
      </c>
      <c r="Q41" s="12">
        <f>IF(AND('Control Tower'!$B$123=1,'Census Waterfall'!P11&lt;'Control Tower'!$B$124,15&lt;'Control Tower'!$B$125),1,0)</f>
        <v/>
      </c>
      <c r="R41" s="12">
        <f>IF(AND('Control Tower'!$B$123=1,'Census Waterfall'!Q11&lt;'Control Tower'!$B$124,16&lt;'Control Tower'!$B$125),1,0)</f>
        <v/>
      </c>
      <c r="S41" s="12">
        <f>IF(AND('Control Tower'!$B$123=1,'Census Waterfall'!R11&lt;'Control Tower'!$B$124,17&lt;'Control Tower'!$B$125),1,0)</f>
        <v/>
      </c>
      <c r="T41" s="12">
        <f>IF(AND('Control Tower'!$B$123=1,'Census Waterfall'!S11&lt;'Control Tower'!$B$124,18&lt;'Control Tower'!$B$125),1,0)</f>
        <v/>
      </c>
      <c r="U41" s="12">
        <f>IF(AND('Control Tower'!$B$123=1,'Census Waterfall'!T11&lt;'Control Tower'!$B$124,19&lt;'Control Tower'!$B$125),1,0)</f>
        <v/>
      </c>
      <c r="V41" s="12">
        <f>IF(AND('Control Tower'!$B$123=1,'Census Waterfall'!U11&lt;'Control Tower'!$B$124,20&lt;'Control Tower'!$B$125),1,0)</f>
        <v/>
      </c>
      <c r="W41" s="12">
        <f>IF(AND('Control Tower'!$B$123=1,'Census Waterfall'!V11&lt;'Control Tower'!$B$124,21&lt;'Control Tower'!$B$125),1,0)</f>
        <v/>
      </c>
      <c r="X41" s="12">
        <f>IF(AND('Control Tower'!$B$123=1,'Census Waterfall'!W11&lt;'Control Tower'!$B$124,22&lt;'Control Tower'!$B$125),1,0)</f>
        <v/>
      </c>
      <c r="Y41" s="12">
        <f>IF(AND('Control Tower'!$B$123=1,'Census Waterfall'!X11&lt;'Control Tower'!$B$124,23&lt;'Control Tower'!$B$125),1,0)</f>
        <v/>
      </c>
      <c r="Z41" s="12">
        <f>IF(AND('Control Tower'!$B$123=1,'Census Waterfall'!Y11&lt;'Control Tower'!$B$124,24&lt;'Control Tower'!$B$125),1,0)</f>
        <v/>
      </c>
      <c r="AA41" s="12">
        <f>IF(AND('Control Tower'!$B$123=1,'Census Waterfall'!Z11&lt;'Control Tower'!$B$124,25&lt;'Control Tower'!$B$125),1,0)</f>
        <v/>
      </c>
      <c r="AB41" s="12">
        <f>IF(AND('Control Tower'!$B$123=1,'Census Waterfall'!AA11&lt;'Control Tower'!$B$124,26&lt;'Control Tower'!$B$125),1,0)</f>
        <v/>
      </c>
      <c r="AC41" s="12">
        <f>IF(AND('Control Tower'!$B$123=1,'Census Waterfall'!AB11&lt;'Control Tower'!$B$124,27&lt;'Control Tower'!$B$125),1,0)</f>
        <v/>
      </c>
      <c r="AD41" s="12">
        <f>IF(AND('Control Tower'!$B$123=1,'Census Waterfall'!AC11&lt;'Control Tower'!$B$124,28&lt;'Control Tower'!$B$125),1,0)</f>
        <v/>
      </c>
      <c r="AE41" s="12">
        <f>IF(AND('Control Tower'!$B$123=1,'Census Waterfall'!AD11&lt;'Control Tower'!$B$124,29&lt;'Control Tower'!$B$125),1,0)</f>
        <v/>
      </c>
      <c r="AF41" s="12">
        <f>IF(AND('Control Tower'!$B$123=1,'Census Waterfall'!AE11&lt;'Control Tower'!$B$124,30&lt;'Control Tower'!$B$125),1,0)</f>
        <v/>
      </c>
      <c r="AG41" s="12">
        <f>IF(AND('Control Tower'!$B$123=1,'Census Waterfall'!AF11&lt;'Control Tower'!$B$124,31&lt;'Control Tower'!$B$125),1,0)</f>
        <v/>
      </c>
      <c r="AH41" s="12">
        <f>IF(AND('Control Tower'!$B$123=1,'Census Waterfall'!AG11&lt;'Control Tower'!$B$124,32&lt;'Control Tower'!$B$125),1,0)</f>
        <v/>
      </c>
      <c r="AI41" s="12">
        <f>IF(AND('Control Tower'!$B$123=1,'Census Waterfall'!AH11&lt;'Control Tower'!$B$124,33&lt;'Control Tower'!$B$125),1,0)</f>
        <v/>
      </c>
      <c r="AJ41" s="12">
        <f>IF(AND('Control Tower'!$B$123=1,'Census Waterfall'!AI11&lt;'Control Tower'!$B$124,34&lt;'Control Tower'!$B$125),1,0)</f>
        <v/>
      </c>
      <c r="AK41" s="12">
        <f>IF(AND('Control Tower'!$B$123=1,'Census Waterfall'!AJ11&lt;'Control Tower'!$B$124,35&lt;'Control Tower'!$B$125),1,0)</f>
        <v/>
      </c>
      <c r="AL41" s="12">
        <f>IF(AND('Control Tower'!$B$123=1,'Census Waterfall'!AK11&lt;'Control Tower'!$B$124,36&lt;'Control Tower'!$B$125),1,0)</f>
        <v/>
      </c>
    </row>
    <row r="42">
      <c r="A42" s="4" t="inlineStr">
        <is>
          <t>Owner wages deferred (accrued, not paid)</t>
        </is>
      </c>
      <c r="C42" s="22">
        <f>C41*(C25+C26+C27)</f>
        <v/>
      </c>
      <c r="D42" s="22">
        <f>D41*(D25+D26+D27)</f>
        <v/>
      </c>
      <c r="E42" s="22">
        <f>E41*(E25+E26+E27)</f>
        <v/>
      </c>
      <c r="F42" s="22">
        <f>F41*(F25+F26+F27)</f>
        <v/>
      </c>
      <c r="G42" s="22">
        <f>G41*(G25+G26+G27)</f>
        <v/>
      </c>
      <c r="H42" s="22">
        <f>H41*(H25+H26+H27)</f>
        <v/>
      </c>
      <c r="I42" s="22">
        <f>I41*(I25+I26+I27)</f>
        <v/>
      </c>
      <c r="J42" s="22">
        <f>J41*(J25+J26+J27)</f>
        <v/>
      </c>
      <c r="K42" s="22">
        <f>K41*(K25+K26+K27)</f>
        <v/>
      </c>
      <c r="L42" s="22">
        <f>L41*(L25+L26+L27)</f>
        <v/>
      </c>
      <c r="M42" s="22">
        <f>M41*(M25+M26+M27)</f>
        <v/>
      </c>
      <c r="N42" s="22">
        <f>N41*(N25+N26+N27)</f>
        <v/>
      </c>
      <c r="O42" s="22">
        <f>O41*(O25+O26+O27)</f>
        <v/>
      </c>
      <c r="P42" s="22">
        <f>P41*(P25+P26+P27)</f>
        <v/>
      </c>
      <c r="Q42" s="22">
        <f>Q41*(Q25+Q26+Q27)</f>
        <v/>
      </c>
      <c r="R42" s="22">
        <f>R41*(R25+R26+R27)</f>
        <v/>
      </c>
      <c r="S42" s="22">
        <f>S41*(S25+S26+S27)</f>
        <v/>
      </c>
      <c r="T42" s="22">
        <f>T41*(T25+T26+T27)</f>
        <v/>
      </c>
      <c r="U42" s="22">
        <f>U41*(U25+U26+U27)</f>
        <v/>
      </c>
      <c r="V42" s="22">
        <f>V41*(V25+V26+V27)</f>
        <v/>
      </c>
      <c r="W42" s="22">
        <f>W41*(W25+W26+W27)</f>
        <v/>
      </c>
      <c r="X42" s="22">
        <f>X41*(X25+X26+X27)</f>
        <v/>
      </c>
      <c r="Y42" s="22">
        <f>Y41*(Y25+Y26+Y27)</f>
        <v/>
      </c>
      <c r="Z42" s="22">
        <f>Z41*(Z25+Z26+Z27)</f>
        <v/>
      </c>
      <c r="AA42" s="22">
        <f>AA41*(AA25+AA26+AA27)</f>
        <v/>
      </c>
      <c r="AB42" s="22">
        <f>AB41*(AB25+AB26+AB27)</f>
        <v/>
      </c>
      <c r="AC42" s="22">
        <f>AC41*(AC25+AC26+AC27)</f>
        <v/>
      </c>
      <c r="AD42" s="22">
        <f>AD41*(AD25+AD26+AD27)</f>
        <v/>
      </c>
      <c r="AE42" s="22">
        <f>AE41*(AE25+AE26+AE27)</f>
        <v/>
      </c>
      <c r="AF42" s="22">
        <f>AF41*(AF25+AF26+AF27)</f>
        <v/>
      </c>
      <c r="AG42" s="22">
        <f>AG41*(AG25+AG26+AG27)</f>
        <v/>
      </c>
      <c r="AH42" s="22">
        <f>AH41*(AH25+AH26+AH27)</f>
        <v/>
      </c>
      <c r="AI42" s="22">
        <f>AI41*(AI25+AI26+AI27)</f>
        <v/>
      </c>
      <c r="AJ42" s="22">
        <f>AJ41*(AJ25+AJ26+AJ27)</f>
        <v/>
      </c>
      <c r="AK42" s="22">
        <f>AK41*(AK25+AK26+AK27)</f>
        <v/>
      </c>
      <c r="AL42" s="22">
        <f>AL41*(AL25+AL26+AL27)</f>
        <v/>
      </c>
    </row>
    <row r="43">
      <c r="A43" s="4" t="inlineStr">
        <is>
          <t>Deferred-comp repayment (cash out at repay month)</t>
        </is>
      </c>
      <c r="C43" s="22">
        <f>IF(1='Control Tower'!$B$125,SUM($C$42:C42),0)</f>
        <v/>
      </c>
      <c r="D43" s="22">
        <f>IF(2='Control Tower'!$B$125,SUM($C$42:D42),0)</f>
        <v/>
      </c>
      <c r="E43" s="22">
        <f>IF(3='Control Tower'!$B$125,SUM($C$42:E42),0)</f>
        <v/>
      </c>
      <c r="F43" s="22">
        <f>IF(4='Control Tower'!$B$125,SUM($C$42:F42),0)</f>
        <v/>
      </c>
      <c r="G43" s="22">
        <f>IF(5='Control Tower'!$B$125,SUM($C$42:G42),0)</f>
        <v/>
      </c>
      <c r="H43" s="22">
        <f>IF(6='Control Tower'!$B$125,SUM($C$42:H42),0)</f>
        <v/>
      </c>
      <c r="I43" s="22">
        <f>IF(7='Control Tower'!$B$125,SUM($C$42:I42),0)</f>
        <v/>
      </c>
      <c r="J43" s="22">
        <f>IF(8='Control Tower'!$B$125,SUM($C$42:J42),0)</f>
        <v/>
      </c>
      <c r="K43" s="22">
        <f>IF(9='Control Tower'!$B$125,SUM($C$42:K42),0)</f>
        <v/>
      </c>
      <c r="L43" s="22">
        <f>IF(10='Control Tower'!$B$125,SUM($C$42:L42),0)</f>
        <v/>
      </c>
      <c r="M43" s="22">
        <f>IF(11='Control Tower'!$B$125,SUM($C$42:M42),0)</f>
        <v/>
      </c>
      <c r="N43" s="22">
        <f>IF(12='Control Tower'!$B$125,SUM($C$42:N42),0)</f>
        <v/>
      </c>
      <c r="O43" s="22">
        <f>IF(13='Control Tower'!$B$125,SUM($C$42:O42),0)</f>
        <v/>
      </c>
      <c r="P43" s="22">
        <f>IF(14='Control Tower'!$B$125,SUM($C$42:P42),0)</f>
        <v/>
      </c>
      <c r="Q43" s="22">
        <f>IF(15='Control Tower'!$B$125,SUM($C$42:Q42),0)</f>
        <v/>
      </c>
      <c r="R43" s="22">
        <f>IF(16='Control Tower'!$B$125,SUM($C$42:R42),0)</f>
        <v/>
      </c>
      <c r="S43" s="22">
        <f>IF(17='Control Tower'!$B$125,SUM($C$42:S42),0)</f>
        <v/>
      </c>
      <c r="T43" s="22">
        <f>IF(18='Control Tower'!$B$125,SUM($C$42:T42),0)</f>
        <v/>
      </c>
      <c r="U43" s="22">
        <f>IF(19='Control Tower'!$B$125,SUM($C$42:U42),0)</f>
        <v/>
      </c>
      <c r="V43" s="22">
        <f>IF(20='Control Tower'!$B$125,SUM($C$42:V42),0)</f>
        <v/>
      </c>
      <c r="W43" s="22">
        <f>IF(21='Control Tower'!$B$125,SUM($C$42:W42),0)</f>
        <v/>
      </c>
      <c r="X43" s="22">
        <f>IF(22='Control Tower'!$B$125,SUM($C$42:X42),0)</f>
        <v/>
      </c>
      <c r="Y43" s="22">
        <f>IF(23='Control Tower'!$B$125,SUM($C$42:Y42),0)</f>
        <v/>
      </c>
      <c r="Z43" s="22">
        <f>IF(24='Control Tower'!$B$125,SUM($C$42:Z42),0)</f>
        <v/>
      </c>
      <c r="AA43" s="22">
        <f>IF(25='Control Tower'!$B$125,SUM($C$42:AA42),0)</f>
        <v/>
      </c>
      <c r="AB43" s="22">
        <f>IF(26='Control Tower'!$B$125,SUM($C$42:AB42),0)</f>
        <v/>
      </c>
      <c r="AC43" s="22">
        <f>IF(27='Control Tower'!$B$125,SUM($C$42:AC42),0)</f>
        <v/>
      </c>
      <c r="AD43" s="22">
        <f>IF(28='Control Tower'!$B$125,SUM($C$42:AD42),0)</f>
        <v/>
      </c>
      <c r="AE43" s="22">
        <f>IF(29='Control Tower'!$B$125,SUM($C$42:AE42),0)</f>
        <v/>
      </c>
      <c r="AF43" s="22">
        <f>IF(30='Control Tower'!$B$125,SUM($C$42:AF42),0)</f>
        <v/>
      </c>
      <c r="AG43" s="22">
        <f>IF(31='Control Tower'!$B$125,SUM($C$42:AG42),0)</f>
        <v/>
      </c>
      <c r="AH43" s="22">
        <f>IF(32='Control Tower'!$B$125,SUM($C$42:AH42),0)</f>
        <v/>
      </c>
      <c r="AI43" s="22">
        <f>IF(33='Control Tower'!$B$125,SUM($C$42:AI42),0)</f>
        <v/>
      </c>
      <c r="AJ43" s="22">
        <f>IF(34='Control Tower'!$B$125,SUM($C$42:AJ42),0)</f>
        <v/>
      </c>
      <c r="AK43" s="22">
        <f>IF(35='Control Tower'!$B$125,SUM($C$42:AK42),0)</f>
        <v/>
      </c>
      <c r="AL43" s="22">
        <f>IF(36='Control Tower'!$B$125,SUM($C$42:AL42),0)</f>
        <v/>
      </c>
    </row>
    <row r="44">
      <c r="A44" s="10" t="inlineStr">
        <is>
          <t>Deferred-comp balance (end)</t>
        </is>
      </c>
      <c r="C44" s="23">
        <f>SUM($C$42:C42)-SUM($C$43:C43)</f>
        <v/>
      </c>
      <c r="D44" s="23">
        <f>SUM($C$42:D42)-SUM($C$43:D43)</f>
        <v/>
      </c>
      <c r="E44" s="23">
        <f>SUM($C$42:E42)-SUM($C$43:E43)</f>
        <v/>
      </c>
      <c r="F44" s="23">
        <f>SUM($C$42:F42)-SUM($C$43:F43)</f>
        <v/>
      </c>
      <c r="G44" s="23">
        <f>SUM($C$42:G42)-SUM($C$43:G43)</f>
        <v/>
      </c>
      <c r="H44" s="23">
        <f>SUM($C$42:H42)-SUM($C$43:H43)</f>
        <v/>
      </c>
      <c r="I44" s="23">
        <f>SUM($C$42:I42)-SUM($C$43:I43)</f>
        <v/>
      </c>
      <c r="J44" s="23">
        <f>SUM($C$42:J42)-SUM($C$43:J43)</f>
        <v/>
      </c>
      <c r="K44" s="23">
        <f>SUM($C$42:K42)-SUM($C$43:K43)</f>
        <v/>
      </c>
      <c r="L44" s="23">
        <f>SUM($C$42:L42)-SUM($C$43:L43)</f>
        <v/>
      </c>
      <c r="M44" s="23">
        <f>SUM($C$42:M42)-SUM($C$43:M43)</f>
        <v/>
      </c>
      <c r="N44" s="23">
        <f>SUM($C$42:N42)-SUM($C$43:N43)</f>
        <v/>
      </c>
      <c r="O44" s="23">
        <f>SUM($C$42:O42)-SUM($C$43:O43)</f>
        <v/>
      </c>
      <c r="P44" s="23">
        <f>SUM($C$42:P42)-SUM($C$43:P43)</f>
        <v/>
      </c>
      <c r="Q44" s="23">
        <f>SUM($C$42:Q42)-SUM($C$43:Q43)</f>
        <v/>
      </c>
      <c r="R44" s="23">
        <f>SUM($C$42:R42)-SUM($C$43:R43)</f>
        <v/>
      </c>
      <c r="S44" s="23">
        <f>SUM($C$42:S42)-SUM($C$43:S43)</f>
        <v/>
      </c>
      <c r="T44" s="23">
        <f>SUM($C$42:T42)-SUM($C$43:T43)</f>
        <v/>
      </c>
      <c r="U44" s="23">
        <f>SUM($C$42:U42)-SUM($C$43:U43)</f>
        <v/>
      </c>
      <c r="V44" s="23">
        <f>SUM($C$42:V42)-SUM($C$43:V43)</f>
        <v/>
      </c>
      <c r="W44" s="23">
        <f>SUM($C$42:W42)-SUM($C$43:W43)</f>
        <v/>
      </c>
      <c r="X44" s="23">
        <f>SUM($C$42:X42)-SUM($C$43:X43)</f>
        <v/>
      </c>
      <c r="Y44" s="23">
        <f>SUM($C$42:Y42)-SUM($C$43:Y43)</f>
        <v/>
      </c>
      <c r="Z44" s="23">
        <f>SUM($C$42:Z42)-SUM($C$43:Z43)</f>
        <v/>
      </c>
      <c r="AA44" s="23">
        <f>SUM($C$42:AA42)-SUM($C$43:AA43)</f>
        <v/>
      </c>
      <c r="AB44" s="23">
        <f>SUM($C$42:AB42)-SUM($C$43:AB43)</f>
        <v/>
      </c>
      <c r="AC44" s="23">
        <f>SUM($C$42:AC42)-SUM($C$43:AC43)</f>
        <v/>
      </c>
      <c r="AD44" s="23">
        <f>SUM($C$42:AD42)-SUM($C$43:AD43)</f>
        <v/>
      </c>
      <c r="AE44" s="23">
        <f>SUM($C$42:AE42)-SUM($C$43:AE43)</f>
        <v/>
      </c>
      <c r="AF44" s="23">
        <f>SUM($C$42:AF42)-SUM($C$43:AF43)</f>
        <v/>
      </c>
      <c r="AG44" s="23">
        <f>SUM($C$42:AG42)-SUM($C$43:AG43)</f>
        <v/>
      </c>
      <c r="AH44" s="23">
        <f>SUM($C$42:AH42)-SUM($C$43:AH43)</f>
        <v/>
      </c>
      <c r="AI44" s="23">
        <f>SUM($C$42:AI42)-SUM($C$43:AI43)</f>
        <v/>
      </c>
      <c r="AJ44" s="23">
        <f>SUM($C$42:AJ42)-SUM($C$43:AJ43)</f>
        <v/>
      </c>
      <c r="AK44" s="23">
        <f>SUM($C$42:AK42)-SUM($C$43:AK43)</f>
        <v/>
      </c>
      <c r="AL44" s="23">
        <f>SUM($C$42:AL42)-SUM($C$43:AL43)</f>
        <v/>
      </c>
    </row>
  </sheetData>
  <mergeCells count="7">
    <mergeCell ref="A40:N40"/>
    <mergeCell ref="A6:N6"/>
    <mergeCell ref="A22:N22"/>
    <mergeCell ref="A16:N16"/>
    <mergeCell ref="A2:N2"/>
    <mergeCell ref="A32:N32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4.10&amp;C&amp;8 Confidential&amp;R&amp;8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AL32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OPERATING BUDGET - direct patient care per patient-day; facility (stepped rent); G&amp;A at the greater of fixed or % of revenue.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3" t="inlineStr">
        <is>
          <t>DIRECT PATIENT CARE (contracted variable - Acct 5050-5120)</t>
        </is>
      </c>
    </row>
    <row r="7">
      <c r="A7" s="4" t="inlineStr">
        <is>
          <t>DME rental (5050)</t>
        </is>
      </c>
      <c r="C7" s="22">
        <f>'Census Waterfall'!C12*'Control Tower'!$B$96</f>
        <v/>
      </c>
      <c r="D7" s="22">
        <f>'Census Waterfall'!D12*'Control Tower'!$B$96</f>
        <v/>
      </c>
      <c r="E7" s="22">
        <f>'Census Waterfall'!E12*'Control Tower'!$B$96</f>
        <v/>
      </c>
      <c r="F7" s="22">
        <f>'Census Waterfall'!F12*'Control Tower'!$B$96</f>
        <v/>
      </c>
      <c r="G7" s="22">
        <f>'Census Waterfall'!G12*'Control Tower'!$B$96</f>
        <v/>
      </c>
      <c r="H7" s="22">
        <f>'Census Waterfall'!H12*'Control Tower'!$B$96</f>
        <v/>
      </c>
      <c r="I7" s="22">
        <f>'Census Waterfall'!I12*'Control Tower'!$B$96</f>
        <v/>
      </c>
      <c r="J7" s="22">
        <f>'Census Waterfall'!J12*'Control Tower'!$B$96</f>
        <v/>
      </c>
      <c r="K7" s="22">
        <f>'Census Waterfall'!K12*'Control Tower'!$B$96</f>
        <v/>
      </c>
      <c r="L7" s="22">
        <f>'Census Waterfall'!L12*'Control Tower'!$B$96</f>
        <v/>
      </c>
      <c r="M7" s="22">
        <f>'Census Waterfall'!M12*'Control Tower'!$B$96</f>
        <v/>
      </c>
      <c r="N7" s="22">
        <f>'Census Waterfall'!N12*'Control Tower'!$B$96</f>
        <v/>
      </c>
      <c r="O7" s="22">
        <f>'Census Waterfall'!O12*'Control Tower'!$B$96</f>
        <v/>
      </c>
      <c r="P7" s="22">
        <f>'Census Waterfall'!P12*'Control Tower'!$B$96</f>
        <v/>
      </c>
      <c r="Q7" s="22">
        <f>'Census Waterfall'!Q12*'Control Tower'!$B$96</f>
        <v/>
      </c>
      <c r="R7" s="22">
        <f>'Census Waterfall'!R12*'Control Tower'!$B$96</f>
        <v/>
      </c>
      <c r="S7" s="22">
        <f>'Census Waterfall'!S12*'Control Tower'!$B$96</f>
        <v/>
      </c>
      <c r="T7" s="22">
        <f>'Census Waterfall'!T12*'Control Tower'!$B$96</f>
        <v/>
      </c>
      <c r="U7" s="22">
        <f>'Census Waterfall'!U12*'Control Tower'!$B$96</f>
        <v/>
      </c>
      <c r="V7" s="22">
        <f>'Census Waterfall'!V12*'Control Tower'!$B$96</f>
        <v/>
      </c>
      <c r="W7" s="22">
        <f>'Census Waterfall'!W12*'Control Tower'!$B$96</f>
        <v/>
      </c>
      <c r="X7" s="22">
        <f>'Census Waterfall'!X12*'Control Tower'!$B$96</f>
        <v/>
      </c>
      <c r="Y7" s="22">
        <f>'Census Waterfall'!Y12*'Control Tower'!$B$96</f>
        <v/>
      </c>
      <c r="Z7" s="22">
        <f>'Census Waterfall'!Z12*'Control Tower'!$B$96</f>
        <v/>
      </c>
      <c r="AA7" s="22">
        <f>'Census Waterfall'!AA12*'Control Tower'!$B$96</f>
        <v/>
      </c>
      <c r="AB7" s="22">
        <f>'Census Waterfall'!AB12*'Control Tower'!$B$96</f>
        <v/>
      </c>
      <c r="AC7" s="22">
        <f>'Census Waterfall'!AC12*'Control Tower'!$B$96</f>
        <v/>
      </c>
      <c r="AD7" s="22">
        <f>'Census Waterfall'!AD12*'Control Tower'!$B$96</f>
        <v/>
      </c>
      <c r="AE7" s="22">
        <f>'Census Waterfall'!AE12*'Control Tower'!$B$96</f>
        <v/>
      </c>
      <c r="AF7" s="22">
        <f>'Census Waterfall'!AF12*'Control Tower'!$B$96</f>
        <v/>
      </c>
      <c r="AG7" s="22">
        <f>'Census Waterfall'!AG12*'Control Tower'!$B$96</f>
        <v/>
      </c>
      <c r="AH7" s="22">
        <f>'Census Waterfall'!AH12*'Control Tower'!$B$96</f>
        <v/>
      </c>
      <c r="AI7" s="22">
        <f>'Census Waterfall'!AI12*'Control Tower'!$B$96</f>
        <v/>
      </c>
      <c r="AJ7" s="22">
        <f>'Census Waterfall'!AJ12*'Control Tower'!$B$96</f>
        <v/>
      </c>
      <c r="AK7" s="22">
        <f>'Census Waterfall'!AK12*'Control Tower'!$B$96</f>
        <v/>
      </c>
      <c r="AL7" s="22">
        <f>'Census Waterfall'!AL12*'Control Tower'!$B$96</f>
        <v/>
      </c>
    </row>
    <row r="8">
      <c r="A8" s="4" t="inlineStr">
        <is>
          <t>Medications (5100)</t>
        </is>
      </c>
      <c r="C8" s="22">
        <f>'Census Waterfall'!C12*'Control Tower'!$B$97</f>
        <v/>
      </c>
      <c r="D8" s="22">
        <f>'Census Waterfall'!D12*'Control Tower'!$B$97</f>
        <v/>
      </c>
      <c r="E8" s="22">
        <f>'Census Waterfall'!E12*'Control Tower'!$B$97</f>
        <v/>
      </c>
      <c r="F8" s="22">
        <f>'Census Waterfall'!F12*'Control Tower'!$B$97</f>
        <v/>
      </c>
      <c r="G8" s="22">
        <f>'Census Waterfall'!G12*'Control Tower'!$B$97</f>
        <v/>
      </c>
      <c r="H8" s="22">
        <f>'Census Waterfall'!H12*'Control Tower'!$B$97</f>
        <v/>
      </c>
      <c r="I8" s="22">
        <f>'Census Waterfall'!I12*'Control Tower'!$B$97</f>
        <v/>
      </c>
      <c r="J8" s="22">
        <f>'Census Waterfall'!J12*'Control Tower'!$B$97</f>
        <v/>
      </c>
      <c r="K8" s="22">
        <f>'Census Waterfall'!K12*'Control Tower'!$B$97</f>
        <v/>
      </c>
      <c r="L8" s="22">
        <f>'Census Waterfall'!L12*'Control Tower'!$B$97</f>
        <v/>
      </c>
      <c r="M8" s="22">
        <f>'Census Waterfall'!M12*'Control Tower'!$B$97</f>
        <v/>
      </c>
      <c r="N8" s="22">
        <f>'Census Waterfall'!N12*'Control Tower'!$B$97</f>
        <v/>
      </c>
      <c r="O8" s="22">
        <f>'Census Waterfall'!O12*'Control Tower'!$B$97</f>
        <v/>
      </c>
      <c r="P8" s="22">
        <f>'Census Waterfall'!P12*'Control Tower'!$B$97</f>
        <v/>
      </c>
      <c r="Q8" s="22">
        <f>'Census Waterfall'!Q12*'Control Tower'!$B$97</f>
        <v/>
      </c>
      <c r="R8" s="22">
        <f>'Census Waterfall'!R12*'Control Tower'!$B$97</f>
        <v/>
      </c>
      <c r="S8" s="22">
        <f>'Census Waterfall'!S12*'Control Tower'!$B$97</f>
        <v/>
      </c>
      <c r="T8" s="22">
        <f>'Census Waterfall'!T12*'Control Tower'!$B$97</f>
        <v/>
      </c>
      <c r="U8" s="22">
        <f>'Census Waterfall'!U12*'Control Tower'!$B$97</f>
        <v/>
      </c>
      <c r="V8" s="22">
        <f>'Census Waterfall'!V12*'Control Tower'!$B$97</f>
        <v/>
      </c>
      <c r="W8" s="22">
        <f>'Census Waterfall'!W12*'Control Tower'!$B$97</f>
        <v/>
      </c>
      <c r="X8" s="22">
        <f>'Census Waterfall'!X12*'Control Tower'!$B$97</f>
        <v/>
      </c>
      <c r="Y8" s="22">
        <f>'Census Waterfall'!Y12*'Control Tower'!$B$97</f>
        <v/>
      </c>
      <c r="Z8" s="22">
        <f>'Census Waterfall'!Z12*'Control Tower'!$B$97</f>
        <v/>
      </c>
      <c r="AA8" s="22">
        <f>'Census Waterfall'!AA12*'Control Tower'!$B$97</f>
        <v/>
      </c>
      <c r="AB8" s="22">
        <f>'Census Waterfall'!AB12*'Control Tower'!$B$97</f>
        <v/>
      </c>
      <c r="AC8" s="22">
        <f>'Census Waterfall'!AC12*'Control Tower'!$B$97</f>
        <v/>
      </c>
      <c r="AD8" s="22">
        <f>'Census Waterfall'!AD12*'Control Tower'!$B$97</f>
        <v/>
      </c>
      <c r="AE8" s="22">
        <f>'Census Waterfall'!AE12*'Control Tower'!$B$97</f>
        <v/>
      </c>
      <c r="AF8" s="22">
        <f>'Census Waterfall'!AF12*'Control Tower'!$B$97</f>
        <v/>
      </c>
      <c r="AG8" s="22">
        <f>'Census Waterfall'!AG12*'Control Tower'!$B$97</f>
        <v/>
      </c>
      <c r="AH8" s="22">
        <f>'Census Waterfall'!AH12*'Control Tower'!$B$97</f>
        <v/>
      </c>
      <c r="AI8" s="22">
        <f>'Census Waterfall'!AI12*'Control Tower'!$B$97</f>
        <v/>
      </c>
      <c r="AJ8" s="22">
        <f>'Census Waterfall'!AJ12*'Control Tower'!$B$97</f>
        <v/>
      </c>
      <c r="AK8" s="22">
        <f>'Census Waterfall'!AK12*'Control Tower'!$B$97</f>
        <v/>
      </c>
      <c r="AL8" s="22">
        <f>'Census Waterfall'!AL12*'Control Tower'!$B$97</f>
        <v/>
      </c>
    </row>
    <row r="9">
      <c r="A9" s="4" t="inlineStr">
        <is>
          <t>Medical supplies (5090)</t>
        </is>
      </c>
      <c r="C9" s="22">
        <f>'Census Waterfall'!C12*'Control Tower'!$B$98</f>
        <v/>
      </c>
      <c r="D9" s="22">
        <f>'Census Waterfall'!D12*'Control Tower'!$B$98</f>
        <v/>
      </c>
      <c r="E9" s="22">
        <f>'Census Waterfall'!E12*'Control Tower'!$B$98</f>
        <v/>
      </c>
      <c r="F9" s="22">
        <f>'Census Waterfall'!F12*'Control Tower'!$B$98</f>
        <v/>
      </c>
      <c r="G9" s="22">
        <f>'Census Waterfall'!G12*'Control Tower'!$B$98</f>
        <v/>
      </c>
      <c r="H9" s="22">
        <f>'Census Waterfall'!H12*'Control Tower'!$B$98</f>
        <v/>
      </c>
      <c r="I9" s="22">
        <f>'Census Waterfall'!I12*'Control Tower'!$B$98</f>
        <v/>
      </c>
      <c r="J9" s="22">
        <f>'Census Waterfall'!J12*'Control Tower'!$B$98</f>
        <v/>
      </c>
      <c r="K9" s="22">
        <f>'Census Waterfall'!K12*'Control Tower'!$B$98</f>
        <v/>
      </c>
      <c r="L9" s="22">
        <f>'Census Waterfall'!L12*'Control Tower'!$B$98</f>
        <v/>
      </c>
      <c r="M9" s="22">
        <f>'Census Waterfall'!M12*'Control Tower'!$B$98</f>
        <v/>
      </c>
      <c r="N9" s="22">
        <f>'Census Waterfall'!N12*'Control Tower'!$B$98</f>
        <v/>
      </c>
      <c r="O9" s="22">
        <f>'Census Waterfall'!O12*'Control Tower'!$B$98</f>
        <v/>
      </c>
      <c r="P9" s="22">
        <f>'Census Waterfall'!P12*'Control Tower'!$B$98</f>
        <v/>
      </c>
      <c r="Q9" s="22">
        <f>'Census Waterfall'!Q12*'Control Tower'!$B$98</f>
        <v/>
      </c>
      <c r="R9" s="22">
        <f>'Census Waterfall'!R12*'Control Tower'!$B$98</f>
        <v/>
      </c>
      <c r="S9" s="22">
        <f>'Census Waterfall'!S12*'Control Tower'!$B$98</f>
        <v/>
      </c>
      <c r="T9" s="22">
        <f>'Census Waterfall'!T12*'Control Tower'!$B$98</f>
        <v/>
      </c>
      <c r="U9" s="22">
        <f>'Census Waterfall'!U12*'Control Tower'!$B$98</f>
        <v/>
      </c>
      <c r="V9" s="22">
        <f>'Census Waterfall'!V12*'Control Tower'!$B$98</f>
        <v/>
      </c>
      <c r="W9" s="22">
        <f>'Census Waterfall'!W12*'Control Tower'!$B$98</f>
        <v/>
      </c>
      <c r="X9" s="22">
        <f>'Census Waterfall'!X12*'Control Tower'!$B$98</f>
        <v/>
      </c>
      <c r="Y9" s="22">
        <f>'Census Waterfall'!Y12*'Control Tower'!$B$98</f>
        <v/>
      </c>
      <c r="Z9" s="22">
        <f>'Census Waterfall'!Z12*'Control Tower'!$B$98</f>
        <v/>
      </c>
      <c r="AA9" s="22">
        <f>'Census Waterfall'!AA12*'Control Tower'!$B$98</f>
        <v/>
      </c>
      <c r="AB9" s="22">
        <f>'Census Waterfall'!AB12*'Control Tower'!$B$98</f>
        <v/>
      </c>
      <c r="AC9" s="22">
        <f>'Census Waterfall'!AC12*'Control Tower'!$B$98</f>
        <v/>
      </c>
      <c r="AD9" s="22">
        <f>'Census Waterfall'!AD12*'Control Tower'!$B$98</f>
        <v/>
      </c>
      <c r="AE9" s="22">
        <f>'Census Waterfall'!AE12*'Control Tower'!$B$98</f>
        <v/>
      </c>
      <c r="AF9" s="22">
        <f>'Census Waterfall'!AF12*'Control Tower'!$B$98</f>
        <v/>
      </c>
      <c r="AG9" s="22">
        <f>'Census Waterfall'!AG12*'Control Tower'!$B$98</f>
        <v/>
      </c>
      <c r="AH9" s="22">
        <f>'Census Waterfall'!AH12*'Control Tower'!$B$98</f>
        <v/>
      </c>
      <c r="AI9" s="22">
        <f>'Census Waterfall'!AI12*'Control Tower'!$B$98</f>
        <v/>
      </c>
      <c r="AJ9" s="22">
        <f>'Census Waterfall'!AJ12*'Control Tower'!$B$98</f>
        <v/>
      </c>
      <c r="AK9" s="22">
        <f>'Census Waterfall'!AK12*'Control Tower'!$B$98</f>
        <v/>
      </c>
      <c r="AL9" s="22">
        <f>'Census Waterfall'!AL12*'Control Tower'!$B$98</f>
        <v/>
      </c>
    </row>
    <row r="10">
      <c r="A10" s="4" t="inlineStr">
        <is>
          <t>Clinical mileage (5110)</t>
        </is>
      </c>
      <c r="C10" s="22">
        <f>'Census Waterfall'!C12*'Control Tower'!$B$99</f>
        <v/>
      </c>
      <c r="D10" s="22">
        <f>'Census Waterfall'!D12*'Control Tower'!$B$99</f>
        <v/>
      </c>
      <c r="E10" s="22">
        <f>'Census Waterfall'!E12*'Control Tower'!$B$99</f>
        <v/>
      </c>
      <c r="F10" s="22">
        <f>'Census Waterfall'!F12*'Control Tower'!$B$99</f>
        <v/>
      </c>
      <c r="G10" s="22">
        <f>'Census Waterfall'!G12*'Control Tower'!$B$99</f>
        <v/>
      </c>
      <c r="H10" s="22">
        <f>'Census Waterfall'!H12*'Control Tower'!$B$99</f>
        <v/>
      </c>
      <c r="I10" s="22">
        <f>'Census Waterfall'!I12*'Control Tower'!$B$99</f>
        <v/>
      </c>
      <c r="J10" s="22">
        <f>'Census Waterfall'!J12*'Control Tower'!$B$99</f>
        <v/>
      </c>
      <c r="K10" s="22">
        <f>'Census Waterfall'!K12*'Control Tower'!$B$99</f>
        <v/>
      </c>
      <c r="L10" s="22">
        <f>'Census Waterfall'!L12*'Control Tower'!$B$99</f>
        <v/>
      </c>
      <c r="M10" s="22">
        <f>'Census Waterfall'!M12*'Control Tower'!$B$99</f>
        <v/>
      </c>
      <c r="N10" s="22">
        <f>'Census Waterfall'!N12*'Control Tower'!$B$99</f>
        <v/>
      </c>
      <c r="O10" s="22">
        <f>'Census Waterfall'!O12*'Control Tower'!$B$99</f>
        <v/>
      </c>
      <c r="P10" s="22">
        <f>'Census Waterfall'!P12*'Control Tower'!$B$99</f>
        <v/>
      </c>
      <c r="Q10" s="22">
        <f>'Census Waterfall'!Q12*'Control Tower'!$B$99</f>
        <v/>
      </c>
      <c r="R10" s="22">
        <f>'Census Waterfall'!R12*'Control Tower'!$B$99</f>
        <v/>
      </c>
      <c r="S10" s="22">
        <f>'Census Waterfall'!S12*'Control Tower'!$B$99</f>
        <v/>
      </c>
      <c r="T10" s="22">
        <f>'Census Waterfall'!T12*'Control Tower'!$B$99</f>
        <v/>
      </c>
      <c r="U10" s="22">
        <f>'Census Waterfall'!U12*'Control Tower'!$B$99</f>
        <v/>
      </c>
      <c r="V10" s="22">
        <f>'Census Waterfall'!V12*'Control Tower'!$B$99</f>
        <v/>
      </c>
      <c r="W10" s="22">
        <f>'Census Waterfall'!W12*'Control Tower'!$B$99</f>
        <v/>
      </c>
      <c r="X10" s="22">
        <f>'Census Waterfall'!X12*'Control Tower'!$B$99</f>
        <v/>
      </c>
      <c r="Y10" s="22">
        <f>'Census Waterfall'!Y12*'Control Tower'!$B$99</f>
        <v/>
      </c>
      <c r="Z10" s="22">
        <f>'Census Waterfall'!Z12*'Control Tower'!$B$99</f>
        <v/>
      </c>
      <c r="AA10" s="22">
        <f>'Census Waterfall'!AA12*'Control Tower'!$B$99</f>
        <v/>
      </c>
      <c r="AB10" s="22">
        <f>'Census Waterfall'!AB12*'Control Tower'!$B$99</f>
        <v/>
      </c>
      <c r="AC10" s="22">
        <f>'Census Waterfall'!AC12*'Control Tower'!$B$99</f>
        <v/>
      </c>
      <c r="AD10" s="22">
        <f>'Census Waterfall'!AD12*'Control Tower'!$B$99</f>
        <v/>
      </c>
      <c r="AE10" s="22">
        <f>'Census Waterfall'!AE12*'Control Tower'!$B$99</f>
        <v/>
      </c>
      <c r="AF10" s="22">
        <f>'Census Waterfall'!AF12*'Control Tower'!$B$99</f>
        <v/>
      </c>
      <c r="AG10" s="22">
        <f>'Census Waterfall'!AG12*'Control Tower'!$B$99</f>
        <v/>
      </c>
      <c r="AH10" s="22">
        <f>'Census Waterfall'!AH12*'Control Tower'!$B$99</f>
        <v/>
      </c>
      <c r="AI10" s="22">
        <f>'Census Waterfall'!AI12*'Control Tower'!$B$99</f>
        <v/>
      </c>
      <c r="AJ10" s="22">
        <f>'Census Waterfall'!AJ12*'Control Tower'!$B$99</f>
        <v/>
      </c>
      <c r="AK10" s="22">
        <f>'Census Waterfall'!AK12*'Control Tower'!$B$99</f>
        <v/>
      </c>
      <c r="AL10" s="22">
        <f>'Census Waterfall'!AL12*'Control Tower'!$B$99</f>
        <v/>
      </c>
    </row>
    <row r="11">
      <c r="A11" s="4" t="inlineStr">
        <is>
          <t>Mobile communications - clinical (5120)</t>
        </is>
      </c>
      <c r="C11" s="22">
        <f>'Control Tower'!$B$100*(1+'Control Tower'!$B$49)^0</f>
        <v/>
      </c>
      <c r="D11" s="22">
        <f>'Control Tower'!$B$100*(1+'Control Tower'!$B$49)^0</f>
        <v/>
      </c>
      <c r="E11" s="22">
        <f>'Control Tower'!$B$100*(1+'Control Tower'!$B$49)^0</f>
        <v/>
      </c>
      <c r="F11" s="22">
        <f>'Control Tower'!$B$100*(1+'Control Tower'!$B$49)^0</f>
        <v/>
      </c>
      <c r="G11" s="22">
        <f>'Control Tower'!$B$100*(1+'Control Tower'!$B$49)^0</f>
        <v/>
      </c>
      <c r="H11" s="22">
        <f>'Control Tower'!$B$100*(1+'Control Tower'!$B$49)^0</f>
        <v/>
      </c>
      <c r="I11" s="22">
        <f>'Control Tower'!$B$100*(1+'Control Tower'!$B$49)^0</f>
        <v/>
      </c>
      <c r="J11" s="22">
        <f>'Control Tower'!$B$100*(1+'Control Tower'!$B$49)^0</f>
        <v/>
      </c>
      <c r="K11" s="22">
        <f>'Control Tower'!$B$100*(1+'Control Tower'!$B$49)^0</f>
        <v/>
      </c>
      <c r="L11" s="22">
        <f>'Control Tower'!$B$100*(1+'Control Tower'!$B$49)^0</f>
        <v/>
      </c>
      <c r="M11" s="22">
        <f>'Control Tower'!$B$100*(1+'Control Tower'!$B$49)^0</f>
        <v/>
      </c>
      <c r="N11" s="22">
        <f>'Control Tower'!$B$100*(1+'Control Tower'!$B$49)^0</f>
        <v/>
      </c>
      <c r="O11" s="22">
        <f>'Control Tower'!$B$100*(1+'Control Tower'!$B$49)^1</f>
        <v/>
      </c>
      <c r="P11" s="22">
        <f>'Control Tower'!$B$100*(1+'Control Tower'!$B$49)^1</f>
        <v/>
      </c>
      <c r="Q11" s="22">
        <f>'Control Tower'!$B$100*(1+'Control Tower'!$B$49)^1</f>
        <v/>
      </c>
      <c r="R11" s="22">
        <f>'Control Tower'!$B$100*(1+'Control Tower'!$B$49)^1</f>
        <v/>
      </c>
      <c r="S11" s="22">
        <f>'Control Tower'!$B$100*(1+'Control Tower'!$B$49)^1</f>
        <v/>
      </c>
      <c r="T11" s="22">
        <f>'Control Tower'!$B$100*(1+'Control Tower'!$B$49)^1</f>
        <v/>
      </c>
      <c r="U11" s="22">
        <f>'Control Tower'!$B$100*(1+'Control Tower'!$B$49)^1</f>
        <v/>
      </c>
      <c r="V11" s="22">
        <f>'Control Tower'!$B$100*(1+'Control Tower'!$B$49)^1</f>
        <v/>
      </c>
      <c r="W11" s="22">
        <f>'Control Tower'!$B$100*(1+'Control Tower'!$B$49)^1</f>
        <v/>
      </c>
      <c r="X11" s="22">
        <f>'Control Tower'!$B$100*(1+'Control Tower'!$B$49)^1</f>
        <v/>
      </c>
      <c r="Y11" s="22">
        <f>'Control Tower'!$B$100*(1+'Control Tower'!$B$49)^1</f>
        <v/>
      </c>
      <c r="Z11" s="22">
        <f>'Control Tower'!$B$100*(1+'Control Tower'!$B$49)^1</f>
        <v/>
      </c>
      <c r="AA11" s="22">
        <f>'Control Tower'!$B$100*(1+'Control Tower'!$B$49)^2</f>
        <v/>
      </c>
      <c r="AB11" s="22">
        <f>'Control Tower'!$B$100*(1+'Control Tower'!$B$49)^2</f>
        <v/>
      </c>
      <c r="AC11" s="22">
        <f>'Control Tower'!$B$100*(1+'Control Tower'!$B$49)^2</f>
        <v/>
      </c>
      <c r="AD11" s="22">
        <f>'Control Tower'!$B$100*(1+'Control Tower'!$B$49)^2</f>
        <v/>
      </c>
      <c r="AE11" s="22">
        <f>'Control Tower'!$B$100*(1+'Control Tower'!$B$49)^2</f>
        <v/>
      </c>
      <c r="AF11" s="22">
        <f>'Control Tower'!$B$100*(1+'Control Tower'!$B$49)^2</f>
        <v/>
      </c>
      <c r="AG11" s="22">
        <f>'Control Tower'!$B$100*(1+'Control Tower'!$B$49)^2</f>
        <v/>
      </c>
      <c r="AH11" s="22">
        <f>'Control Tower'!$B$100*(1+'Control Tower'!$B$49)^2</f>
        <v/>
      </c>
      <c r="AI11" s="22">
        <f>'Control Tower'!$B$100*(1+'Control Tower'!$B$49)^2</f>
        <v/>
      </c>
      <c r="AJ11" s="22">
        <f>'Control Tower'!$B$100*(1+'Control Tower'!$B$49)^2</f>
        <v/>
      </c>
      <c r="AK11" s="22">
        <f>'Control Tower'!$B$100*(1+'Control Tower'!$B$49)^2</f>
        <v/>
      </c>
      <c r="AL11" s="22">
        <f>'Control Tower'!$B$100*(1+'Control Tower'!$B$49)^2</f>
        <v/>
      </c>
    </row>
    <row r="12">
      <c r="A12" s="10" t="inlineStr">
        <is>
          <t>TOTAL DIRECT PATIENT CARE</t>
        </is>
      </c>
      <c r="C12" s="24">
        <f>C7+C8+C9+C10+C11</f>
        <v/>
      </c>
      <c r="D12" s="24">
        <f>D7+D8+D9+D10+D11</f>
        <v/>
      </c>
      <c r="E12" s="24">
        <f>E7+E8+E9+E10+E11</f>
        <v/>
      </c>
      <c r="F12" s="24">
        <f>F7+F8+F9+F10+F11</f>
        <v/>
      </c>
      <c r="G12" s="24">
        <f>G7+G8+G9+G10+G11</f>
        <v/>
      </c>
      <c r="H12" s="24">
        <f>H7+H8+H9+H10+H11</f>
        <v/>
      </c>
      <c r="I12" s="24">
        <f>I7+I8+I9+I10+I11</f>
        <v/>
      </c>
      <c r="J12" s="24">
        <f>J7+J8+J9+J10+J11</f>
        <v/>
      </c>
      <c r="K12" s="24">
        <f>K7+K8+K9+K10+K11</f>
        <v/>
      </c>
      <c r="L12" s="24">
        <f>L7+L8+L9+L10+L11</f>
        <v/>
      </c>
      <c r="M12" s="24">
        <f>M7+M8+M9+M10+M11</f>
        <v/>
      </c>
      <c r="N12" s="24">
        <f>N7+N8+N9+N10+N11</f>
        <v/>
      </c>
      <c r="O12" s="24">
        <f>O7+O8+O9+O10+O11</f>
        <v/>
      </c>
      <c r="P12" s="24">
        <f>P7+P8+P9+P10+P11</f>
        <v/>
      </c>
      <c r="Q12" s="24">
        <f>Q7+Q8+Q9+Q10+Q11</f>
        <v/>
      </c>
      <c r="R12" s="24">
        <f>R7+R8+R9+R10+R11</f>
        <v/>
      </c>
      <c r="S12" s="24">
        <f>S7+S8+S9+S10+S11</f>
        <v/>
      </c>
      <c r="T12" s="24">
        <f>T7+T8+T9+T10+T11</f>
        <v/>
      </c>
      <c r="U12" s="24">
        <f>U7+U8+U9+U10+U11</f>
        <v/>
      </c>
      <c r="V12" s="24">
        <f>V7+V8+V9+V10+V11</f>
        <v/>
      </c>
      <c r="W12" s="24">
        <f>W7+W8+W9+W10+W11</f>
        <v/>
      </c>
      <c r="X12" s="24">
        <f>X7+X8+X9+X10+X11</f>
        <v/>
      </c>
      <c r="Y12" s="24">
        <f>Y7+Y8+Y9+Y10+Y11</f>
        <v/>
      </c>
      <c r="Z12" s="24">
        <f>Z7+Z8+Z9+Z10+Z11</f>
        <v/>
      </c>
      <c r="AA12" s="24">
        <f>AA7+AA8+AA9+AA10+AA11</f>
        <v/>
      </c>
      <c r="AB12" s="24">
        <f>AB7+AB8+AB9+AB10+AB11</f>
        <v/>
      </c>
      <c r="AC12" s="24">
        <f>AC7+AC8+AC9+AC10+AC11</f>
        <v/>
      </c>
      <c r="AD12" s="24">
        <f>AD7+AD8+AD9+AD10+AD11</f>
        <v/>
      </c>
      <c r="AE12" s="24">
        <f>AE7+AE8+AE9+AE10+AE11</f>
        <v/>
      </c>
      <c r="AF12" s="24">
        <f>AF7+AF8+AF9+AF10+AF11</f>
        <v/>
      </c>
      <c r="AG12" s="24">
        <f>AG7+AG8+AG9+AG10+AG11</f>
        <v/>
      </c>
      <c r="AH12" s="24">
        <f>AH7+AH8+AH9+AH10+AH11</f>
        <v/>
      </c>
      <c r="AI12" s="24">
        <f>AI7+AI8+AI9+AI10+AI11</f>
        <v/>
      </c>
      <c r="AJ12" s="24">
        <f>AJ7+AJ8+AJ9+AJ10+AJ11</f>
        <v/>
      </c>
      <c r="AK12" s="24">
        <f>AK7+AK8+AK9+AK10+AK11</f>
        <v/>
      </c>
      <c r="AL12" s="24">
        <f>AL7+AL8+AL9+AL10+AL11</f>
        <v/>
      </c>
    </row>
    <row r="13">
      <c r="A13" s="3" t="inlineStr">
        <is>
          <t>FACILITY (Acct 6010-6150; rent steps by year)</t>
        </is>
      </c>
    </row>
    <row r="14">
      <c r="A14" s="4" t="inlineStr">
        <is>
          <t>Rent (6045-Z)</t>
        </is>
      </c>
      <c r="C14" s="22">
        <f>'Control Tower'!$B$102</f>
        <v/>
      </c>
      <c r="D14" s="22">
        <f>'Control Tower'!$B$102</f>
        <v/>
      </c>
      <c r="E14" s="22">
        <f>'Control Tower'!$B$102</f>
        <v/>
      </c>
      <c r="F14" s="22">
        <f>'Control Tower'!$B$102</f>
        <v/>
      </c>
      <c r="G14" s="22">
        <f>'Control Tower'!$B$102</f>
        <v/>
      </c>
      <c r="H14" s="22">
        <f>'Control Tower'!$B$102</f>
        <v/>
      </c>
      <c r="I14" s="22">
        <f>'Control Tower'!$B$102</f>
        <v/>
      </c>
      <c r="J14" s="22">
        <f>'Control Tower'!$B$102</f>
        <v/>
      </c>
      <c r="K14" s="22">
        <f>'Control Tower'!$B$102</f>
        <v/>
      </c>
      <c r="L14" s="22">
        <f>'Control Tower'!$B$102</f>
        <v/>
      </c>
      <c r="M14" s="22">
        <f>'Control Tower'!$B$102</f>
        <v/>
      </c>
      <c r="N14" s="22">
        <f>'Control Tower'!$B$102</f>
        <v/>
      </c>
      <c r="O14" s="22">
        <f>'Control Tower'!$B$103</f>
        <v/>
      </c>
      <c r="P14" s="22">
        <f>'Control Tower'!$B$103</f>
        <v/>
      </c>
      <c r="Q14" s="22">
        <f>'Control Tower'!$B$103</f>
        <v/>
      </c>
      <c r="R14" s="22">
        <f>'Control Tower'!$B$103</f>
        <v/>
      </c>
      <c r="S14" s="22">
        <f>'Control Tower'!$B$103</f>
        <v/>
      </c>
      <c r="T14" s="22">
        <f>'Control Tower'!$B$103</f>
        <v/>
      </c>
      <c r="U14" s="22">
        <f>'Control Tower'!$B$103</f>
        <v/>
      </c>
      <c r="V14" s="22">
        <f>'Control Tower'!$B$103</f>
        <v/>
      </c>
      <c r="W14" s="22">
        <f>'Control Tower'!$B$103</f>
        <v/>
      </c>
      <c r="X14" s="22">
        <f>'Control Tower'!$B$103</f>
        <v/>
      </c>
      <c r="Y14" s="22">
        <f>'Control Tower'!$B$103</f>
        <v/>
      </c>
      <c r="Z14" s="22">
        <f>'Control Tower'!$B$103</f>
        <v/>
      </c>
      <c r="AA14" s="22">
        <f>'Control Tower'!$B$104</f>
        <v/>
      </c>
      <c r="AB14" s="22">
        <f>'Control Tower'!$B$104</f>
        <v/>
      </c>
      <c r="AC14" s="22">
        <f>'Control Tower'!$B$104</f>
        <v/>
      </c>
      <c r="AD14" s="22">
        <f>'Control Tower'!$B$104</f>
        <v/>
      </c>
      <c r="AE14" s="22">
        <f>'Control Tower'!$B$104</f>
        <v/>
      </c>
      <c r="AF14" s="22">
        <f>'Control Tower'!$B$104</f>
        <v/>
      </c>
      <c r="AG14" s="22">
        <f>'Control Tower'!$B$104</f>
        <v/>
      </c>
      <c r="AH14" s="22">
        <f>'Control Tower'!$B$104</f>
        <v/>
      </c>
      <c r="AI14" s="22">
        <f>'Control Tower'!$B$104</f>
        <v/>
      </c>
      <c r="AJ14" s="22">
        <f>'Control Tower'!$B$104</f>
        <v/>
      </c>
      <c r="AK14" s="22">
        <f>'Control Tower'!$B$104</f>
        <v/>
      </c>
      <c r="AL14" s="22">
        <f>'Control Tower'!$B$104</f>
        <v/>
      </c>
    </row>
    <row r="15">
      <c r="A15" s="4" t="inlineStr">
        <is>
          <t>Utilities (6150)</t>
        </is>
      </c>
      <c r="C15" s="22">
        <f>'Control Tower'!$B$105*(1+'Control Tower'!$B$49)^0</f>
        <v/>
      </c>
      <c r="D15" s="22">
        <f>'Control Tower'!$B$105*(1+'Control Tower'!$B$49)^0</f>
        <v/>
      </c>
      <c r="E15" s="22">
        <f>'Control Tower'!$B$105*(1+'Control Tower'!$B$49)^0</f>
        <v/>
      </c>
      <c r="F15" s="22">
        <f>'Control Tower'!$B$105*(1+'Control Tower'!$B$49)^0</f>
        <v/>
      </c>
      <c r="G15" s="22">
        <f>'Control Tower'!$B$105*(1+'Control Tower'!$B$49)^0</f>
        <v/>
      </c>
      <c r="H15" s="22">
        <f>'Control Tower'!$B$105*(1+'Control Tower'!$B$49)^0</f>
        <v/>
      </c>
      <c r="I15" s="22">
        <f>'Control Tower'!$B$105*(1+'Control Tower'!$B$49)^0</f>
        <v/>
      </c>
      <c r="J15" s="22">
        <f>'Control Tower'!$B$105*(1+'Control Tower'!$B$49)^0</f>
        <v/>
      </c>
      <c r="K15" s="22">
        <f>'Control Tower'!$B$105*(1+'Control Tower'!$B$49)^0</f>
        <v/>
      </c>
      <c r="L15" s="22">
        <f>'Control Tower'!$B$105*(1+'Control Tower'!$B$49)^0</f>
        <v/>
      </c>
      <c r="M15" s="22">
        <f>'Control Tower'!$B$105*(1+'Control Tower'!$B$49)^0</f>
        <v/>
      </c>
      <c r="N15" s="22">
        <f>'Control Tower'!$B$105*(1+'Control Tower'!$B$49)^0</f>
        <v/>
      </c>
      <c r="O15" s="22">
        <f>'Control Tower'!$B$105*(1+'Control Tower'!$B$49)^1</f>
        <v/>
      </c>
      <c r="P15" s="22">
        <f>'Control Tower'!$B$105*(1+'Control Tower'!$B$49)^1</f>
        <v/>
      </c>
      <c r="Q15" s="22">
        <f>'Control Tower'!$B$105*(1+'Control Tower'!$B$49)^1</f>
        <v/>
      </c>
      <c r="R15" s="22">
        <f>'Control Tower'!$B$105*(1+'Control Tower'!$B$49)^1</f>
        <v/>
      </c>
      <c r="S15" s="22">
        <f>'Control Tower'!$B$105*(1+'Control Tower'!$B$49)^1</f>
        <v/>
      </c>
      <c r="T15" s="22">
        <f>'Control Tower'!$B$105*(1+'Control Tower'!$B$49)^1</f>
        <v/>
      </c>
      <c r="U15" s="22">
        <f>'Control Tower'!$B$105*(1+'Control Tower'!$B$49)^1</f>
        <v/>
      </c>
      <c r="V15" s="22">
        <f>'Control Tower'!$B$105*(1+'Control Tower'!$B$49)^1</f>
        <v/>
      </c>
      <c r="W15" s="22">
        <f>'Control Tower'!$B$105*(1+'Control Tower'!$B$49)^1</f>
        <v/>
      </c>
      <c r="X15" s="22">
        <f>'Control Tower'!$B$105*(1+'Control Tower'!$B$49)^1</f>
        <v/>
      </c>
      <c r="Y15" s="22">
        <f>'Control Tower'!$B$105*(1+'Control Tower'!$B$49)^1</f>
        <v/>
      </c>
      <c r="Z15" s="22">
        <f>'Control Tower'!$B$105*(1+'Control Tower'!$B$49)^1</f>
        <v/>
      </c>
      <c r="AA15" s="22">
        <f>'Control Tower'!$B$105*(1+'Control Tower'!$B$49)^2</f>
        <v/>
      </c>
      <c r="AB15" s="22">
        <f>'Control Tower'!$B$105*(1+'Control Tower'!$B$49)^2</f>
        <v/>
      </c>
      <c r="AC15" s="22">
        <f>'Control Tower'!$B$105*(1+'Control Tower'!$B$49)^2</f>
        <v/>
      </c>
      <c r="AD15" s="22">
        <f>'Control Tower'!$B$105*(1+'Control Tower'!$B$49)^2</f>
        <v/>
      </c>
      <c r="AE15" s="22">
        <f>'Control Tower'!$B$105*(1+'Control Tower'!$B$49)^2</f>
        <v/>
      </c>
      <c r="AF15" s="22">
        <f>'Control Tower'!$B$105*(1+'Control Tower'!$B$49)^2</f>
        <v/>
      </c>
      <c r="AG15" s="22">
        <f>'Control Tower'!$B$105*(1+'Control Tower'!$B$49)^2</f>
        <v/>
      </c>
      <c r="AH15" s="22">
        <f>'Control Tower'!$B$105*(1+'Control Tower'!$B$49)^2</f>
        <v/>
      </c>
      <c r="AI15" s="22">
        <f>'Control Tower'!$B$105*(1+'Control Tower'!$B$49)^2</f>
        <v/>
      </c>
      <c r="AJ15" s="22">
        <f>'Control Tower'!$B$105*(1+'Control Tower'!$B$49)^2</f>
        <v/>
      </c>
      <c r="AK15" s="22">
        <f>'Control Tower'!$B$105*(1+'Control Tower'!$B$49)^2</f>
        <v/>
      </c>
      <c r="AL15" s="22">
        <f>'Control Tower'!$B$105*(1+'Control Tower'!$B$49)^2</f>
        <v/>
      </c>
    </row>
    <row r="16">
      <c r="A16" s="4" t="inlineStr">
        <is>
          <t>Maintenance &amp; repairs (6060)</t>
        </is>
      </c>
      <c r="C16" s="22">
        <f>'Control Tower'!$B$106*(1+'Control Tower'!$B$49)^0</f>
        <v/>
      </c>
      <c r="D16" s="22">
        <f>'Control Tower'!$B$106*(1+'Control Tower'!$B$49)^0</f>
        <v/>
      </c>
      <c r="E16" s="22">
        <f>'Control Tower'!$B$106*(1+'Control Tower'!$B$49)^0</f>
        <v/>
      </c>
      <c r="F16" s="22">
        <f>'Control Tower'!$B$106*(1+'Control Tower'!$B$49)^0</f>
        <v/>
      </c>
      <c r="G16" s="22">
        <f>'Control Tower'!$B$106*(1+'Control Tower'!$B$49)^0</f>
        <v/>
      </c>
      <c r="H16" s="22">
        <f>'Control Tower'!$B$106*(1+'Control Tower'!$B$49)^0</f>
        <v/>
      </c>
      <c r="I16" s="22">
        <f>'Control Tower'!$B$106*(1+'Control Tower'!$B$49)^0</f>
        <v/>
      </c>
      <c r="J16" s="22">
        <f>'Control Tower'!$B$106*(1+'Control Tower'!$B$49)^0</f>
        <v/>
      </c>
      <c r="K16" s="22">
        <f>'Control Tower'!$B$106*(1+'Control Tower'!$B$49)^0</f>
        <v/>
      </c>
      <c r="L16" s="22">
        <f>'Control Tower'!$B$106*(1+'Control Tower'!$B$49)^0</f>
        <v/>
      </c>
      <c r="M16" s="22">
        <f>'Control Tower'!$B$106*(1+'Control Tower'!$B$49)^0</f>
        <v/>
      </c>
      <c r="N16" s="22">
        <f>'Control Tower'!$B$106*(1+'Control Tower'!$B$49)^0</f>
        <v/>
      </c>
      <c r="O16" s="22">
        <f>'Control Tower'!$B$106*(1+'Control Tower'!$B$49)^1</f>
        <v/>
      </c>
      <c r="P16" s="22">
        <f>'Control Tower'!$B$106*(1+'Control Tower'!$B$49)^1</f>
        <v/>
      </c>
      <c r="Q16" s="22">
        <f>'Control Tower'!$B$106*(1+'Control Tower'!$B$49)^1</f>
        <v/>
      </c>
      <c r="R16" s="22">
        <f>'Control Tower'!$B$106*(1+'Control Tower'!$B$49)^1</f>
        <v/>
      </c>
      <c r="S16" s="22">
        <f>'Control Tower'!$B$106*(1+'Control Tower'!$B$49)^1</f>
        <v/>
      </c>
      <c r="T16" s="22">
        <f>'Control Tower'!$B$106*(1+'Control Tower'!$B$49)^1</f>
        <v/>
      </c>
      <c r="U16" s="22">
        <f>'Control Tower'!$B$106*(1+'Control Tower'!$B$49)^1</f>
        <v/>
      </c>
      <c r="V16" s="22">
        <f>'Control Tower'!$B$106*(1+'Control Tower'!$B$49)^1</f>
        <v/>
      </c>
      <c r="W16" s="22">
        <f>'Control Tower'!$B$106*(1+'Control Tower'!$B$49)^1</f>
        <v/>
      </c>
      <c r="X16" s="22">
        <f>'Control Tower'!$B$106*(1+'Control Tower'!$B$49)^1</f>
        <v/>
      </c>
      <c r="Y16" s="22">
        <f>'Control Tower'!$B$106*(1+'Control Tower'!$B$49)^1</f>
        <v/>
      </c>
      <c r="Z16" s="22">
        <f>'Control Tower'!$B$106*(1+'Control Tower'!$B$49)^1</f>
        <v/>
      </c>
      <c r="AA16" s="22">
        <f>'Control Tower'!$B$106*(1+'Control Tower'!$B$49)^2</f>
        <v/>
      </c>
      <c r="AB16" s="22">
        <f>'Control Tower'!$B$106*(1+'Control Tower'!$B$49)^2</f>
        <v/>
      </c>
      <c r="AC16" s="22">
        <f>'Control Tower'!$B$106*(1+'Control Tower'!$B$49)^2</f>
        <v/>
      </c>
      <c r="AD16" s="22">
        <f>'Control Tower'!$B$106*(1+'Control Tower'!$B$49)^2</f>
        <v/>
      </c>
      <c r="AE16" s="22">
        <f>'Control Tower'!$B$106*(1+'Control Tower'!$B$49)^2</f>
        <v/>
      </c>
      <c r="AF16" s="22">
        <f>'Control Tower'!$B$106*(1+'Control Tower'!$B$49)^2</f>
        <v/>
      </c>
      <c r="AG16" s="22">
        <f>'Control Tower'!$B$106*(1+'Control Tower'!$B$49)^2</f>
        <v/>
      </c>
      <c r="AH16" s="22">
        <f>'Control Tower'!$B$106*(1+'Control Tower'!$B$49)^2</f>
        <v/>
      </c>
      <c r="AI16" s="22">
        <f>'Control Tower'!$B$106*(1+'Control Tower'!$B$49)^2</f>
        <v/>
      </c>
      <c r="AJ16" s="22">
        <f>'Control Tower'!$B$106*(1+'Control Tower'!$B$49)^2</f>
        <v/>
      </c>
      <c r="AK16" s="22">
        <f>'Control Tower'!$B$106*(1+'Control Tower'!$B$49)^2</f>
        <v/>
      </c>
      <c r="AL16" s="22">
        <f>'Control Tower'!$B$106*(1+'Control Tower'!$B$49)^2</f>
        <v/>
      </c>
    </row>
    <row r="17">
      <c r="A17" s="4" t="inlineStr">
        <is>
          <t>Alarm (6010)</t>
        </is>
      </c>
      <c r="C17" s="22">
        <f>'Control Tower'!$B$107*(1+'Control Tower'!$B$49)^0</f>
        <v/>
      </c>
      <c r="D17" s="22">
        <f>'Control Tower'!$B$107*(1+'Control Tower'!$B$49)^0</f>
        <v/>
      </c>
      <c r="E17" s="22">
        <f>'Control Tower'!$B$107*(1+'Control Tower'!$B$49)^0</f>
        <v/>
      </c>
      <c r="F17" s="22">
        <f>'Control Tower'!$B$107*(1+'Control Tower'!$B$49)^0</f>
        <v/>
      </c>
      <c r="G17" s="22">
        <f>'Control Tower'!$B$107*(1+'Control Tower'!$B$49)^0</f>
        <v/>
      </c>
      <c r="H17" s="22">
        <f>'Control Tower'!$B$107*(1+'Control Tower'!$B$49)^0</f>
        <v/>
      </c>
      <c r="I17" s="22">
        <f>'Control Tower'!$B$107*(1+'Control Tower'!$B$49)^0</f>
        <v/>
      </c>
      <c r="J17" s="22">
        <f>'Control Tower'!$B$107*(1+'Control Tower'!$B$49)^0</f>
        <v/>
      </c>
      <c r="K17" s="22">
        <f>'Control Tower'!$B$107*(1+'Control Tower'!$B$49)^0</f>
        <v/>
      </c>
      <c r="L17" s="22">
        <f>'Control Tower'!$B$107*(1+'Control Tower'!$B$49)^0</f>
        <v/>
      </c>
      <c r="M17" s="22">
        <f>'Control Tower'!$B$107*(1+'Control Tower'!$B$49)^0</f>
        <v/>
      </c>
      <c r="N17" s="22">
        <f>'Control Tower'!$B$107*(1+'Control Tower'!$B$49)^0</f>
        <v/>
      </c>
      <c r="O17" s="22">
        <f>'Control Tower'!$B$107*(1+'Control Tower'!$B$49)^1</f>
        <v/>
      </c>
      <c r="P17" s="22">
        <f>'Control Tower'!$B$107*(1+'Control Tower'!$B$49)^1</f>
        <v/>
      </c>
      <c r="Q17" s="22">
        <f>'Control Tower'!$B$107*(1+'Control Tower'!$B$49)^1</f>
        <v/>
      </c>
      <c r="R17" s="22">
        <f>'Control Tower'!$B$107*(1+'Control Tower'!$B$49)^1</f>
        <v/>
      </c>
      <c r="S17" s="22">
        <f>'Control Tower'!$B$107*(1+'Control Tower'!$B$49)^1</f>
        <v/>
      </c>
      <c r="T17" s="22">
        <f>'Control Tower'!$B$107*(1+'Control Tower'!$B$49)^1</f>
        <v/>
      </c>
      <c r="U17" s="22">
        <f>'Control Tower'!$B$107*(1+'Control Tower'!$B$49)^1</f>
        <v/>
      </c>
      <c r="V17" s="22">
        <f>'Control Tower'!$B$107*(1+'Control Tower'!$B$49)^1</f>
        <v/>
      </c>
      <c r="W17" s="22">
        <f>'Control Tower'!$B$107*(1+'Control Tower'!$B$49)^1</f>
        <v/>
      </c>
      <c r="X17" s="22">
        <f>'Control Tower'!$B$107*(1+'Control Tower'!$B$49)^1</f>
        <v/>
      </c>
      <c r="Y17" s="22">
        <f>'Control Tower'!$B$107*(1+'Control Tower'!$B$49)^1</f>
        <v/>
      </c>
      <c r="Z17" s="22">
        <f>'Control Tower'!$B$107*(1+'Control Tower'!$B$49)^1</f>
        <v/>
      </c>
      <c r="AA17" s="22">
        <f>'Control Tower'!$B$107*(1+'Control Tower'!$B$49)^2</f>
        <v/>
      </c>
      <c r="AB17" s="22">
        <f>'Control Tower'!$B$107*(1+'Control Tower'!$B$49)^2</f>
        <v/>
      </c>
      <c r="AC17" s="22">
        <f>'Control Tower'!$B$107*(1+'Control Tower'!$B$49)^2</f>
        <v/>
      </c>
      <c r="AD17" s="22">
        <f>'Control Tower'!$B$107*(1+'Control Tower'!$B$49)^2</f>
        <v/>
      </c>
      <c r="AE17" s="22">
        <f>'Control Tower'!$B$107*(1+'Control Tower'!$B$49)^2</f>
        <v/>
      </c>
      <c r="AF17" s="22">
        <f>'Control Tower'!$B$107*(1+'Control Tower'!$B$49)^2</f>
        <v/>
      </c>
      <c r="AG17" s="22">
        <f>'Control Tower'!$B$107*(1+'Control Tower'!$B$49)^2</f>
        <v/>
      </c>
      <c r="AH17" s="22">
        <f>'Control Tower'!$B$107*(1+'Control Tower'!$B$49)^2</f>
        <v/>
      </c>
      <c r="AI17" s="22">
        <f>'Control Tower'!$B$107*(1+'Control Tower'!$B$49)^2</f>
        <v/>
      </c>
      <c r="AJ17" s="22">
        <f>'Control Tower'!$B$107*(1+'Control Tower'!$B$49)^2</f>
        <v/>
      </c>
      <c r="AK17" s="22">
        <f>'Control Tower'!$B$107*(1+'Control Tower'!$B$49)^2</f>
        <v/>
      </c>
      <c r="AL17" s="22">
        <f>'Control Tower'!$B$107*(1+'Control Tower'!$B$49)^2</f>
        <v/>
      </c>
    </row>
    <row r="18">
      <c r="A18" s="10" t="inlineStr">
        <is>
          <t>TOTAL FACILITY</t>
        </is>
      </c>
      <c r="C18" s="23">
        <f>C14+C15+C16+C17</f>
        <v/>
      </c>
      <c r="D18" s="23">
        <f>D14+D15+D16+D17</f>
        <v/>
      </c>
      <c r="E18" s="23">
        <f>E14+E15+E16+E17</f>
        <v/>
      </c>
      <c r="F18" s="23">
        <f>F14+F15+F16+F17</f>
        <v/>
      </c>
      <c r="G18" s="23">
        <f>G14+G15+G16+G17</f>
        <v/>
      </c>
      <c r="H18" s="23">
        <f>H14+H15+H16+H17</f>
        <v/>
      </c>
      <c r="I18" s="23">
        <f>I14+I15+I16+I17</f>
        <v/>
      </c>
      <c r="J18" s="23">
        <f>J14+J15+J16+J17</f>
        <v/>
      </c>
      <c r="K18" s="23">
        <f>K14+K15+K16+K17</f>
        <v/>
      </c>
      <c r="L18" s="23">
        <f>L14+L15+L16+L17</f>
        <v/>
      </c>
      <c r="M18" s="23">
        <f>M14+M15+M16+M17</f>
        <v/>
      </c>
      <c r="N18" s="23">
        <f>N14+N15+N16+N17</f>
        <v/>
      </c>
      <c r="O18" s="23">
        <f>O14+O15+O16+O17</f>
        <v/>
      </c>
      <c r="P18" s="23">
        <f>P14+P15+P16+P17</f>
        <v/>
      </c>
      <c r="Q18" s="23">
        <f>Q14+Q15+Q16+Q17</f>
        <v/>
      </c>
      <c r="R18" s="23">
        <f>R14+R15+R16+R17</f>
        <v/>
      </c>
      <c r="S18" s="23">
        <f>S14+S15+S16+S17</f>
        <v/>
      </c>
      <c r="T18" s="23">
        <f>T14+T15+T16+T17</f>
        <v/>
      </c>
      <c r="U18" s="23">
        <f>U14+U15+U16+U17</f>
        <v/>
      </c>
      <c r="V18" s="23">
        <f>V14+V15+V16+V17</f>
        <v/>
      </c>
      <c r="W18" s="23">
        <f>W14+W15+W16+W17</f>
        <v/>
      </c>
      <c r="X18" s="23">
        <f>X14+X15+X16+X17</f>
        <v/>
      </c>
      <c r="Y18" s="23">
        <f>Y14+Y15+Y16+Y17</f>
        <v/>
      </c>
      <c r="Z18" s="23">
        <f>Z14+Z15+Z16+Z17</f>
        <v/>
      </c>
      <c r="AA18" s="23">
        <f>AA14+AA15+AA16+AA17</f>
        <v/>
      </c>
      <c r="AB18" s="23">
        <f>AB14+AB15+AB16+AB17</f>
        <v/>
      </c>
      <c r="AC18" s="23">
        <f>AC14+AC15+AC16+AC17</f>
        <v/>
      </c>
      <c r="AD18" s="23">
        <f>AD14+AD15+AD16+AD17</f>
        <v/>
      </c>
      <c r="AE18" s="23">
        <f>AE14+AE15+AE16+AE17</f>
        <v/>
      </c>
      <c r="AF18" s="23">
        <f>AF14+AF15+AF16+AF17</f>
        <v/>
      </c>
      <c r="AG18" s="23">
        <f>AG14+AG15+AG16+AG17</f>
        <v/>
      </c>
      <c r="AH18" s="23">
        <f>AH14+AH15+AH16+AH17</f>
        <v/>
      </c>
      <c r="AI18" s="23">
        <f>AI14+AI15+AI16+AI17</f>
        <v/>
      </c>
      <c r="AJ18" s="23">
        <f>AJ14+AJ15+AJ16+AJ17</f>
        <v/>
      </c>
      <c r="AK18" s="23">
        <f>AK14+AK15+AK16+AK17</f>
        <v/>
      </c>
      <c r="AL18" s="23">
        <f>AL14+AL15+AL16+AL17</f>
        <v/>
      </c>
    </row>
    <row r="19">
      <c r="A19" s="3" t="inlineStr">
        <is>
          <t>G&amp;A (MAX(fixed, % of NPR); legal starts M4)</t>
        </is>
      </c>
    </row>
    <row r="20">
      <c r="A20" s="4" t="inlineStr">
        <is>
          <t>EMR - base + per active patient (6530-Z)</t>
        </is>
      </c>
      <c r="C20" s="22">
        <f>('Control Tower'!$B$109+'Census Waterfall'!C9*'Control Tower'!$B$110)*(1+'Control Tower'!$B$49)^0</f>
        <v/>
      </c>
      <c r="D20" s="22">
        <f>('Control Tower'!$B$109+'Census Waterfall'!D9*'Control Tower'!$B$110)*(1+'Control Tower'!$B$49)^0</f>
        <v/>
      </c>
      <c r="E20" s="22">
        <f>('Control Tower'!$B$109+'Census Waterfall'!E9*'Control Tower'!$B$110)*(1+'Control Tower'!$B$49)^0</f>
        <v/>
      </c>
      <c r="F20" s="22">
        <f>('Control Tower'!$B$109+'Census Waterfall'!F9*'Control Tower'!$B$110)*(1+'Control Tower'!$B$49)^0</f>
        <v/>
      </c>
      <c r="G20" s="22">
        <f>('Control Tower'!$B$109+'Census Waterfall'!G9*'Control Tower'!$B$110)*(1+'Control Tower'!$B$49)^0</f>
        <v/>
      </c>
      <c r="H20" s="22">
        <f>('Control Tower'!$B$109+'Census Waterfall'!H9*'Control Tower'!$B$110)*(1+'Control Tower'!$B$49)^0</f>
        <v/>
      </c>
      <c r="I20" s="22">
        <f>('Control Tower'!$B$109+'Census Waterfall'!I9*'Control Tower'!$B$110)*(1+'Control Tower'!$B$49)^0</f>
        <v/>
      </c>
      <c r="J20" s="22">
        <f>('Control Tower'!$B$109+'Census Waterfall'!J9*'Control Tower'!$B$110)*(1+'Control Tower'!$B$49)^0</f>
        <v/>
      </c>
      <c r="K20" s="22">
        <f>('Control Tower'!$B$109+'Census Waterfall'!K9*'Control Tower'!$B$110)*(1+'Control Tower'!$B$49)^0</f>
        <v/>
      </c>
      <c r="L20" s="22">
        <f>('Control Tower'!$B$109+'Census Waterfall'!L9*'Control Tower'!$B$110)*(1+'Control Tower'!$B$49)^0</f>
        <v/>
      </c>
      <c r="M20" s="22">
        <f>('Control Tower'!$B$109+'Census Waterfall'!M9*'Control Tower'!$B$110)*(1+'Control Tower'!$B$49)^0</f>
        <v/>
      </c>
      <c r="N20" s="22">
        <f>('Control Tower'!$B$109+'Census Waterfall'!N9*'Control Tower'!$B$110)*(1+'Control Tower'!$B$49)^0</f>
        <v/>
      </c>
      <c r="O20" s="22">
        <f>('Control Tower'!$B$109+'Census Waterfall'!O9*'Control Tower'!$B$110)*(1+'Control Tower'!$B$49)^1</f>
        <v/>
      </c>
      <c r="P20" s="22">
        <f>('Control Tower'!$B$109+'Census Waterfall'!P9*'Control Tower'!$B$110)*(1+'Control Tower'!$B$49)^1</f>
        <v/>
      </c>
      <c r="Q20" s="22">
        <f>('Control Tower'!$B$109+'Census Waterfall'!Q9*'Control Tower'!$B$110)*(1+'Control Tower'!$B$49)^1</f>
        <v/>
      </c>
      <c r="R20" s="22">
        <f>('Control Tower'!$B$109+'Census Waterfall'!R9*'Control Tower'!$B$110)*(1+'Control Tower'!$B$49)^1</f>
        <v/>
      </c>
      <c r="S20" s="22">
        <f>('Control Tower'!$B$109+'Census Waterfall'!S9*'Control Tower'!$B$110)*(1+'Control Tower'!$B$49)^1</f>
        <v/>
      </c>
      <c r="T20" s="22">
        <f>('Control Tower'!$B$109+'Census Waterfall'!T9*'Control Tower'!$B$110)*(1+'Control Tower'!$B$49)^1</f>
        <v/>
      </c>
      <c r="U20" s="22">
        <f>('Control Tower'!$B$109+'Census Waterfall'!U9*'Control Tower'!$B$110)*(1+'Control Tower'!$B$49)^1</f>
        <v/>
      </c>
      <c r="V20" s="22">
        <f>('Control Tower'!$B$109+'Census Waterfall'!V9*'Control Tower'!$B$110)*(1+'Control Tower'!$B$49)^1</f>
        <v/>
      </c>
      <c r="W20" s="22">
        <f>('Control Tower'!$B$109+'Census Waterfall'!W9*'Control Tower'!$B$110)*(1+'Control Tower'!$B$49)^1</f>
        <v/>
      </c>
      <c r="X20" s="22">
        <f>('Control Tower'!$B$109+'Census Waterfall'!X9*'Control Tower'!$B$110)*(1+'Control Tower'!$B$49)^1</f>
        <v/>
      </c>
      <c r="Y20" s="22">
        <f>('Control Tower'!$B$109+'Census Waterfall'!Y9*'Control Tower'!$B$110)*(1+'Control Tower'!$B$49)^1</f>
        <v/>
      </c>
      <c r="Z20" s="22">
        <f>('Control Tower'!$B$109+'Census Waterfall'!Z9*'Control Tower'!$B$110)*(1+'Control Tower'!$B$49)^1</f>
        <v/>
      </c>
      <c r="AA20" s="22">
        <f>('Control Tower'!$B$109+'Census Waterfall'!AA9*'Control Tower'!$B$110)*(1+'Control Tower'!$B$49)^2</f>
        <v/>
      </c>
      <c r="AB20" s="22">
        <f>('Control Tower'!$B$109+'Census Waterfall'!AB9*'Control Tower'!$B$110)*(1+'Control Tower'!$B$49)^2</f>
        <v/>
      </c>
      <c r="AC20" s="22">
        <f>('Control Tower'!$B$109+'Census Waterfall'!AC9*'Control Tower'!$B$110)*(1+'Control Tower'!$B$49)^2</f>
        <v/>
      </c>
      <c r="AD20" s="22">
        <f>('Control Tower'!$B$109+'Census Waterfall'!AD9*'Control Tower'!$B$110)*(1+'Control Tower'!$B$49)^2</f>
        <v/>
      </c>
      <c r="AE20" s="22">
        <f>('Control Tower'!$B$109+'Census Waterfall'!AE9*'Control Tower'!$B$110)*(1+'Control Tower'!$B$49)^2</f>
        <v/>
      </c>
      <c r="AF20" s="22">
        <f>('Control Tower'!$B$109+'Census Waterfall'!AF9*'Control Tower'!$B$110)*(1+'Control Tower'!$B$49)^2</f>
        <v/>
      </c>
      <c r="AG20" s="22">
        <f>('Control Tower'!$B$109+'Census Waterfall'!AG9*'Control Tower'!$B$110)*(1+'Control Tower'!$B$49)^2</f>
        <v/>
      </c>
      <c r="AH20" s="22">
        <f>('Control Tower'!$B$109+'Census Waterfall'!AH9*'Control Tower'!$B$110)*(1+'Control Tower'!$B$49)^2</f>
        <v/>
      </c>
      <c r="AI20" s="22">
        <f>('Control Tower'!$B$109+'Census Waterfall'!AI9*'Control Tower'!$B$110)*(1+'Control Tower'!$B$49)^2</f>
        <v/>
      </c>
      <c r="AJ20" s="22">
        <f>('Control Tower'!$B$109+'Census Waterfall'!AJ9*'Control Tower'!$B$110)*(1+'Control Tower'!$B$49)^2</f>
        <v/>
      </c>
      <c r="AK20" s="22">
        <f>('Control Tower'!$B$109+'Census Waterfall'!AK9*'Control Tower'!$B$110)*(1+'Control Tower'!$B$49)^2</f>
        <v/>
      </c>
      <c r="AL20" s="22">
        <f>('Control Tower'!$B$109+'Census Waterfall'!AL9*'Control Tower'!$B$110)*(1+'Control Tower'!$B$49)^2</f>
        <v/>
      </c>
    </row>
    <row r="21">
      <c r="A21" s="4" t="inlineStr">
        <is>
          <t>Malpractice / professional liability (6580-Z)</t>
        </is>
      </c>
      <c r="C21" s="22">
        <f>MAX('Control Tower'!$B$111*(1+'Control Tower'!$B$49)^0,'Revenue Model'!C11*'Control Tower'!$C$111)</f>
        <v/>
      </c>
      <c r="D21" s="22">
        <f>MAX('Control Tower'!$B$111*(1+'Control Tower'!$B$49)^0,'Revenue Model'!D11*'Control Tower'!$C$111)</f>
        <v/>
      </c>
      <c r="E21" s="22">
        <f>MAX('Control Tower'!$B$111*(1+'Control Tower'!$B$49)^0,'Revenue Model'!E11*'Control Tower'!$C$111)</f>
        <v/>
      </c>
      <c r="F21" s="22">
        <f>MAX('Control Tower'!$B$111*(1+'Control Tower'!$B$49)^0,'Revenue Model'!F11*'Control Tower'!$C$111)</f>
        <v/>
      </c>
      <c r="G21" s="22">
        <f>MAX('Control Tower'!$B$111*(1+'Control Tower'!$B$49)^0,'Revenue Model'!G11*'Control Tower'!$C$111)</f>
        <v/>
      </c>
      <c r="H21" s="22">
        <f>MAX('Control Tower'!$B$111*(1+'Control Tower'!$B$49)^0,'Revenue Model'!H11*'Control Tower'!$C$111)</f>
        <v/>
      </c>
      <c r="I21" s="22">
        <f>MAX('Control Tower'!$B$111*(1+'Control Tower'!$B$49)^0,'Revenue Model'!I11*'Control Tower'!$C$111)</f>
        <v/>
      </c>
      <c r="J21" s="22">
        <f>MAX('Control Tower'!$B$111*(1+'Control Tower'!$B$49)^0,'Revenue Model'!J11*'Control Tower'!$C$111)</f>
        <v/>
      </c>
      <c r="K21" s="22">
        <f>MAX('Control Tower'!$B$111*(1+'Control Tower'!$B$49)^0,'Revenue Model'!K11*'Control Tower'!$C$111)</f>
        <v/>
      </c>
      <c r="L21" s="22">
        <f>MAX('Control Tower'!$B$111*(1+'Control Tower'!$B$49)^0,'Revenue Model'!L11*'Control Tower'!$C$111)</f>
        <v/>
      </c>
      <c r="M21" s="22">
        <f>MAX('Control Tower'!$B$111*(1+'Control Tower'!$B$49)^0,'Revenue Model'!M11*'Control Tower'!$C$111)</f>
        <v/>
      </c>
      <c r="N21" s="22">
        <f>MAX('Control Tower'!$B$111*(1+'Control Tower'!$B$49)^0,'Revenue Model'!N11*'Control Tower'!$C$111)</f>
        <v/>
      </c>
      <c r="O21" s="22">
        <f>MAX('Control Tower'!$B$111*(1+'Control Tower'!$B$49)^1,'Revenue Model'!O11*'Control Tower'!$C$111)</f>
        <v/>
      </c>
      <c r="P21" s="22">
        <f>MAX('Control Tower'!$B$111*(1+'Control Tower'!$B$49)^1,'Revenue Model'!P11*'Control Tower'!$C$111)</f>
        <v/>
      </c>
      <c r="Q21" s="22">
        <f>MAX('Control Tower'!$B$111*(1+'Control Tower'!$B$49)^1,'Revenue Model'!Q11*'Control Tower'!$C$111)</f>
        <v/>
      </c>
      <c r="R21" s="22">
        <f>MAX('Control Tower'!$B$111*(1+'Control Tower'!$B$49)^1,'Revenue Model'!R11*'Control Tower'!$C$111)</f>
        <v/>
      </c>
      <c r="S21" s="22">
        <f>MAX('Control Tower'!$B$111*(1+'Control Tower'!$B$49)^1,'Revenue Model'!S11*'Control Tower'!$C$111)</f>
        <v/>
      </c>
      <c r="T21" s="22">
        <f>MAX('Control Tower'!$B$111*(1+'Control Tower'!$B$49)^1,'Revenue Model'!T11*'Control Tower'!$C$111)</f>
        <v/>
      </c>
      <c r="U21" s="22">
        <f>MAX('Control Tower'!$B$111*(1+'Control Tower'!$B$49)^1,'Revenue Model'!U11*'Control Tower'!$C$111)</f>
        <v/>
      </c>
      <c r="V21" s="22">
        <f>MAX('Control Tower'!$B$111*(1+'Control Tower'!$B$49)^1,'Revenue Model'!V11*'Control Tower'!$C$111)</f>
        <v/>
      </c>
      <c r="W21" s="22">
        <f>MAX('Control Tower'!$B$111*(1+'Control Tower'!$B$49)^1,'Revenue Model'!W11*'Control Tower'!$C$111)</f>
        <v/>
      </c>
      <c r="X21" s="22">
        <f>MAX('Control Tower'!$B$111*(1+'Control Tower'!$B$49)^1,'Revenue Model'!X11*'Control Tower'!$C$111)</f>
        <v/>
      </c>
      <c r="Y21" s="22">
        <f>MAX('Control Tower'!$B$111*(1+'Control Tower'!$B$49)^1,'Revenue Model'!Y11*'Control Tower'!$C$111)</f>
        <v/>
      </c>
      <c r="Z21" s="22">
        <f>MAX('Control Tower'!$B$111*(1+'Control Tower'!$B$49)^1,'Revenue Model'!Z11*'Control Tower'!$C$111)</f>
        <v/>
      </c>
      <c r="AA21" s="22">
        <f>MAX('Control Tower'!$B$111*(1+'Control Tower'!$B$49)^2,'Revenue Model'!AA11*'Control Tower'!$C$111)</f>
        <v/>
      </c>
      <c r="AB21" s="22">
        <f>MAX('Control Tower'!$B$111*(1+'Control Tower'!$B$49)^2,'Revenue Model'!AB11*'Control Tower'!$C$111)</f>
        <v/>
      </c>
      <c r="AC21" s="22">
        <f>MAX('Control Tower'!$B$111*(1+'Control Tower'!$B$49)^2,'Revenue Model'!AC11*'Control Tower'!$C$111)</f>
        <v/>
      </c>
      <c r="AD21" s="22">
        <f>MAX('Control Tower'!$B$111*(1+'Control Tower'!$B$49)^2,'Revenue Model'!AD11*'Control Tower'!$C$111)</f>
        <v/>
      </c>
      <c r="AE21" s="22">
        <f>MAX('Control Tower'!$B$111*(1+'Control Tower'!$B$49)^2,'Revenue Model'!AE11*'Control Tower'!$C$111)</f>
        <v/>
      </c>
      <c r="AF21" s="22">
        <f>MAX('Control Tower'!$B$111*(1+'Control Tower'!$B$49)^2,'Revenue Model'!AF11*'Control Tower'!$C$111)</f>
        <v/>
      </c>
      <c r="AG21" s="22">
        <f>MAX('Control Tower'!$B$111*(1+'Control Tower'!$B$49)^2,'Revenue Model'!AG11*'Control Tower'!$C$111)</f>
        <v/>
      </c>
      <c r="AH21" s="22">
        <f>MAX('Control Tower'!$B$111*(1+'Control Tower'!$B$49)^2,'Revenue Model'!AH11*'Control Tower'!$C$111)</f>
        <v/>
      </c>
      <c r="AI21" s="22">
        <f>MAX('Control Tower'!$B$111*(1+'Control Tower'!$B$49)^2,'Revenue Model'!AI11*'Control Tower'!$C$111)</f>
        <v/>
      </c>
      <c r="AJ21" s="22">
        <f>MAX('Control Tower'!$B$111*(1+'Control Tower'!$B$49)^2,'Revenue Model'!AJ11*'Control Tower'!$C$111)</f>
        <v/>
      </c>
      <c r="AK21" s="22">
        <f>MAX('Control Tower'!$B$111*(1+'Control Tower'!$B$49)^2,'Revenue Model'!AK11*'Control Tower'!$C$111)</f>
        <v/>
      </c>
      <c r="AL21" s="22">
        <f>MAX('Control Tower'!$B$111*(1+'Control Tower'!$B$49)^2,'Revenue Model'!AL11*'Control Tower'!$C$111)</f>
        <v/>
      </c>
    </row>
    <row r="22">
      <c r="A22" s="4" t="inlineStr">
        <is>
          <t>General liability insurance (6580-Z)</t>
        </is>
      </c>
      <c r="C22" s="22">
        <f>MAX('Control Tower'!$B$112*(1+'Control Tower'!$B$49)^0,'Revenue Model'!C11*'Control Tower'!$C$112)</f>
        <v/>
      </c>
      <c r="D22" s="22">
        <f>MAX('Control Tower'!$B$112*(1+'Control Tower'!$B$49)^0,'Revenue Model'!D11*'Control Tower'!$C$112)</f>
        <v/>
      </c>
      <c r="E22" s="22">
        <f>MAX('Control Tower'!$B$112*(1+'Control Tower'!$B$49)^0,'Revenue Model'!E11*'Control Tower'!$C$112)</f>
        <v/>
      </c>
      <c r="F22" s="22">
        <f>MAX('Control Tower'!$B$112*(1+'Control Tower'!$B$49)^0,'Revenue Model'!F11*'Control Tower'!$C$112)</f>
        <v/>
      </c>
      <c r="G22" s="22">
        <f>MAX('Control Tower'!$B$112*(1+'Control Tower'!$B$49)^0,'Revenue Model'!G11*'Control Tower'!$C$112)</f>
        <v/>
      </c>
      <c r="H22" s="22">
        <f>MAX('Control Tower'!$B$112*(1+'Control Tower'!$B$49)^0,'Revenue Model'!H11*'Control Tower'!$C$112)</f>
        <v/>
      </c>
      <c r="I22" s="22">
        <f>MAX('Control Tower'!$B$112*(1+'Control Tower'!$B$49)^0,'Revenue Model'!I11*'Control Tower'!$C$112)</f>
        <v/>
      </c>
      <c r="J22" s="22">
        <f>MAX('Control Tower'!$B$112*(1+'Control Tower'!$B$49)^0,'Revenue Model'!J11*'Control Tower'!$C$112)</f>
        <v/>
      </c>
      <c r="K22" s="22">
        <f>MAX('Control Tower'!$B$112*(1+'Control Tower'!$B$49)^0,'Revenue Model'!K11*'Control Tower'!$C$112)</f>
        <v/>
      </c>
      <c r="L22" s="22">
        <f>MAX('Control Tower'!$B$112*(1+'Control Tower'!$B$49)^0,'Revenue Model'!L11*'Control Tower'!$C$112)</f>
        <v/>
      </c>
      <c r="M22" s="22">
        <f>MAX('Control Tower'!$B$112*(1+'Control Tower'!$B$49)^0,'Revenue Model'!M11*'Control Tower'!$C$112)</f>
        <v/>
      </c>
      <c r="N22" s="22">
        <f>MAX('Control Tower'!$B$112*(1+'Control Tower'!$B$49)^0,'Revenue Model'!N11*'Control Tower'!$C$112)</f>
        <v/>
      </c>
      <c r="O22" s="22">
        <f>MAX('Control Tower'!$B$112*(1+'Control Tower'!$B$49)^1,'Revenue Model'!O11*'Control Tower'!$C$112)</f>
        <v/>
      </c>
      <c r="P22" s="22">
        <f>MAX('Control Tower'!$B$112*(1+'Control Tower'!$B$49)^1,'Revenue Model'!P11*'Control Tower'!$C$112)</f>
        <v/>
      </c>
      <c r="Q22" s="22">
        <f>MAX('Control Tower'!$B$112*(1+'Control Tower'!$B$49)^1,'Revenue Model'!Q11*'Control Tower'!$C$112)</f>
        <v/>
      </c>
      <c r="R22" s="22">
        <f>MAX('Control Tower'!$B$112*(1+'Control Tower'!$B$49)^1,'Revenue Model'!R11*'Control Tower'!$C$112)</f>
        <v/>
      </c>
      <c r="S22" s="22">
        <f>MAX('Control Tower'!$B$112*(1+'Control Tower'!$B$49)^1,'Revenue Model'!S11*'Control Tower'!$C$112)</f>
        <v/>
      </c>
      <c r="T22" s="22">
        <f>MAX('Control Tower'!$B$112*(1+'Control Tower'!$B$49)^1,'Revenue Model'!T11*'Control Tower'!$C$112)</f>
        <v/>
      </c>
      <c r="U22" s="22">
        <f>MAX('Control Tower'!$B$112*(1+'Control Tower'!$B$49)^1,'Revenue Model'!U11*'Control Tower'!$C$112)</f>
        <v/>
      </c>
      <c r="V22" s="22">
        <f>MAX('Control Tower'!$B$112*(1+'Control Tower'!$B$49)^1,'Revenue Model'!V11*'Control Tower'!$C$112)</f>
        <v/>
      </c>
      <c r="W22" s="22">
        <f>MAX('Control Tower'!$B$112*(1+'Control Tower'!$B$49)^1,'Revenue Model'!W11*'Control Tower'!$C$112)</f>
        <v/>
      </c>
      <c r="X22" s="22">
        <f>MAX('Control Tower'!$B$112*(1+'Control Tower'!$B$49)^1,'Revenue Model'!X11*'Control Tower'!$C$112)</f>
        <v/>
      </c>
      <c r="Y22" s="22">
        <f>MAX('Control Tower'!$B$112*(1+'Control Tower'!$B$49)^1,'Revenue Model'!Y11*'Control Tower'!$C$112)</f>
        <v/>
      </c>
      <c r="Z22" s="22">
        <f>MAX('Control Tower'!$B$112*(1+'Control Tower'!$B$49)^1,'Revenue Model'!Z11*'Control Tower'!$C$112)</f>
        <v/>
      </c>
      <c r="AA22" s="22">
        <f>MAX('Control Tower'!$B$112*(1+'Control Tower'!$B$49)^2,'Revenue Model'!AA11*'Control Tower'!$C$112)</f>
        <v/>
      </c>
      <c r="AB22" s="22">
        <f>MAX('Control Tower'!$B$112*(1+'Control Tower'!$B$49)^2,'Revenue Model'!AB11*'Control Tower'!$C$112)</f>
        <v/>
      </c>
      <c r="AC22" s="22">
        <f>MAX('Control Tower'!$B$112*(1+'Control Tower'!$B$49)^2,'Revenue Model'!AC11*'Control Tower'!$C$112)</f>
        <v/>
      </c>
      <c r="AD22" s="22">
        <f>MAX('Control Tower'!$B$112*(1+'Control Tower'!$B$49)^2,'Revenue Model'!AD11*'Control Tower'!$C$112)</f>
        <v/>
      </c>
      <c r="AE22" s="22">
        <f>MAX('Control Tower'!$B$112*(1+'Control Tower'!$B$49)^2,'Revenue Model'!AE11*'Control Tower'!$C$112)</f>
        <v/>
      </c>
      <c r="AF22" s="22">
        <f>MAX('Control Tower'!$B$112*(1+'Control Tower'!$B$49)^2,'Revenue Model'!AF11*'Control Tower'!$C$112)</f>
        <v/>
      </c>
      <c r="AG22" s="22">
        <f>MAX('Control Tower'!$B$112*(1+'Control Tower'!$B$49)^2,'Revenue Model'!AG11*'Control Tower'!$C$112)</f>
        <v/>
      </c>
      <c r="AH22" s="22">
        <f>MAX('Control Tower'!$B$112*(1+'Control Tower'!$B$49)^2,'Revenue Model'!AH11*'Control Tower'!$C$112)</f>
        <v/>
      </c>
      <c r="AI22" s="22">
        <f>MAX('Control Tower'!$B$112*(1+'Control Tower'!$B$49)^2,'Revenue Model'!AI11*'Control Tower'!$C$112)</f>
        <v/>
      </c>
      <c r="AJ22" s="22">
        <f>MAX('Control Tower'!$B$112*(1+'Control Tower'!$B$49)^2,'Revenue Model'!AJ11*'Control Tower'!$C$112)</f>
        <v/>
      </c>
      <c r="AK22" s="22">
        <f>MAX('Control Tower'!$B$112*(1+'Control Tower'!$B$49)^2,'Revenue Model'!AK11*'Control Tower'!$C$112)</f>
        <v/>
      </c>
      <c r="AL22" s="22">
        <f>MAX('Control Tower'!$B$112*(1+'Control Tower'!$B$49)^2,'Revenue Model'!AL11*'Control Tower'!$C$112)</f>
        <v/>
      </c>
    </row>
    <row r="23">
      <c r="A23" s="4" t="inlineStr">
        <is>
          <t>Phone &amp; internet (6710-Z)</t>
        </is>
      </c>
      <c r="C23" s="22">
        <f>MAX('Control Tower'!$B$113*(1+'Control Tower'!$B$49)^0,'Revenue Model'!C11*'Control Tower'!$C$113)</f>
        <v/>
      </c>
      <c r="D23" s="22">
        <f>MAX('Control Tower'!$B$113*(1+'Control Tower'!$B$49)^0,'Revenue Model'!D11*'Control Tower'!$C$113)</f>
        <v/>
      </c>
      <c r="E23" s="22">
        <f>MAX('Control Tower'!$B$113*(1+'Control Tower'!$B$49)^0,'Revenue Model'!E11*'Control Tower'!$C$113)</f>
        <v/>
      </c>
      <c r="F23" s="22">
        <f>MAX('Control Tower'!$B$113*(1+'Control Tower'!$B$49)^0,'Revenue Model'!F11*'Control Tower'!$C$113)</f>
        <v/>
      </c>
      <c r="G23" s="22">
        <f>MAX('Control Tower'!$B$113*(1+'Control Tower'!$B$49)^0,'Revenue Model'!G11*'Control Tower'!$C$113)</f>
        <v/>
      </c>
      <c r="H23" s="22">
        <f>MAX('Control Tower'!$B$113*(1+'Control Tower'!$B$49)^0,'Revenue Model'!H11*'Control Tower'!$C$113)</f>
        <v/>
      </c>
      <c r="I23" s="22">
        <f>MAX('Control Tower'!$B$113*(1+'Control Tower'!$B$49)^0,'Revenue Model'!I11*'Control Tower'!$C$113)</f>
        <v/>
      </c>
      <c r="J23" s="22">
        <f>MAX('Control Tower'!$B$113*(1+'Control Tower'!$B$49)^0,'Revenue Model'!J11*'Control Tower'!$C$113)</f>
        <v/>
      </c>
      <c r="K23" s="22">
        <f>MAX('Control Tower'!$B$113*(1+'Control Tower'!$B$49)^0,'Revenue Model'!K11*'Control Tower'!$C$113)</f>
        <v/>
      </c>
      <c r="L23" s="22">
        <f>MAX('Control Tower'!$B$113*(1+'Control Tower'!$B$49)^0,'Revenue Model'!L11*'Control Tower'!$C$113)</f>
        <v/>
      </c>
      <c r="M23" s="22">
        <f>MAX('Control Tower'!$B$113*(1+'Control Tower'!$B$49)^0,'Revenue Model'!M11*'Control Tower'!$C$113)</f>
        <v/>
      </c>
      <c r="N23" s="22">
        <f>MAX('Control Tower'!$B$113*(1+'Control Tower'!$B$49)^0,'Revenue Model'!N11*'Control Tower'!$C$113)</f>
        <v/>
      </c>
      <c r="O23" s="22">
        <f>MAX('Control Tower'!$B$113*(1+'Control Tower'!$B$49)^1,'Revenue Model'!O11*'Control Tower'!$C$113)</f>
        <v/>
      </c>
      <c r="P23" s="22">
        <f>MAX('Control Tower'!$B$113*(1+'Control Tower'!$B$49)^1,'Revenue Model'!P11*'Control Tower'!$C$113)</f>
        <v/>
      </c>
      <c r="Q23" s="22">
        <f>MAX('Control Tower'!$B$113*(1+'Control Tower'!$B$49)^1,'Revenue Model'!Q11*'Control Tower'!$C$113)</f>
        <v/>
      </c>
      <c r="R23" s="22">
        <f>MAX('Control Tower'!$B$113*(1+'Control Tower'!$B$49)^1,'Revenue Model'!R11*'Control Tower'!$C$113)</f>
        <v/>
      </c>
      <c r="S23" s="22">
        <f>MAX('Control Tower'!$B$113*(1+'Control Tower'!$B$49)^1,'Revenue Model'!S11*'Control Tower'!$C$113)</f>
        <v/>
      </c>
      <c r="T23" s="22">
        <f>MAX('Control Tower'!$B$113*(1+'Control Tower'!$B$49)^1,'Revenue Model'!T11*'Control Tower'!$C$113)</f>
        <v/>
      </c>
      <c r="U23" s="22">
        <f>MAX('Control Tower'!$B$113*(1+'Control Tower'!$B$49)^1,'Revenue Model'!U11*'Control Tower'!$C$113)</f>
        <v/>
      </c>
      <c r="V23" s="22">
        <f>MAX('Control Tower'!$B$113*(1+'Control Tower'!$B$49)^1,'Revenue Model'!V11*'Control Tower'!$C$113)</f>
        <v/>
      </c>
      <c r="W23" s="22">
        <f>MAX('Control Tower'!$B$113*(1+'Control Tower'!$B$49)^1,'Revenue Model'!W11*'Control Tower'!$C$113)</f>
        <v/>
      </c>
      <c r="X23" s="22">
        <f>MAX('Control Tower'!$B$113*(1+'Control Tower'!$B$49)^1,'Revenue Model'!X11*'Control Tower'!$C$113)</f>
        <v/>
      </c>
      <c r="Y23" s="22">
        <f>MAX('Control Tower'!$B$113*(1+'Control Tower'!$B$49)^1,'Revenue Model'!Y11*'Control Tower'!$C$113)</f>
        <v/>
      </c>
      <c r="Z23" s="22">
        <f>MAX('Control Tower'!$B$113*(1+'Control Tower'!$B$49)^1,'Revenue Model'!Z11*'Control Tower'!$C$113)</f>
        <v/>
      </c>
      <c r="AA23" s="22">
        <f>MAX('Control Tower'!$B$113*(1+'Control Tower'!$B$49)^2,'Revenue Model'!AA11*'Control Tower'!$C$113)</f>
        <v/>
      </c>
      <c r="AB23" s="22">
        <f>MAX('Control Tower'!$B$113*(1+'Control Tower'!$B$49)^2,'Revenue Model'!AB11*'Control Tower'!$C$113)</f>
        <v/>
      </c>
      <c r="AC23" s="22">
        <f>MAX('Control Tower'!$B$113*(1+'Control Tower'!$B$49)^2,'Revenue Model'!AC11*'Control Tower'!$C$113)</f>
        <v/>
      </c>
      <c r="AD23" s="22">
        <f>MAX('Control Tower'!$B$113*(1+'Control Tower'!$B$49)^2,'Revenue Model'!AD11*'Control Tower'!$C$113)</f>
        <v/>
      </c>
      <c r="AE23" s="22">
        <f>MAX('Control Tower'!$B$113*(1+'Control Tower'!$B$49)^2,'Revenue Model'!AE11*'Control Tower'!$C$113)</f>
        <v/>
      </c>
      <c r="AF23" s="22">
        <f>MAX('Control Tower'!$B$113*(1+'Control Tower'!$B$49)^2,'Revenue Model'!AF11*'Control Tower'!$C$113)</f>
        <v/>
      </c>
      <c r="AG23" s="22">
        <f>MAX('Control Tower'!$B$113*(1+'Control Tower'!$B$49)^2,'Revenue Model'!AG11*'Control Tower'!$C$113)</f>
        <v/>
      </c>
      <c r="AH23" s="22">
        <f>MAX('Control Tower'!$B$113*(1+'Control Tower'!$B$49)^2,'Revenue Model'!AH11*'Control Tower'!$C$113)</f>
        <v/>
      </c>
      <c r="AI23" s="22">
        <f>MAX('Control Tower'!$B$113*(1+'Control Tower'!$B$49)^2,'Revenue Model'!AI11*'Control Tower'!$C$113)</f>
        <v/>
      </c>
      <c r="AJ23" s="22">
        <f>MAX('Control Tower'!$B$113*(1+'Control Tower'!$B$49)^2,'Revenue Model'!AJ11*'Control Tower'!$C$113)</f>
        <v/>
      </c>
      <c r="AK23" s="22">
        <f>MAX('Control Tower'!$B$113*(1+'Control Tower'!$B$49)^2,'Revenue Model'!AK11*'Control Tower'!$C$113)</f>
        <v/>
      </c>
      <c r="AL23" s="22">
        <f>MAX('Control Tower'!$B$113*(1+'Control Tower'!$B$49)^2,'Revenue Model'!AL11*'Control Tower'!$C$113)</f>
        <v/>
      </c>
    </row>
    <row r="24">
      <c r="A24" s="4" t="inlineStr">
        <is>
          <t>Marketing &amp; referral development (6800-M)</t>
        </is>
      </c>
      <c r="C24" s="22">
        <f>MAX('Control Tower'!$B$114*(1+'Control Tower'!$B$49)^0,'Revenue Model'!C11*'Control Tower'!$C$114)</f>
        <v/>
      </c>
      <c r="D24" s="22">
        <f>MAX('Control Tower'!$B$114*(1+'Control Tower'!$B$49)^0,'Revenue Model'!D11*'Control Tower'!$C$114)</f>
        <v/>
      </c>
      <c r="E24" s="22">
        <f>MAX('Control Tower'!$B$114*(1+'Control Tower'!$B$49)^0,'Revenue Model'!E11*'Control Tower'!$C$114)</f>
        <v/>
      </c>
      <c r="F24" s="22">
        <f>MAX('Control Tower'!$B$114*(1+'Control Tower'!$B$49)^0,'Revenue Model'!F11*'Control Tower'!$C$114)</f>
        <v/>
      </c>
      <c r="G24" s="22">
        <f>MAX('Control Tower'!$B$114*(1+'Control Tower'!$B$49)^0,'Revenue Model'!G11*'Control Tower'!$C$114)</f>
        <v/>
      </c>
      <c r="H24" s="22">
        <f>MAX('Control Tower'!$B$114*(1+'Control Tower'!$B$49)^0,'Revenue Model'!H11*'Control Tower'!$C$114)</f>
        <v/>
      </c>
      <c r="I24" s="22">
        <f>MAX('Control Tower'!$B$114*(1+'Control Tower'!$B$49)^0,'Revenue Model'!I11*'Control Tower'!$C$114)</f>
        <v/>
      </c>
      <c r="J24" s="22">
        <f>MAX('Control Tower'!$B$114*(1+'Control Tower'!$B$49)^0,'Revenue Model'!J11*'Control Tower'!$C$114)</f>
        <v/>
      </c>
      <c r="K24" s="22">
        <f>MAX('Control Tower'!$B$114*(1+'Control Tower'!$B$49)^0,'Revenue Model'!K11*'Control Tower'!$C$114)</f>
        <v/>
      </c>
      <c r="L24" s="22">
        <f>MAX('Control Tower'!$B$114*(1+'Control Tower'!$B$49)^0,'Revenue Model'!L11*'Control Tower'!$C$114)</f>
        <v/>
      </c>
      <c r="M24" s="22">
        <f>MAX('Control Tower'!$B$114*(1+'Control Tower'!$B$49)^0,'Revenue Model'!M11*'Control Tower'!$C$114)</f>
        <v/>
      </c>
      <c r="N24" s="22">
        <f>MAX('Control Tower'!$B$114*(1+'Control Tower'!$B$49)^0,'Revenue Model'!N11*'Control Tower'!$C$114)</f>
        <v/>
      </c>
      <c r="O24" s="22">
        <f>MAX('Control Tower'!$B$114*(1+'Control Tower'!$B$49)^1,'Revenue Model'!O11*'Control Tower'!$C$114)</f>
        <v/>
      </c>
      <c r="P24" s="22">
        <f>MAX('Control Tower'!$B$114*(1+'Control Tower'!$B$49)^1,'Revenue Model'!P11*'Control Tower'!$C$114)</f>
        <v/>
      </c>
      <c r="Q24" s="22">
        <f>MAX('Control Tower'!$B$114*(1+'Control Tower'!$B$49)^1,'Revenue Model'!Q11*'Control Tower'!$C$114)</f>
        <v/>
      </c>
      <c r="R24" s="22">
        <f>MAX('Control Tower'!$B$114*(1+'Control Tower'!$B$49)^1,'Revenue Model'!R11*'Control Tower'!$C$114)</f>
        <v/>
      </c>
      <c r="S24" s="22">
        <f>MAX('Control Tower'!$B$114*(1+'Control Tower'!$B$49)^1,'Revenue Model'!S11*'Control Tower'!$C$114)</f>
        <v/>
      </c>
      <c r="T24" s="22">
        <f>MAX('Control Tower'!$B$114*(1+'Control Tower'!$B$49)^1,'Revenue Model'!T11*'Control Tower'!$C$114)</f>
        <v/>
      </c>
      <c r="U24" s="22">
        <f>MAX('Control Tower'!$B$114*(1+'Control Tower'!$B$49)^1,'Revenue Model'!U11*'Control Tower'!$C$114)</f>
        <v/>
      </c>
      <c r="V24" s="22">
        <f>MAX('Control Tower'!$B$114*(1+'Control Tower'!$B$49)^1,'Revenue Model'!V11*'Control Tower'!$C$114)</f>
        <v/>
      </c>
      <c r="W24" s="22">
        <f>MAX('Control Tower'!$B$114*(1+'Control Tower'!$B$49)^1,'Revenue Model'!W11*'Control Tower'!$C$114)</f>
        <v/>
      </c>
      <c r="X24" s="22">
        <f>MAX('Control Tower'!$B$114*(1+'Control Tower'!$B$49)^1,'Revenue Model'!X11*'Control Tower'!$C$114)</f>
        <v/>
      </c>
      <c r="Y24" s="22">
        <f>MAX('Control Tower'!$B$114*(1+'Control Tower'!$B$49)^1,'Revenue Model'!Y11*'Control Tower'!$C$114)</f>
        <v/>
      </c>
      <c r="Z24" s="22">
        <f>MAX('Control Tower'!$B$114*(1+'Control Tower'!$B$49)^1,'Revenue Model'!Z11*'Control Tower'!$C$114)</f>
        <v/>
      </c>
      <c r="AA24" s="22">
        <f>MAX('Control Tower'!$B$114*(1+'Control Tower'!$B$49)^2,'Revenue Model'!AA11*'Control Tower'!$C$114)</f>
        <v/>
      </c>
      <c r="AB24" s="22">
        <f>MAX('Control Tower'!$B$114*(1+'Control Tower'!$B$49)^2,'Revenue Model'!AB11*'Control Tower'!$C$114)</f>
        <v/>
      </c>
      <c r="AC24" s="22">
        <f>MAX('Control Tower'!$B$114*(1+'Control Tower'!$B$49)^2,'Revenue Model'!AC11*'Control Tower'!$C$114)</f>
        <v/>
      </c>
      <c r="AD24" s="22">
        <f>MAX('Control Tower'!$B$114*(1+'Control Tower'!$B$49)^2,'Revenue Model'!AD11*'Control Tower'!$C$114)</f>
        <v/>
      </c>
      <c r="AE24" s="22">
        <f>MAX('Control Tower'!$B$114*(1+'Control Tower'!$B$49)^2,'Revenue Model'!AE11*'Control Tower'!$C$114)</f>
        <v/>
      </c>
      <c r="AF24" s="22">
        <f>MAX('Control Tower'!$B$114*(1+'Control Tower'!$B$49)^2,'Revenue Model'!AF11*'Control Tower'!$C$114)</f>
        <v/>
      </c>
      <c r="AG24" s="22">
        <f>MAX('Control Tower'!$B$114*(1+'Control Tower'!$B$49)^2,'Revenue Model'!AG11*'Control Tower'!$C$114)</f>
        <v/>
      </c>
      <c r="AH24" s="22">
        <f>MAX('Control Tower'!$B$114*(1+'Control Tower'!$B$49)^2,'Revenue Model'!AH11*'Control Tower'!$C$114)</f>
        <v/>
      </c>
      <c r="AI24" s="22">
        <f>MAX('Control Tower'!$B$114*(1+'Control Tower'!$B$49)^2,'Revenue Model'!AI11*'Control Tower'!$C$114)</f>
        <v/>
      </c>
      <c r="AJ24" s="22">
        <f>MAX('Control Tower'!$B$114*(1+'Control Tower'!$B$49)^2,'Revenue Model'!AJ11*'Control Tower'!$C$114)</f>
        <v/>
      </c>
      <c r="AK24" s="22">
        <f>MAX('Control Tower'!$B$114*(1+'Control Tower'!$B$49)^2,'Revenue Model'!AK11*'Control Tower'!$C$114)</f>
        <v/>
      </c>
      <c r="AL24" s="22">
        <f>MAX('Control Tower'!$B$114*(1+'Control Tower'!$B$49)^2,'Revenue Model'!AL11*'Control Tower'!$C$114)</f>
        <v/>
      </c>
    </row>
    <row r="25">
      <c r="A25" s="4" t="inlineStr">
        <is>
          <t>Accounting &amp; bookkeeping (6510-Z)</t>
        </is>
      </c>
      <c r="C25" s="22">
        <f>MAX('Control Tower'!$B$115*(1+'Control Tower'!$B$49)^0,'Revenue Model'!C11*'Control Tower'!$C$115)</f>
        <v/>
      </c>
      <c r="D25" s="22">
        <f>MAX('Control Tower'!$B$115*(1+'Control Tower'!$B$49)^0,'Revenue Model'!D11*'Control Tower'!$C$115)</f>
        <v/>
      </c>
      <c r="E25" s="22">
        <f>MAX('Control Tower'!$B$115*(1+'Control Tower'!$B$49)^0,'Revenue Model'!E11*'Control Tower'!$C$115)</f>
        <v/>
      </c>
      <c r="F25" s="22">
        <f>MAX('Control Tower'!$B$115*(1+'Control Tower'!$B$49)^0,'Revenue Model'!F11*'Control Tower'!$C$115)</f>
        <v/>
      </c>
      <c r="G25" s="22">
        <f>MAX('Control Tower'!$B$115*(1+'Control Tower'!$B$49)^0,'Revenue Model'!G11*'Control Tower'!$C$115)</f>
        <v/>
      </c>
      <c r="H25" s="22">
        <f>MAX('Control Tower'!$B$115*(1+'Control Tower'!$B$49)^0,'Revenue Model'!H11*'Control Tower'!$C$115)</f>
        <v/>
      </c>
      <c r="I25" s="22">
        <f>MAX('Control Tower'!$B$115*(1+'Control Tower'!$B$49)^0,'Revenue Model'!I11*'Control Tower'!$C$115)</f>
        <v/>
      </c>
      <c r="J25" s="22">
        <f>MAX('Control Tower'!$B$115*(1+'Control Tower'!$B$49)^0,'Revenue Model'!J11*'Control Tower'!$C$115)</f>
        <v/>
      </c>
      <c r="K25" s="22">
        <f>MAX('Control Tower'!$B$115*(1+'Control Tower'!$B$49)^0,'Revenue Model'!K11*'Control Tower'!$C$115)</f>
        <v/>
      </c>
      <c r="L25" s="22">
        <f>MAX('Control Tower'!$B$115*(1+'Control Tower'!$B$49)^0,'Revenue Model'!L11*'Control Tower'!$C$115)</f>
        <v/>
      </c>
      <c r="M25" s="22">
        <f>MAX('Control Tower'!$B$115*(1+'Control Tower'!$B$49)^0,'Revenue Model'!M11*'Control Tower'!$C$115)</f>
        <v/>
      </c>
      <c r="N25" s="22">
        <f>MAX('Control Tower'!$B$115*(1+'Control Tower'!$B$49)^0,'Revenue Model'!N11*'Control Tower'!$C$115)</f>
        <v/>
      </c>
      <c r="O25" s="22">
        <f>MAX('Control Tower'!$B$115*(1+'Control Tower'!$B$49)^1,'Revenue Model'!O11*'Control Tower'!$C$115)</f>
        <v/>
      </c>
      <c r="P25" s="22">
        <f>MAX('Control Tower'!$B$115*(1+'Control Tower'!$B$49)^1,'Revenue Model'!P11*'Control Tower'!$C$115)</f>
        <v/>
      </c>
      <c r="Q25" s="22">
        <f>MAX('Control Tower'!$B$115*(1+'Control Tower'!$B$49)^1,'Revenue Model'!Q11*'Control Tower'!$C$115)</f>
        <v/>
      </c>
      <c r="R25" s="22">
        <f>MAX('Control Tower'!$B$115*(1+'Control Tower'!$B$49)^1,'Revenue Model'!R11*'Control Tower'!$C$115)</f>
        <v/>
      </c>
      <c r="S25" s="22">
        <f>MAX('Control Tower'!$B$115*(1+'Control Tower'!$B$49)^1,'Revenue Model'!S11*'Control Tower'!$C$115)</f>
        <v/>
      </c>
      <c r="T25" s="22">
        <f>MAX('Control Tower'!$B$115*(1+'Control Tower'!$B$49)^1,'Revenue Model'!T11*'Control Tower'!$C$115)</f>
        <v/>
      </c>
      <c r="U25" s="22">
        <f>MAX('Control Tower'!$B$115*(1+'Control Tower'!$B$49)^1,'Revenue Model'!U11*'Control Tower'!$C$115)</f>
        <v/>
      </c>
      <c r="V25" s="22">
        <f>MAX('Control Tower'!$B$115*(1+'Control Tower'!$B$49)^1,'Revenue Model'!V11*'Control Tower'!$C$115)</f>
        <v/>
      </c>
      <c r="W25" s="22">
        <f>MAX('Control Tower'!$B$115*(1+'Control Tower'!$B$49)^1,'Revenue Model'!W11*'Control Tower'!$C$115)</f>
        <v/>
      </c>
      <c r="X25" s="22">
        <f>MAX('Control Tower'!$B$115*(1+'Control Tower'!$B$49)^1,'Revenue Model'!X11*'Control Tower'!$C$115)</f>
        <v/>
      </c>
      <c r="Y25" s="22">
        <f>MAX('Control Tower'!$B$115*(1+'Control Tower'!$B$49)^1,'Revenue Model'!Y11*'Control Tower'!$C$115)</f>
        <v/>
      </c>
      <c r="Z25" s="22">
        <f>MAX('Control Tower'!$B$115*(1+'Control Tower'!$B$49)^1,'Revenue Model'!Z11*'Control Tower'!$C$115)</f>
        <v/>
      </c>
      <c r="AA25" s="22">
        <f>MAX('Control Tower'!$B$115*(1+'Control Tower'!$B$49)^2,'Revenue Model'!AA11*'Control Tower'!$C$115)</f>
        <v/>
      </c>
      <c r="AB25" s="22">
        <f>MAX('Control Tower'!$B$115*(1+'Control Tower'!$B$49)^2,'Revenue Model'!AB11*'Control Tower'!$C$115)</f>
        <v/>
      </c>
      <c r="AC25" s="22">
        <f>MAX('Control Tower'!$B$115*(1+'Control Tower'!$B$49)^2,'Revenue Model'!AC11*'Control Tower'!$C$115)</f>
        <v/>
      </c>
      <c r="AD25" s="22">
        <f>MAX('Control Tower'!$B$115*(1+'Control Tower'!$B$49)^2,'Revenue Model'!AD11*'Control Tower'!$C$115)</f>
        <v/>
      </c>
      <c r="AE25" s="22">
        <f>MAX('Control Tower'!$B$115*(1+'Control Tower'!$B$49)^2,'Revenue Model'!AE11*'Control Tower'!$C$115)</f>
        <v/>
      </c>
      <c r="AF25" s="22">
        <f>MAX('Control Tower'!$B$115*(1+'Control Tower'!$B$49)^2,'Revenue Model'!AF11*'Control Tower'!$C$115)</f>
        <v/>
      </c>
      <c r="AG25" s="22">
        <f>MAX('Control Tower'!$B$115*(1+'Control Tower'!$B$49)^2,'Revenue Model'!AG11*'Control Tower'!$C$115)</f>
        <v/>
      </c>
      <c r="AH25" s="22">
        <f>MAX('Control Tower'!$B$115*(1+'Control Tower'!$B$49)^2,'Revenue Model'!AH11*'Control Tower'!$C$115)</f>
        <v/>
      </c>
      <c r="AI25" s="22">
        <f>MAX('Control Tower'!$B$115*(1+'Control Tower'!$B$49)^2,'Revenue Model'!AI11*'Control Tower'!$C$115)</f>
        <v/>
      </c>
      <c r="AJ25" s="22">
        <f>MAX('Control Tower'!$B$115*(1+'Control Tower'!$B$49)^2,'Revenue Model'!AJ11*'Control Tower'!$C$115)</f>
        <v/>
      </c>
      <c r="AK25" s="22">
        <f>MAX('Control Tower'!$B$115*(1+'Control Tower'!$B$49)^2,'Revenue Model'!AK11*'Control Tower'!$C$115)</f>
        <v/>
      </c>
      <c r="AL25" s="22">
        <f>MAX('Control Tower'!$B$115*(1+'Control Tower'!$B$49)^2,'Revenue Model'!AL11*'Control Tower'!$C$115)</f>
        <v/>
      </c>
    </row>
    <row r="26">
      <c r="A26" s="4" t="inlineStr">
        <is>
          <t>Legal &amp; compliance (6600-Z)</t>
        </is>
      </c>
      <c r="C26" s="22">
        <f>IF(1&gt;=4,MAX('Control Tower'!$B$116*(1+'Control Tower'!$B$49)^0,'Revenue Model'!C11*'Control Tower'!$C$116),0)</f>
        <v/>
      </c>
      <c r="D26" s="22">
        <f>IF(2&gt;=4,MAX('Control Tower'!$B$116*(1+'Control Tower'!$B$49)^0,'Revenue Model'!D11*'Control Tower'!$C$116),0)</f>
        <v/>
      </c>
      <c r="E26" s="22">
        <f>IF(3&gt;=4,MAX('Control Tower'!$B$116*(1+'Control Tower'!$B$49)^0,'Revenue Model'!E11*'Control Tower'!$C$116),0)</f>
        <v/>
      </c>
      <c r="F26" s="22">
        <f>IF(4&gt;=4,MAX('Control Tower'!$B$116*(1+'Control Tower'!$B$49)^0,'Revenue Model'!F11*'Control Tower'!$C$116),0)</f>
        <v/>
      </c>
      <c r="G26" s="22">
        <f>IF(5&gt;=4,MAX('Control Tower'!$B$116*(1+'Control Tower'!$B$49)^0,'Revenue Model'!G11*'Control Tower'!$C$116),0)</f>
        <v/>
      </c>
      <c r="H26" s="22">
        <f>IF(6&gt;=4,MAX('Control Tower'!$B$116*(1+'Control Tower'!$B$49)^0,'Revenue Model'!H11*'Control Tower'!$C$116),0)</f>
        <v/>
      </c>
      <c r="I26" s="22">
        <f>IF(7&gt;=4,MAX('Control Tower'!$B$116*(1+'Control Tower'!$B$49)^0,'Revenue Model'!I11*'Control Tower'!$C$116),0)</f>
        <v/>
      </c>
      <c r="J26" s="22">
        <f>IF(8&gt;=4,MAX('Control Tower'!$B$116*(1+'Control Tower'!$B$49)^0,'Revenue Model'!J11*'Control Tower'!$C$116),0)</f>
        <v/>
      </c>
      <c r="K26" s="22">
        <f>IF(9&gt;=4,MAX('Control Tower'!$B$116*(1+'Control Tower'!$B$49)^0,'Revenue Model'!K11*'Control Tower'!$C$116),0)</f>
        <v/>
      </c>
      <c r="L26" s="22">
        <f>IF(10&gt;=4,MAX('Control Tower'!$B$116*(1+'Control Tower'!$B$49)^0,'Revenue Model'!L11*'Control Tower'!$C$116),0)</f>
        <v/>
      </c>
      <c r="M26" s="22">
        <f>IF(11&gt;=4,MAX('Control Tower'!$B$116*(1+'Control Tower'!$B$49)^0,'Revenue Model'!M11*'Control Tower'!$C$116),0)</f>
        <v/>
      </c>
      <c r="N26" s="22">
        <f>IF(12&gt;=4,MAX('Control Tower'!$B$116*(1+'Control Tower'!$B$49)^0,'Revenue Model'!N11*'Control Tower'!$C$116),0)</f>
        <v/>
      </c>
      <c r="O26" s="22">
        <f>IF(13&gt;=4,MAX('Control Tower'!$B$116*(1+'Control Tower'!$B$49)^1,'Revenue Model'!O11*'Control Tower'!$C$116),0)</f>
        <v/>
      </c>
      <c r="P26" s="22">
        <f>IF(14&gt;=4,MAX('Control Tower'!$B$116*(1+'Control Tower'!$B$49)^1,'Revenue Model'!P11*'Control Tower'!$C$116),0)</f>
        <v/>
      </c>
      <c r="Q26" s="22">
        <f>IF(15&gt;=4,MAX('Control Tower'!$B$116*(1+'Control Tower'!$B$49)^1,'Revenue Model'!Q11*'Control Tower'!$C$116),0)</f>
        <v/>
      </c>
      <c r="R26" s="22">
        <f>IF(16&gt;=4,MAX('Control Tower'!$B$116*(1+'Control Tower'!$B$49)^1,'Revenue Model'!R11*'Control Tower'!$C$116),0)</f>
        <v/>
      </c>
      <c r="S26" s="22">
        <f>IF(17&gt;=4,MAX('Control Tower'!$B$116*(1+'Control Tower'!$B$49)^1,'Revenue Model'!S11*'Control Tower'!$C$116),0)</f>
        <v/>
      </c>
      <c r="T26" s="22">
        <f>IF(18&gt;=4,MAX('Control Tower'!$B$116*(1+'Control Tower'!$B$49)^1,'Revenue Model'!T11*'Control Tower'!$C$116),0)</f>
        <v/>
      </c>
      <c r="U26" s="22">
        <f>IF(19&gt;=4,MAX('Control Tower'!$B$116*(1+'Control Tower'!$B$49)^1,'Revenue Model'!U11*'Control Tower'!$C$116),0)</f>
        <v/>
      </c>
      <c r="V26" s="22">
        <f>IF(20&gt;=4,MAX('Control Tower'!$B$116*(1+'Control Tower'!$B$49)^1,'Revenue Model'!V11*'Control Tower'!$C$116),0)</f>
        <v/>
      </c>
      <c r="W26" s="22">
        <f>IF(21&gt;=4,MAX('Control Tower'!$B$116*(1+'Control Tower'!$B$49)^1,'Revenue Model'!W11*'Control Tower'!$C$116),0)</f>
        <v/>
      </c>
      <c r="X26" s="22">
        <f>IF(22&gt;=4,MAX('Control Tower'!$B$116*(1+'Control Tower'!$B$49)^1,'Revenue Model'!X11*'Control Tower'!$C$116),0)</f>
        <v/>
      </c>
      <c r="Y26" s="22">
        <f>IF(23&gt;=4,MAX('Control Tower'!$B$116*(1+'Control Tower'!$B$49)^1,'Revenue Model'!Y11*'Control Tower'!$C$116),0)</f>
        <v/>
      </c>
      <c r="Z26" s="22">
        <f>IF(24&gt;=4,MAX('Control Tower'!$B$116*(1+'Control Tower'!$B$49)^1,'Revenue Model'!Z11*'Control Tower'!$C$116),0)</f>
        <v/>
      </c>
      <c r="AA26" s="22">
        <f>IF(25&gt;=4,MAX('Control Tower'!$B$116*(1+'Control Tower'!$B$49)^2,'Revenue Model'!AA11*'Control Tower'!$C$116),0)</f>
        <v/>
      </c>
      <c r="AB26" s="22">
        <f>IF(26&gt;=4,MAX('Control Tower'!$B$116*(1+'Control Tower'!$B$49)^2,'Revenue Model'!AB11*'Control Tower'!$C$116),0)</f>
        <v/>
      </c>
      <c r="AC26" s="22">
        <f>IF(27&gt;=4,MAX('Control Tower'!$B$116*(1+'Control Tower'!$B$49)^2,'Revenue Model'!AC11*'Control Tower'!$C$116),0)</f>
        <v/>
      </c>
      <c r="AD26" s="22">
        <f>IF(28&gt;=4,MAX('Control Tower'!$B$116*(1+'Control Tower'!$B$49)^2,'Revenue Model'!AD11*'Control Tower'!$C$116),0)</f>
        <v/>
      </c>
      <c r="AE26" s="22">
        <f>IF(29&gt;=4,MAX('Control Tower'!$B$116*(1+'Control Tower'!$B$49)^2,'Revenue Model'!AE11*'Control Tower'!$C$116),0)</f>
        <v/>
      </c>
      <c r="AF26" s="22">
        <f>IF(30&gt;=4,MAX('Control Tower'!$B$116*(1+'Control Tower'!$B$49)^2,'Revenue Model'!AF11*'Control Tower'!$C$116),0)</f>
        <v/>
      </c>
      <c r="AG26" s="22">
        <f>IF(31&gt;=4,MAX('Control Tower'!$B$116*(1+'Control Tower'!$B$49)^2,'Revenue Model'!AG11*'Control Tower'!$C$116),0)</f>
        <v/>
      </c>
      <c r="AH26" s="22">
        <f>IF(32&gt;=4,MAX('Control Tower'!$B$116*(1+'Control Tower'!$B$49)^2,'Revenue Model'!AH11*'Control Tower'!$C$116),0)</f>
        <v/>
      </c>
      <c r="AI26" s="22">
        <f>IF(33&gt;=4,MAX('Control Tower'!$B$116*(1+'Control Tower'!$B$49)^2,'Revenue Model'!AI11*'Control Tower'!$C$116),0)</f>
        <v/>
      </c>
      <c r="AJ26" s="22">
        <f>IF(34&gt;=4,MAX('Control Tower'!$B$116*(1+'Control Tower'!$B$49)^2,'Revenue Model'!AJ11*'Control Tower'!$C$116),0)</f>
        <v/>
      </c>
      <c r="AK26" s="22">
        <f>IF(35&gt;=4,MAX('Control Tower'!$B$116*(1+'Control Tower'!$B$49)^2,'Revenue Model'!AK11*'Control Tower'!$C$116),0)</f>
        <v/>
      </c>
      <c r="AL26" s="22">
        <f>IF(36&gt;=4,MAX('Control Tower'!$B$116*(1+'Control Tower'!$B$49)^2,'Revenue Model'!AL11*'Control Tower'!$C$116),0)</f>
        <v/>
      </c>
    </row>
    <row r="27">
      <c r="A27" s="4" t="inlineStr">
        <is>
          <t>Office supplies (6650-Z)</t>
        </is>
      </c>
      <c r="C27" s="22">
        <f>MAX('Control Tower'!$B$117*(1+'Control Tower'!$B$49)^0,'Revenue Model'!C11*'Control Tower'!$C$117)</f>
        <v/>
      </c>
      <c r="D27" s="22">
        <f>MAX('Control Tower'!$B$117*(1+'Control Tower'!$B$49)^0,'Revenue Model'!D11*'Control Tower'!$C$117)</f>
        <v/>
      </c>
      <c r="E27" s="22">
        <f>MAX('Control Tower'!$B$117*(1+'Control Tower'!$B$49)^0,'Revenue Model'!E11*'Control Tower'!$C$117)</f>
        <v/>
      </c>
      <c r="F27" s="22">
        <f>MAX('Control Tower'!$B$117*(1+'Control Tower'!$B$49)^0,'Revenue Model'!F11*'Control Tower'!$C$117)</f>
        <v/>
      </c>
      <c r="G27" s="22">
        <f>MAX('Control Tower'!$B$117*(1+'Control Tower'!$B$49)^0,'Revenue Model'!G11*'Control Tower'!$C$117)</f>
        <v/>
      </c>
      <c r="H27" s="22">
        <f>MAX('Control Tower'!$B$117*(1+'Control Tower'!$B$49)^0,'Revenue Model'!H11*'Control Tower'!$C$117)</f>
        <v/>
      </c>
      <c r="I27" s="22">
        <f>MAX('Control Tower'!$B$117*(1+'Control Tower'!$B$49)^0,'Revenue Model'!I11*'Control Tower'!$C$117)</f>
        <v/>
      </c>
      <c r="J27" s="22">
        <f>MAX('Control Tower'!$B$117*(1+'Control Tower'!$B$49)^0,'Revenue Model'!J11*'Control Tower'!$C$117)</f>
        <v/>
      </c>
      <c r="K27" s="22">
        <f>MAX('Control Tower'!$B$117*(1+'Control Tower'!$B$49)^0,'Revenue Model'!K11*'Control Tower'!$C$117)</f>
        <v/>
      </c>
      <c r="L27" s="22">
        <f>MAX('Control Tower'!$B$117*(1+'Control Tower'!$B$49)^0,'Revenue Model'!L11*'Control Tower'!$C$117)</f>
        <v/>
      </c>
      <c r="M27" s="22">
        <f>MAX('Control Tower'!$B$117*(1+'Control Tower'!$B$49)^0,'Revenue Model'!M11*'Control Tower'!$C$117)</f>
        <v/>
      </c>
      <c r="N27" s="22">
        <f>MAX('Control Tower'!$B$117*(1+'Control Tower'!$B$49)^0,'Revenue Model'!N11*'Control Tower'!$C$117)</f>
        <v/>
      </c>
      <c r="O27" s="22">
        <f>MAX('Control Tower'!$B$117*(1+'Control Tower'!$B$49)^1,'Revenue Model'!O11*'Control Tower'!$C$117)</f>
        <v/>
      </c>
      <c r="P27" s="22">
        <f>MAX('Control Tower'!$B$117*(1+'Control Tower'!$B$49)^1,'Revenue Model'!P11*'Control Tower'!$C$117)</f>
        <v/>
      </c>
      <c r="Q27" s="22">
        <f>MAX('Control Tower'!$B$117*(1+'Control Tower'!$B$49)^1,'Revenue Model'!Q11*'Control Tower'!$C$117)</f>
        <v/>
      </c>
      <c r="R27" s="22">
        <f>MAX('Control Tower'!$B$117*(1+'Control Tower'!$B$49)^1,'Revenue Model'!R11*'Control Tower'!$C$117)</f>
        <v/>
      </c>
      <c r="S27" s="22">
        <f>MAX('Control Tower'!$B$117*(1+'Control Tower'!$B$49)^1,'Revenue Model'!S11*'Control Tower'!$C$117)</f>
        <v/>
      </c>
      <c r="T27" s="22">
        <f>MAX('Control Tower'!$B$117*(1+'Control Tower'!$B$49)^1,'Revenue Model'!T11*'Control Tower'!$C$117)</f>
        <v/>
      </c>
      <c r="U27" s="22">
        <f>MAX('Control Tower'!$B$117*(1+'Control Tower'!$B$49)^1,'Revenue Model'!U11*'Control Tower'!$C$117)</f>
        <v/>
      </c>
      <c r="V27" s="22">
        <f>MAX('Control Tower'!$B$117*(1+'Control Tower'!$B$49)^1,'Revenue Model'!V11*'Control Tower'!$C$117)</f>
        <v/>
      </c>
      <c r="W27" s="22">
        <f>MAX('Control Tower'!$B$117*(1+'Control Tower'!$B$49)^1,'Revenue Model'!W11*'Control Tower'!$C$117)</f>
        <v/>
      </c>
      <c r="X27" s="22">
        <f>MAX('Control Tower'!$B$117*(1+'Control Tower'!$B$49)^1,'Revenue Model'!X11*'Control Tower'!$C$117)</f>
        <v/>
      </c>
      <c r="Y27" s="22">
        <f>MAX('Control Tower'!$B$117*(1+'Control Tower'!$B$49)^1,'Revenue Model'!Y11*'Control Tower'!$C$117)</f>
        <v/>
      </c>
      <c r="Z27" s="22">
        <f>MAX('Control Tower'!$B$117*(1+'Control Tower'!$B$49)^1,'Revenue Model'!Z11*'Control Tower'!$C$117)</f>
        <v/>
      </c>
      <c r="AA27" s="22">
        <f>MAX('Control Tower'!$B$117*(1+'Control Tower'!$B$49)^2,'Revenue Model'!AA11*'Control Tower'!$C$117)</f>
        <v/>
      </c>
      <c r="AB27" s="22">
        <f>MAX('Control Tower'!$B$117*(1+'Control Tower'!$B$49)^2,'Revenue Model'!AB11*'Control Tower'!$C$117)</f>
        <v/>
      </c>
      <c r="AC27" s="22">
        <f>MAX('Control Tower'!$B$117*(1+'Control Tower'!$B$49)^2,'Revenue Model'!AC11*'Control Tower'!$C$117)</f>
        <v/>
      </c>
      <c r="AD27" s="22">
        <f>MAX('Control Tower'!$B$117*(1+'Control Tower'!$B$49)^2,'Revenue Model'!AD11*'Control Tower'!$C$117)</f>
        <v/>
      </c>
      <c r="AE27" s="22">
        <f>MAX('Control Tower'!$B$117*(1+'Control Tower'!$B$49)^2,'Revenue Model'!AE11*'Control Tower'!$C$117)</f>
        <v/>
      </c>
      <c r="AF27" s="22">
        <f>MAX('Control Tower'!$B$117*(1+'Control Tower'!$B$49)^2,'Revenue Model'!AF11*'Control Tower'!$C$117)</f>
        <v/>
      </c>
      <c r="AG27" s="22">
        <f>MAX('Control Tower'!$B$117*(1+'Control Tower'!$B$49)^2,'Revenue Model'!AG11*'Control Tower'!$C$117)</f>
        <v/>
      </c>
      <c r="AH27" s="22">
        <f>MAX('Control Tower'!$B$117*(1+'Control Tower'!$B$49)^2,'Revenue Model'!AH11*'Control Tower'!$C$117)</f>
        <v/>
      </c>
      <c r="AI27" s="22">
        <f>MAX('Control Tower'!$B$117*(1+'Control Tower'!$B$49)^2,'Revenue Model'!AI11*'Control Tower'!$C$117)</f>
        <v/>
      </c>
      <c r="AJ27" s="22">
        <f>MAX('Control Tower'!$B$117*(1+'Control Tower'!$B$49)^2,'Revenue Model'!AJ11*'Control Tower'!$C$117)</f>
        <v/>
      </c>
      <c r="AK27" s="22">
        <f>MAX('Control Tower'!$B$117*(1+'Control Tower'!$B$49)^2,'Revenue Model'!AK11*'Control Tower'!$C$117)</f>
        <v/>
      </c>
      <c r="AL27" s="22">
        <f>MAX('Control Tower'!$B$117*(1+'Control Tower'!$B$49)^2,'Revenue Model'!AL11*'Control Tower'!$C$117)</f>
        <v/>
      </c>
    </row>
    <row r="28">
      <c r="A28" s="4" t="inlineStr">
        <is>
          <t>Continuing education &amp; licensing (6560-Z)</t>
        </is>
      </c>
      <c r="C28" s="22">
        <f>MAX('Control Tower'!$B$118*(1+'Control Tower'!$B$49)^0,'Revenue Model'!C11*'Control Tower'!$C$118)</f>
        <v/>
      </c>
      <c r="D28" s="22">
        <f>MAX('Control Tower'!$B$118*(1+'Control Tower'!$B$49)^0,'Revenue Model'!D11*'Control Tower'!$C$118)</f>
        <v/>
      </c>
      <c r="E28" s="22">
        <f>MAX('Control Tower'!$B$118*(1+'Control Tower'!$B$49)^0,'Revenue Model'!E11*'Control Tower'!$C$118)</f>
        <v/>
      </c>
      <c r="F28" s="22">
        <f>MAX('Control Tower'!$B$118*(1+'Control Tower'!$B$49)^0,'Revenue Model'!F11*'Control Tower'!$C$118)</f>
        <v/>
      </c>
      <c r="G28" s="22">
        <f>MAX('Control Tower'!$B$118*(1+'Control Tower'!$B$49)^0,'Revenue Model'!G11*'Control Tower'!$C$118)</f>
        <v/>
      </c>
      <c r="H28" s="22">
        <f>MAX('Control Tower'!$B$118*(1+'Control Tower'!$B$49)^0,'Revenue Model'!H11*'Control Tower'!$C$118)</f>
        <v/>
      </c>
      <c r="I28" s="22">
        <f>MAX('Control Tower'!$B$118*(1+'Control Tower'!$B$49)^0,'Revenue Model'!I11*'Control Tower'!$C$118)</f>
        <v/>
      </c>
      <c r="J28" s="22">
        <f>MAX('Control Tower'!$B$118*(1+'Control Tower'!$B$49)^0,'Revenue Model'!J11*'Control Tower'!$C$118)</f>
        <v/>
      </c>
      <c r="K28" s="22">
        <f>MAX('Control Tower'!$B$118*(1+'Control Tower'!$B$49)^0,'Revenue Model'!K11*'Control Tower'!$C$118)</f>
        <v/>
      </c>
      <c r="L28" s="22">
        <f>MAX('Control Tower'!$B$118*(1+'Control Tower'!$B$49)^0,'Revenue Model'!L11*'Control Tower'!$C$118)</f>
        <v/>
      </c>
      <c r="M28" s="22">
        <f>MAX('Control Tower'!$B$118*(1+'Control Tower'!$B$49)^0,'Revenue Model'!M11*'Control Tower'!$C$118)</f>
        <v/>
      </c>
      <c r="N28" s="22">
        <f>MAX('Control Tower'!$B$118*(1+'Control Tower'!$B$49)^0,'Revenue Model'!N11*'Control Tower'!$C$118)</f>
        <v/>
      </c>
      <c r="O28" s="22">
        <f>MAX('Control Tower'!$B$118*(1+'Control Tower'!$B$49)^1,'Revenue Model'!O11*'Control Tower'!$C$118)</f>
        <v/>
      </c>
      <c r="P28" s="22">
        <f>MAX('Control Tower'!$B$118*(1+'Control Tower'!$B$49)^1,'Revenue Model'!P11*'Control Tower'!$C$118)</f>
        <v/>
      </c>
      <c r="Q28" s="22">
        <f>MAX('Control Tower'!$B$118*(1+'Control Tower'!$B$49)^1,'Revenue Model'!Q11*'Control Tower'!$C$118)</f>
        <v/>
      </c>
      <c r="R28" s="22">
        <f>MAX('Control Tower'!$B$118*(1+'Control Tower'!$B$49)^1,'Revenue Model'!R11*'Control Tower'!$C$118)</f>
        <v/>
      </c>
      <c r="S28" s="22">
        <f>MAX('Control Tower'!$B$118*(1+'Control Tower'!$B$49)^1,'Revenue Model'!S11*'Control Tower'!$C$118)</f>
        <v/>
      </c>
      <c r="T28" s="22">
        <f>MAX('Control Tower'!$B$118*(1+'Control Tower'!$B$49)^1,'Revenue Model'!T11*'Control Tower'!$C$118)</f>
        <v/>
      </c>
      <c r="U28" s="22">
        <f>MAX('Control Tower'!$B$118*(1+'Control Tower'!$B$49)^1,'Revenue Model'!U11*'Control Tower'!$C$118)</f>
        <v/>
      </c>
      <c r="V28" s="22">
        <f>MAX('Control Tower'!$B$118*(1+'Control Tower'!$B$49)^1,'Revenue Model'!V11*'Control Tower'!$C$118)</f>
        <v/>
      </c>
      <c r="W28" s="22">
        <f>MAX('Control Tower'!$B$118*(1+'Control Tower'!$B$49)^1,'Revenue Model'!W11*'Control Tower'!$C$118)</f>
        <v/>
      </c>
      <c r="X28" s="22">
        <f>MAX('Control Tower'!$B$118*(1+'Control Tower'!$B$49)^1,'Revenue Model'!X11*'Control Tower'!$C$118)</f>
        <v/>
      </c>
      <c r="Y28" s="22">
        <f>MAX('Control Tower'!$B$118*(1+'Control Tower'!$B$49)^1,'Revenue Model'!Y11*'Control Tower'!$C$118)</f>
        <v/>
      </c>
      <c r="Z28" s="22">
        <f>MAX('Control Tower'!$B$118*(1+'Control Tower'!$B$49)^1,'Revenue Model'!Z11*'Control Tower'!$C$118)</f>
        <v/>
      </c>
      <c r="AA28" s="22">
        <f>MAX('Control Tower'!$B$118*(1+'Control Tower'!$B$49)^2,'Revenue Model'!AA11*'Control Tower'!$C$118)</f>
        <v/>
      </c>
      <c r="AB28" s="22">
        <f>MAX('Control Tower'!$B$118*(1+'Control Tower'!$B$49)^2,'Revenue Model'!AB11*'Control Tower'!$C$118)</f>
        <v/>
      </c>
      <c r="AC28" s="22">
        <f>MAX('Control Tower'!$B$118*(1+'Control Tower'!$B$49)^2,'Revenue Model'!AC11*'Control Tower'!$C$118)</f>
        <v/>
      </c>
      <c r="AD28" s="22">
        <f>MAX('Control Tower'!$B$118*(1+'Control Tower'!$B$49)^2,'Revenue Model'!AD11*'Control Tower'!$C$118)</f>
        <v/>
      </c>
      <c r="AE28" s="22">
        <f>MAX('Control Tower'!$B$118*(1+'Control Tower'!$B$49)^2,'Revenue Model'!AE11*'Control Tower'!$C$118)</f>
        <v/>
      </c>
      <c r="AF28" s="22">
        <f>MAX('Control Tower'!$B$118*(1+'Control Tower'!$B$49)^2,'Revenue Model'!AF11*'Control Tower'!$C$118)</f>
        <v/>
      </c>
      <c r="AG28" s="22">
        <f>MAX('Control Tower'!$B$118*(1+'Control Tower'!$B$49)^2,'Revenue Model'!AG11*'Control Tower'!$C$118)</f>
        <v/>
      </c>
      <c r="AH28" s="22">
        <f>MAX('Control Tower'!$B$118*(1+'Control Tower'!$B$49)^2,'Revenue Model'!AH11*'Control Tower'!$C$118)</f>
        <v/>
      </c>
      <c r="AI28" s="22">
        <f>MAX('Control Tower'!$B$118*(1+'Control Tower'!$B$49)^2,'Revenue Model'!AI11*'Control Tower'!$C$118)</f>
        <v/>
      </c>
      <c r="AJ28" s="22">
        <f>MAX('Control Tower'!$B$118*(1+'Control Tower'!$B$49)^2,'Revenue Model'!AJ11*'Control Tower'!$C$118)</f>
        <v/>
      </c>
      <c r="AK28" s="22">
        <f>MAX('Control Tower'!$B$118*(1+'Control Tower'!$B$49)^2,'Revenue Model'!AK11*'Control Tower'!$C$118)</f>
        <v/>
      </c>
      <c r="AL28" s="22">
        <f>MAX('Control Tower'!$B$118*(1+'Control Tower'!$B$49)^2,'Revenue Model'!AL11*'Control Tower'!$C$118)</f>
        <v/>
      </c>
    </row>
    <row r="29">
      <c r="A29" s="4" t="inlineStr">
        <is>
          <t>Dues &amp; subscriptions (6570/6705)</t>
        </is>
      </c>
      <c r="C29" s="22">
        <f>MAX('Control Tower'!$B$119*(1+'Control Tower'!$B$49)^0,'Revenue Model'!C11*'Control Tower'!$C$119)</f>
        <v/>
      </c>
      <c r="D29" s="22">
        <f>MAX('Control Tower'!$B$119*(1+'Control Tower'!$B$49)^0,'Revenue Model'!D11*'Control Tower'!$C$119)</f>
        <v/>
      </c>
      <c r="E29" s="22">
        <f>MAX('Control Tower'!$B$119*(1+'Control Tower'!$B$49)^0,'Revenue Model'!E11*'Control Tower'!$C$119)</f>
        <v/>
      </c>
      <c r="F29" s="22">
        <f>MAX('Control Tower'!$B$119*(1+'Control Tower'!$B$49)^0,'Revenue Model'!F11*'Control Tower'!$C$119)</f>
        <v/>
      </c>
      <c r="G29" s="22">
        <f>MAX('Control Tower'!$B$119*(1+'Control Tower'!$B$49)^0,'Revenue Model'!G11*'Control Tower'!$C$119)</f>
        <v/>
      </c>
      <c r="H29" s="22">
        <f>MAX('Control Tower'!$B$119*(1+'Control Tower'!$B$49)^0,'Revenue Model'!H11*'Control Tower'!$C$119)</f>
        <v/>
      </c>
      <c r="I29" s="22">
        <f>MAX('Control Tower'!$B$119*(1+'Control Tower'!$B$49)^0,'Revenue Model'!I11*'Control Tower'!$C$119)</f>
        <v/>
      </c>
      <c r="J29" s="22">
        <f>MAX('Control Tower'!$B$119*(1+'Control Tower'!$B$49)^0,'Revenue Model'!J11*'Control Tower'!$C$119)</f>
        <v/>
      </c>
      <c r="K29" s="22">
        <f>MAX('Control Tower'!$B$119*(1+'Control Tower'!$B$49)^0,'Revenue Model'!K11*'Control Tower'!$C$119)</f>
        <v/>
      </c>
      <c r="L29" s="22">
        <f>MAX('Control Tower'!$B$119*(1+'Control Tower'!$B$49)^0,'Revenue Model'!L11*'Control Tower'!$C$119)</f>
        <v/>
      </c>
      <c r="M29" s="22">
        <f>MAX('Control Tower'!$B$119*(1+'Control Tower'!$B$49)^0,'Revenue Model'!M11*'Control Tower'!$C$119)</f>
        <v/>
      </c>
      <c r="N29" s="22">
        <f>MAX('Control Tower'!$B$119*(1+'Control Tower'!$B$49)^0,'Revenue Model'!N11*'Control Tower'!$C$119)</f>
        <v/>
      </c>
      <c r="O29" s="22">
        <f>MAX('Control Tower'!$B$119*(1+'Control Tower'!$B$49)^1,'Revenue Model'!O11*'Control Tower'!$C$119)</f>
        <v/>
      </c>
      <c r="P29" s="22">
        <f>MAX('Control Tower'!$B$119*(1+'Control Tower'!$B$49)^1,'Revenue Model'!P11*'Control Tower'!$C$119)</f>
        <v/>
      </c>
      <c r="Q29" s="22">
        <f>MAX('Control Tower'!$B$119*(1+'Control Tower'!$B$49)^1,'Revenue Model'!Q11*'Control Tower'!$C$119)</f>
        <v/>
      </c>
      <c r="R29" s="22">
        <f>MAX('Control Tower'!$B$119*(1+'Control Tower'!$B$49)^1,'Revenue Model'!R11*'Control Tower'!$C$119)</f>
        <v/>
      </c>
      <c r="S29" s="22">
        <f>MAX('Control Tower'!$B$119*(1+'Control Tower'!$B$49)^1,'Revenue Model'!S11*'Control Tower'!$C$119)</f>
        <v/>
      </c>
      <c r="T29" s="22">
        <f>MAX('Control Tower'!$B$119*(1+'Control Tower'!$B$49)^1,'Revenue Model'!T11*'Control Tower'!$C$119)</f>
        <v/>
      </c>
      <c r="U29" s="22">
        <f>MAX('Control Tower'!$B$119*(1+'Control Tower'!$B$49)^1,'Revenue Model'!U11*'Control Tower'!$C$119)</f>
        <v/>
      </c>
      <c r="V29" s="22">
        <f>MAX('Control Tower'!$B$119*(1+'Control Tower'!$B$49)^1,'Revenue Model'!V11*'Control Tower'!$C$119)</f>
        <v/>
      </c>
      <c r="W29" s="22">
        <f>MAX('Control Tower'!$B$119*(1+'Control Tower'!$B$49)^1,'Revenue Model'!W11*'Control Tower'!$C$119)</f>
        <v/>
      </c>
      <c r="X29" s="22">
        <f>MAX('Control Tower'!$B$119*(1+'Control Tower'!$B$49)^1,'Revenue Model'!X11*'Control Tower'!$C$119)</f>
        <v/>
      </c>
      <c r="Y29" s="22">
        <f>MAX('Control Tower'!$B$119*(1+'Control Tower'!$B$49)^1,'Revenue Model'!Y11*'Control Tower'!$C$119)</f>
        <v/>
      </c>
      <c r="Z29" s="22">
        <f>MAX('Control Tower'!$B$119*(1+'Control Tower'!$B$49)^1,'Revenue Model'!Z11*'Control Tower'!$C$119)</f>
        <v/>
      </c>
      <c r="AA29" s="22">
        <f>MAX('Control Tower'!$B$119*(1+'Control Tower'!$B$49)^2,'Revenue Model'!AA11*'Control Tower'!$C$119)</f>
        <v/>
      </c>
      <c r="AB29" s="22">
        <f>MAX('Control Tower'!$B$119*(1+'Control Tower'!$B$49)^2,'Revenue Model'!AB11*'Control Tower'!$C$119)</f>
        <v/>
      </c>
      <c r="AC29" s="22">
        <f>MAX('Control Tower'!$B$119*(1+'Control Tower'!$B$49)^2,'Revenue Model'!AC11*'Control Tower'!$C$119)</f>
        <v/>
      </c>
      <c r="AD29" s="22">
        <f>MAX('Control Tower'!$B$119*(1+'Control Tower'!$B$49)^2,'Revenue Model'!AD11*'Control Tower'!$C$119)</f>
        <v/>
      </c>
      <c r="AE29" s="22">
        <f>MAX('Control Tower'!$B$119*(1+'Control Tower'!$B$49)^2,'Revenue Model'!AE11*'Control Tower'!$C$119)</f>
        <v/>
      </c>
      <c r="AF29" s="22">
        <f>MAX('Control Tower'!$B$119*(1+'Control Tower'!$B$49)^2,'Revenue Model'!AF11*'Control Tower'!$C$119)</f>
        <v/>
      </c>
      <c r="AG29" s="22">
        <f>MAX('Control Tower'!$B$119*(1+'Control Tower'!$B$49)^2,'Revenue Model'!AG11*'Control Tower'!$C$119)</f>
        <v/>
      </c>
      <c r="AH29" s="22">
        <f>MAX('Control Tower'!$B$119*(1+'Control Tower'!$B$49)^2,'Revenue Model'!AH11*'Control Tower'!$C$119)</f>
        <v/>
      </c>
      <c r="AI29" s="22">
        <f>MAX('Control Tower'!$B$119*(1+'Control Tower'!$B$49)^2,'Revenue Model'!AI11*'Control Tower'!$C$119)</f>
        <v/>
      </c>
      <c r="AJ29" s="22">
        <f>MAX('Control Tower'!$B$119*(1+'Control Tower'!$B$49)^2,'Revenue Model'!AJ11*'Control Tower'!$C$119)</f>
        <v/>
      </c>
      <c r="AK29" s="22">
        <f>MAX('Control Tower'!$B$119*(1+'Control Tower'!$B$49)^2,'Revenue Model'!AK11*'Control Tower'!$C$119)</f>
        <v/>
      </c>
      <c r="AL29" s="22">
        <f>MAX('Control Tower'!$B$119*(1+'Control Tower'!$B$49)^2,'Revenue Model'!AL11*'Control Tower'!$C$119)</f>
        <v/>
      </c>
    </row>
    <row r="30">
      <c r="A30" s="4" t="inlineStr">
        <is>
          <t>Postage, printing &amp; copier (6565/6670)</t>
        </is>
      </c>
      <c r="C30" s="22">
        <f>MAX('Control Tower'!$B$120*(1+'Control Tower'!$B$49)^0,'Revenue Model'!C11*'Control Tower'!$C$120)</f>
        <v/>
      </c>
      <c r="D30" s="22">
        <f>MAX('Control Tower'!$B$120*(1+'Control Tower'!$B$49)^0,'Revenue Model'!D11*'Control Tower'!$C$120)</f>
        <v/>
      </c>
      <c r="E30" s="22">
        <f>MAX('Control Tower'!$B$120*(1+'Control Tower'!$B$49)^0,'Revenue Model'!E11*'Control Tower'!$C$120)</f>
        <v/>
      </c>
      <c r="F30" s="22">
        <f>MAX('Control Tower'!$B$120*(1+'Control Tower'!$B$49)^0,'Revenue Model'!F11*'Control Tower'!$C$120)</f>
        <v/>
      </c>
      <c r="G30" s="22">
        <f>MAX('Control Tower'!$B$120*(1+'Control Tower'!$B$49)^0,'Revenue Model'!G11*'Control Tower'!$C$120)</f>
        <v/>
      </c>
      <c r="H30" s="22">
        <f>MAX('Control Tower'!$B$120*(1+'Control Tower'!$B$49)^0,'Revenue Model'!H11*'Control Tower'!$C$120)</f>
        <v/>
      </c>
      <c r="I30" s="22">
        <f>MAX('Control Tower'!$B$120*(1+'Control Tower'!$B$49)^0,'Revenue Model'!I11*'Control Tower'!$C$120)</f>
        <v/>
      </c>
      <c r="J30" s="22">
        <f>MAX('Control Tower'!$B$120*(1+'Control Tower'!$B$49)^0,'Revenue Model'!J11*'Control Tower'!$C$120)</f>
        <v/>
      </c>
      <c r="K30" s="22">
        <f>MAX('Control Tower'!$B$120*(1+'Control Tower'!$B$49)^0,'Revenue Model'!K11*'Control Tower'!$C$120)</f>
        <v/>
      </c>
      <c r="L30" s="22">
        <f>MAX('Control Tower'!$B$120*(1+'Control Tower'!$B$49)^0,'Revenue Model'!L11*'Control Tower'!$C$120)</f>
        <v/>
      </c>
      <c r="M30" s="22">
        <f>MAX('Control Tower'!$B$120*(1+'Control Tower'!$B$49)^0,'Revenue Model'!M11*'Control Tower'!$C$120)</f>
        <v/>
      </c>
      <c r="N30" s="22">
        <f>MAX('Control Tower'!$B$120*(1+'Control Tower'!$B$49)^0,'Revenue Model'!N11*'Control Tower'!$C$120)</f>
        <v/>
      </c>
      <c r="O30" s="22">
        <f>MAX('Control Tower'!$B$120*(1+'Control Tower'!$B$49)^1,'Revenue Model'!O11*'Control Tower'!$C$120)</f>
        <v/>
      </c>
      <c r="P30" s="22">
        <f>MAX('Control Tower'!$B$120*(1+'Control Tower'!$B$49)^1,'Revenue Model'!P11*'Control Tower'!$C$120)</f>
        <v/>
      </c>
      <c r="Q30" s="22">
        <f>MAX('Control Tower'!$B$120*(1+'Control Tower'!$B$49)^1,'Revenue Model'!Q11*'Control Tower'!$C$120)</f>
        <v/>
      </c>
      <c r="R30" s="22">
        <f>MAX('Control Tower'!$B$120*(1+'Control Tower'!$B$49)^1,'Revenue Model'!R11*'Control Tower'!$C$120)</f>
        <v/>
      </c>
      <c r="S30" s="22">
        <f>MAX('Control Tower'!$B$120*(1+'Control Tower'!$B$49)^1,'Revenue Model'!S11*'Control Tower'!$C$120)</f>
        <v/>
      </c>
      <c r="T30" s="22">
        <f>MAX('Control Tower'!$B$120*(1+'Control Tower'!$B$49)^1,'Revenue Model'!T11*'Control Tower'!$C$120)</f>
        <v/>
      </c>
      <c r="U30" s="22">
        <f>MAX('Control Tower'!$B$120*(1+'Control Tower'!$B$49)^1,'Revenue Model'!U11*'Control Tower'!$C$120)</f>
        <v/>
      </c>
      <c r="V30" s="22">
        <f>MAX('Control Tower'!$B$120*(1+'Control Tower'!$B$49)^1,'Revenue Model'!V11*'Control Tower'!$C$120)</f>
        <v/>
      </c>
      <c r="W30" s="22">
        <f>MAX('Control Tower'!$B$120*(1+'Control Tower'!$B$49)^1,'Revenue Model'!W11*'Control Tower'!$C$120)</f>
        <v/>
      </c>
      <c r="X30" s="22">
        <f>MAX('Control Tower'!$B$120*(1+'Control Tower'!$B$49)^1,'Revenue Model'!X11*'Control Tower'!$C$120)</f>
        <v/>
      </c>
      <c r="Y30" s="22">
        <f>MAX('Control Tower'!$B$120*(1+'Control Tower'!$B$49)^1,'Revenue Model'!Y11*'Control Tower'!$C$120)</f>
        <v/>
      </c>
      <c r="Z30" s="22">
        <f>MAX('Control Tower'!$B$120*(1+'Control Tower'!$B$49)^1,'Revenue Model'!Z11*'Control Tower'!$C$120)</f>
        <v/>
      </c>
      <c r="AA30" s="22">
        <f>MAX('Control Tower'!$B$120*(1+'Control Tower'!$B$49)^2,'Revenue Model'!AA11*'Control Tower'!$C$120)</f>
        <v/>
      </c>
      <c r="AB30" s="22">
        <f>MAX('Control Tower'!$B$120*(1+'Control Tower'!$B$49)^2,'Revenue Model'!AB11*'Control Tower'!$C$120)</f>
        <v/>
      </c>
      <c r="AC30" s="22">
        <f>MAX('Control Tower'!$B$120*(1+'Control Tower'!$B$49)^2,'Revenue Model'!AC11*'Control Tower'!$C$120)</f>
        <v/>
      </c>
      <c r="AD30" s="22">
        <f>MAX('Control Tower'!$B$120*(1+'Control Tower'!$B$49)^2,'Revenue Model'!AD11*'Control Tower'!$C$120)</f>
        <v/>
      </c>
      <c r="AE30" s="22">
        <f>MAX('Control Tower'!$B$120*(1+'Control Tower'!$B$49)^2,'Revenue Model'!AE11*'Control Tower'!$C$120)</f>
        <v/>
      </c>
      <c r="AF30" s="22">
        <f>MAX('Control Tower'!$B$120*(1+'Control Tower'!$B$49)^2,'Revenue Model'!AF11*'Control Tower'!$C$120)</f>
        <v/>
      </c>
      <c r="AG30" s="22">
        <f>MAX('Control Tower'!$B$120*(1+'Control Tower'!$B$49)^2,'Revenue Model'!AG11*'Control Tower'!$C$120)</f>
        <v/>
      </c>
      <c r="AH30" s="22">
        <f>MAX('Control Tower'!$B$120*(1+'Control Tower'!$B$49)^2,'Revenue Model'!AH11*'Control Tower'!$C$120)</f>
        <v/>
      </c>
      <c r="AI30" s="22">
        <f>MAX('Control Tower'!$B$120*(1+'Control Tower'!$B$49)^2,'Revenue Model'!AI11*'Control Tower'!$C$120)</f>
        <v/>
      </c>
      <c r="AJ30" s="22">
        <f>MAX('Control Tower'!$B$120*(1+'Control Tower'!$B$49)^2,'Revenue Model'!AJ11*'Control Tower'!$C$120)</f>
        <v/>
      </c>
      <c r="AK30" s="22">
        <f>MAX('Control Tower'!$B$120*(1+'Control Tower'!$B$49)^2,'Revenue Model'!AK11*'Control Tower'!$C$120)</f>
        <v/>
      </c>
      <c r="AL30" s="22">
        <f>MAX('Control Tower'!$B$120*(1+'Control Tower'!$B$49)^2,'Revenue Model'!AL11*'Control Tower'!$C$120)</f>
        <v/>
      </c>
    </row>
    <row r="31">
      <c r="A31" s="10" t="inlineStr">
        <is>
          <t>TOTAL G&amp;A (excl. contingency)</t>
        </is>
      </c>
      <c r="C31" s="24">
        <f>C20+C21+C22+C23+C24+C25+C26+C27+C28+C29+C30</f>
        <v/>
      </c>
      <c r="D31" s="24">
        <f>D20+D21+D22+D23+D24+D25+D26+D27+D28+D29+D30</f>
        <v/>
      </c>
      <c r="E31" s="24">
        <f>E20+E21+E22+E23+E24+E25+E26+E27+E28+E29+E30</f>
        <v/>
      </c>
      <c r="F31" s="24">
        <f>F20+F21+F22+F23+F24+F25+F26+F27+F28+F29+F30</f>
        <v/>
      </c>
      <c r="G31" s="24">
        <f>G20+G21+G22+G23+G24+G25+G26+G27+G28+G29+G30</f>
        <v/>
      </c>
      <c r="H31" s="24">
        <f>H20+H21+H22+H23+H24+H25+H26+H27+H28+H29+H30</f>
        <v/>
      </c>
      <c r="I31" s="24">
        <f>I20+I21+I22+I23+I24+I25+I26+I27+I28+I29+I30</f>
        <v/>
      </c>
      <c r="J31" s="24">
        <f>J20+J21+J22+J23+J24+J25+J26+J27+J28+J29+J30</f>
        <v/>
      </c>
      <c r="K31" s="24">
        <f>K20+K21+K22+K23+K24+K25+K26+K27+K28+K29+K30</f>
        <v/>
      </c>
      <c r="L31" s="24">
        <f>L20+L21+L22+L23+L24+L25+L26+L27+L28+L29+L30</f>
        <v/>
      </c>
      <c r="M31" s="24">
        <f>M20+M21+M22+M23+M24+M25+M26+M27+M28+M29+M30</f>
        <v/>
      </c>
      <c r="N31" s="24">
        <f>N20+N21+N22+N23+N24+N25+N26+N27+N28+N29+N30</f>
        <v/>
      </c>
      <c r="O31" s="24">
        <f>O20+O21+O22+O23+O24+O25+O26+O27+O28+O29+O30</f>
        <v/>
      </c>
      <c r="P31" s="24">
        <f>P20+P21+P22+P23+P24+P25+P26+P27+P28+P29+P30</f>
        <v/>
      </c>
      <c r="Q31" s="24">
        <f>Q20+Q21+Q22+Q23+Q24+Q25+Q26+Q27+Q28+Q29+Q30</f>
        <v/>
      </c>
      <c r="R31" s="24">
        <f>R20+R21+R22+R23+R24+R25+R26+R27+R28+R29+R30</f>
        <v/>
      </c>
      <c r="S31" s="24">
        <f>S20+S21+S22+S23+S24+S25+S26+S27+S28+S29+S30</f>
        <v/>
      </c>
      <c r="T31" s="24">
        <f>T20+T21+T22+T23+T24+T25+T26+T27+T28+T29+T30</f>
        <v/>
      </c>
      <c r="U31" s="24">
        <f>U20+U21+U22+U23+U24+U25+U26+U27+U28+U29+U30</f>
        <v/>
      </c>
      <c r="V31" s="24">
        <f>V20+V21+V22+V23+V24+V25+V26+V27+V28+V29+V30</f>
        <v/>
      </c>
      <c r="W31" s="24">
        <f>W20+W21+W22+W23+W24+W25+W26+W27+W28+W29+W30</f>
        <v/>
      </c>
      <c r="X31" s="24">
        <f>X20+X21+X22+X23+X24+X25+X26+X27+X28+X29+X30</f>
        <v/>
      </c>
      <c r="Y31" s="24">
        <f>Y20+Y21+Y22+Y23+Y24+Y25+Y26+Y27+Y28+Y29+Y30</f>
        <v/>
      </c>
      <c r="Z31" s="24">
        <f>Z20+Z21+Z22+Z23+Z24+Z25+Z26+Z27+Z28+Z29+Z30</f>
        <v/>
      </c>
      <c r="AA31" s="24">
        <f>AA20+AA21+AA22+AA23+AA24+AA25+AA26+AA27+AA28+AA29+AA30</f>
        <v/>
      </c>
      <c r="AB31" s="24">
        <f>AB20+AB21+AB22+AB23+AB24+AB25+AB26+AB27+AB28+AB29+AB30</f>
        <v/>
      </c>
      <c r="AC31" s="24">
        <f>AC20+AC21+AC22+AC23+AC24+AC25+AC26+AC27+AC28+AC29+AC30</f>
        <v/>
      </c>
      <c r="AD31" s="24">
        <f>AD20+AD21+AD22+AD23+AD24+AD25+AD26+AD27+AD28+AD29+AD30</f>
        <v/>
      </c>
      <c r="AE31" s="24">
        <f>AE20+AE21+AE22+AE23+AE24+AE25+AE26+AE27+AE28+AE29+AE30</f>
        <v/>
      </c>
      <c r="AF31" s="24">
        <f>AF20+AF21+AF22+AF23+AF24+AF25+AF26+AF27+AF28+AF29+AF30</f>
        <v/>
      </c>
      <c r="AG31" s="24">
        <f>AG20+AG21+AG22+AG23+AG24+AG25+AG26+AG27+AG28+AG29+AG30</f>
        <v/>
      </c>
      <c r="AH31" s="24">
        <f>AH20+AH21+AH22+AH23+AH24+AH25+AH26+AH27+AH28+AH29+AH30</f>
        <v/>
      </c>
      <c r="AI31" s="24">
        <f>AI20+AI21+AI22+AI23+AI24+AI25+AI26+AI27+AI28+AI29+AI30</f>
        <v/>
      </c>
      <c r="AJ31" s="24">
        <f>AJ20+AJ21+AJ22+AJ23+AJ24+AJ25+AJ26+AJ27+AJ28+AJ29+AJ30</f>
        <v/>
      </c>
      <c r="AK31" s="24">
        <f>AK20+AK21+AK22+AK23+AK24+AK25+AK26+AK27+AK28+AK29+AK30</f>
        <v/>
      </c>
      <c r="AL31" s="24">
        <f>AL20+AL21+AL22+AL23+AL24+AL25+AL26+AL27+AL28+AL29+AL30</f>
        <v/>
      </c>
    </row>
    <row r="32">
      <c r="A32" s="4" t="inlineStr">
        <is>
          <t>Contingency reserve (below EBITDA - non-GAAP buffer) (6640-Z)</t>
        </is>
      </c>
      <c r="C32" s="22">
        <f>MAX('Control Tower'!$B$121*(1+'Control Tower'!$B$49)^0,'Revenue Model'!C11*'Control Tower'!$C$121)</f>
        <v/>
      </c>
      <c r="D32" s="22">
        <f>MAX('Control Tower'!$B$121*(1+'Control Tower'!$B$49)^0,'Revenue Model'!D11*'Control Tower'!$C$121)</f>
        <v/>
      </c>
      <c r="E32" s="22">
        <f>MAX('Control Tower'!$B$121*(1+'Control Tower'!$B$49)^0,'Revenue Model'!E11*'Control Tower'!$C$121)</f>
        <v/>
      </c>
      <c r="F32" s="22">
        <f>MAX('Control Tower'!$B$121*(1+'Control Tower'!$B$49)^0,'Revenue Model'!F11*'Control Tower'!$C$121)</f>
        <v/>
      </c>
      <c r="G32" s="22">
        <f>MAX('Control Tower'!$B$121*(1+'Control Tower'!$B$49)^0,'Revenue Model'!G11*'Control Tower'!$C$121)</f>
        <v/>
      </c>
      <c r="H32" s="22">
        <f>MAX('Control Tower'!$B$121*(1+'Control Tower'!$B$49)^0,'Revenue Model'!H11*'Control Tower'!$C$121)</f>
        <v/>
      </c>
      <c r="I32" s="22">
        <f>MAX('Control Tower'!$B$121*(1+'Control Tower'!$B$49)^0,'Revenue Model'!I11*'Control Tower'!$C$121)</f>
        <v/>
      </c>
      <c r="J32" s="22">
        <f>MAX('Control Tower'!$B$121*(1+'Control Tower'!$B$49)^0,'Revenue Model'!J11*'Control Tower'!$C$121)</f>
        <v/>
      </c>
      <c r="K32" s="22">
        <f>MAX('Control Tower'!$B$121*(1+'Control Tower'!$B$49)^0,'Revenue Model'!K11*'Control Tower'!$C$121)</f>
        <v/>
      </c>
      <c r="L32" s="22">
        <f>MAX('Control Tower'!$B$121*(1+'Control Tower'!$B$49)^0,'Revenue Model'!L11*'Control Tower'!$C$121)</f>
        <v/>
      </c>
      <c r="M32" s="22">
        <f>MAX('Control Tower'!$B$121*(1+'Control Tower'!$B$49)^0,'Revenue Model'!M11*'Control Tower'!$C$121)</f>
        <v/>
      </c>
      <c r="N32" s="22">
        <f>MAX('Control Tower'!$B$121*(1+'Control Tower'!$B$49)^0,'Revenue Model'!N11*'Control Tower'!$C$121)</f>
        <v/>
      </c>
      <c r="O32" s="22">
        <f>MAX('Control Tower'!$B$121*(1+'Control Tower'!$B$49)^1,'Revenue Model'!O11*'Control Tower'!$C$121)</f>
        <v/>
      </c>
      <c r="P32" s="22">
        <f>MAX('Control Tower'!$B$121*(1+'Control Tower'!$B$49)^1,'Revenue Model'!P11*'Control Tower'!$C$121)</f>
        <v/>
      </c>
      <c r="Q32" s="22">
        <f>MAX('Control Tower'!$B$121*(1+'Control Tower'!$B$49)^1,'Revenue Model'!Q11*'Control Tower'!$C$121)</f>
        <v/>
      </c>
      <c r="R32" s="22">
        <f>MAX('Control Tower'!$B$121*(1+'Control Tower'!$B$49)^1,'Revenue Model'!R11*'Control Tower'!$C$121)</f>
        <v/>
      </c>
      <c r="S32" s="22">
        <f>MAX('Control Tower'!$B$121*(1+'Control Tower'!$B$49)^1,'Revenue Model'!S11*'Control Tower'!$C$121)</f>
        <v/>
      </c>
      <c r="T32" s="22">
        <f>MAX('Control Tower'!$B$121*(1+'Control Tower'!$B$49)^1,'Revenue Model'!T11*'Control Tower'!$C$121)</f>
        <v/>
      </c>
      <c r="U32" s="22">
        <f>MAX('Control Tower'!$B$121*(1+'Control Tower'!$B$49)^1,'Revenue Model'!U11*'Control Tower'!$C$121)</f>
        <v/>
      </c>
      <c r="V32" s="22">
        <f>MAX('Control Tower'!$B$121*(1+'Control Tower'!$B$49)^1,'Revenue Model'!V11*'Control Tower'!$C$121)</f>
        <v/>
      </c>
      <c r="W32" s="22">
        <f>MAX('Control Tower'!$B$121*(1+'Control Tower'!$B$49)^1,'Revenue Model'!W11*'Control Tower'!$C$121)</f>
        <v/>
      </c>
      <c r="X32" s="22">
        <f>MAX('Control Tower'!$B$121*(1+'Control Tower'!$B$49)^1,'Revenue Model'!X11*'Control Tower'!$C$121)</f>
        <v/>
      </c>
      <c r="Y32" s="22">
        <f>MAX('Control Tower'!$B$121*(1+'Control Tower'!$B$49)^1,'Revenue Model'!Y11*'Control Tower'!$C$121)</f>
        <v/>
      </c>
      <c r="Z32" s="22">
        <f>MAX('Control Tower'!$B$121*(1+'Control Tower'!$B$49)^1,'Revenue Model'!Z11*'Control Tower'!$C$121)</f>
        <v/>
      </c>
      <c r="AA32" s="22">
        <f>MAX('Control Tower'!$B$121*(1+'Control Tower'!$B$49)^2,'Revenue Model'!AA11*'Control Tower'!$C$121)</f>
        <v/>
      </c>
      <c r="AB32" s="22">
        <f>MAX('Control Tower'!$B$121*(1+'Control Tower'!$B$49)^2,'Revenue Model'!AB11*'Control Tower'!$C$121)</f>
        <v/>
      </c>
      <c r="AC32" s="22">
        <f>MAX('Control Tower'!$B$121*(1+'Control Tower'!$B$49)^2,'Revenue Model'!AC11*'Control Tower'!$C$121)</f>
        <v/>
      </c>
      <c r="AD32" s="22">
        <f>MAX('Control Tower'!$B$121*(1+'Control Tower'!$B$49)^2,'Revenue Model'!AD11*'Control Tower'!$C$121)</f>
        <v/>
      </c>
      <c r="AE32" s="22">
        <f>MAX('Control Tower'!$B$121*(1+'Control Tower'!$B$49)^2,'Revenue Model'!AE11*'Control Tower'!$C$121)</f>
        <v/>
      </c>
      <c r="AF32" s="22">
        <f>MAX('Control Tower'!$B$121*(1+'Control Tower'!$B$49)^2,'Revenue Model'!AF11*'Control Tower'!$C$121)</f>
        <v/>
      </c>
      <c r="AG32" s="22">
        <f>MAX('Control Tower'!$B$121*(1+'Control Tower'!$B$49)^2,'Revenue Model'!AG11*'Control Tower'!$C$121)</f>
        <v/>
      </c>
      <c r="AH32" s="22">
        <f>MAX('Control Tower'!$B$121*(1+'Control Tower'!$B$49)^2,'Revenue Model'!AH11*'Control Tower'!$C$121)</f>
        <v/>
      </c>
      <c r="AI32" s="22">
        <f>MAX('Control Tower'!$B$121*(1+'Control Tower'!$B$49)^2,'Revenue Model'!AI11*'Control Tower'!$C$121)</f>
        <v/>
      </c>
      <c r="AJ32" s="22">
        <f>MAX('Control Tower'!$B$121*(1+'Control Tower'!$B$49)^2,'Revenue Model'!AJ11*'Control Tower'!$C$121)</f>
        <v/>
      </c>
      <c r="AK32" s="22">
        <f>MAX('Control Tower'!$B$121*(1+'Control Tower'!$B$49)^2,'Revenue Model'!AK11*'Control Tower'!$C$121)</f>
        <v/>
      </c>
      <c r="AL32" s="22">
        <f>MAX('Control Tower'!$B$121*(1+'Control Tower'!$B$49)^2,'Revenue Model'!AL11*'Control Tower'!$C$121)</f>
        <v/>
      </c>
    </row>
  </sheetData>
  <mergeCells count="5">
    <mergeCell ref="A6:N6"/>
    <mergeCell ref="A2:N2"/>
    <mergeCell ref="A19:N19"/>
    <mergeCell ref="A13:N13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4.10&amp;C&amp;8 Confidential&amp;R&amp;8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AL26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P&amp;L - COA-backed, accrual. Clinical labor above gross profit. Every cell is a link or formula.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Average Daily Census</t>
        </is>
      </c>
      <c r="C6" s="26">
        <f>'Census Waterfall'!C11</f>
        <v/>
      </c>
      <c r="D6" s="26">
        <f>'Census Waterfall'!D11</f>
        <v/>
      </c>
      <c r="E6" s="26">
        <f>'Census Waterfall'!E11</f>
        <v/>
      </c>
      <c r="F6" s="26">
        <f>'Census Waterfall'!F11</f>
        <v/>
      </c>
      <c r="G6" s="26">
        <f>'Census Waterfall'!G11</f>
        <v/>
      </c>
      <c r="H6" s="26">
        <f>'Census Waterfall'!H11</f>
        <v/>
      </c>
      <c r="I6" s="26">
        <f>'Census Waterfall'!I11</f>
        <v/>
      </c>
      <c r="J6" s="26">
        <f>'Census Waterfall'!J11</f>
        <v/>
      </c>
      <c r="K6" s="26">
        <f>'Census Waterfall'!K11</f>
        <v/>
      </c>
      <c r="L6" s="26">
        <f>'Census Waterfall'!L11</f>
        <v/>
      </c>
      <c r="M6" s="26">
        <f>'Census Waterfall'!M11</f>
        <v/>
      </c>
      <c r="N6" s="26">
        <f>'Census Waterfall'!N11</f>
        <v/>
      </c>
      <c r="O6" s="26">
        <f>'Census Waterfall'!O11</f>
        <v/>
      </c>
      <c r="P6" s="26">
        <f>'Census Waterfall'!P11</f>
        <v/>
      </c>
      <c r="Q6" s="26">
        <f>'Census Waterfall'!Q11</f>
        <v/>
      </c>
      <c r="R6" s="26">
        <f>'Census Waterfall'!R11</f>
        <v/>
      </c>
      <c r="S6" s="26">
        <f>'Census Waterfall'!S11</f>
        <v/>
      </c>
      <c r="T6" s="26">
        <f>'Census Waterfall'!T11</f>
        <v/>
      </c>
      <c r="U6" s="26">
        <f>'Census Waterfall'!U11</f>
        <v/>
      </c>
      <c r="V6" s="26">
        <f>'Census Waterfall'!V11</f>
        <v/>
      </c>
      <c r="W6" s="26">
        <f>'Census Waterfall'!W11</f>
        <v/>
      </c>
      <c r="X6" s="26">
        <f>'Census Waterfall'!X11</f>
        <v/>
      </c>
      <c r="Y6" s="26">
        <f>'Census Waterfall'!Y11</f>
        <v/>
      </c>
      <c r="Z6" s="26">
        <f>'Census Waterfall'!Z11</f>
        <v/>
      </c>
      <c r="AA6" s="26">
        <f>'Census Waterfall'!AA11</f>
        <v/>
      </c>
      <c r="AB6" s="26">
        <f>'Census Waterfall'!AB11</f>
        <v/>
      </c>
      <c r="AC6" s="26">
        <f>'Census Waterfall'!AC11</f>
        <v/>
      </c>
      <c r="AD6" s="26">
        <f>'Census Waterfall'!AD11</f>
        <v/>
      </c>
      <c r="AE6" s="26">
        <f>'Census Waterfall'!AE11</f>
        <v/>
      </c>
      <c r="AF6" s="26">
        <f>'Census Waterfall'!AF11</f>
        <v/>
      </c>
      <c r="AG6" s="26">
        <f>'Census Waterfall'!AG11</f>
        <v/>
      </c>
      <c r="AH6" s="26">
        <f>'Census Waterfall'!AH11</f>
        <v/>
      </c>
      <c r="AI6" s="26">
        <f>'Census Waterfall'!AI11</f>
        <v/>
      </c>
      <c r="AJ6" s="26">
        <f>'Census Waterfall'!AJ11</f>
        <v/>
      </c>
      <c r="AK6" s="26">
        <f>'Census Waterfall'!AK11</f>
        <v/>
      </c>
      <c r="AL6" s="26">
        <f>'Census Waterfall'!AL11</f>
        <v/>
      </c>
    </row>
    <row r="7">
      <c r="A7" s="3" t="inlineStr">
        <is>
          <t>REVENUE</t>
        </is>
      </c>
    </row>
    <row r="8">
      <c r="A8" s="4" t="inlineStr">
        <is>
          <t>Medicare RHC high / low / Medicaid -&gt; gross (3000/3010)</t>
        </is>
      </c>
      <c r="C8" s="27">
        <f>'Revenue Model'!C9</f>
        <v/>
      </c>
      <c r="D8" s="27">
        <f>'Revenue Model'!D9</f>
        <v/>
      </c>
      <c r="E8" s="27">
        <f>'Revenue Model'!E9</f>
        <v/>
      </c>
      <c r="F8" s="27">
        <f>'Revenue Model'!F9</f>
        <v/>
      </c>
      <c r="G8" s="27">
        <f>'Revenue Model'!G9</f>
        <v/>
      </c>
      <c r="H8" s="27">
        <f>'Revenue Model'!H9</f>
        <v/>
      </c>
      <c r="I8" s="27">
        <f>'Revenue Model'!I9</f>
        <v/>
      </c>
      <c r="J8" s="27">
        <f>'Revenue Model'!J9</f>
        <v/>
      </c>
      <c r="K8" s="27">
        <f>'Revenue Model'!K9</f>
        <v/>
      </c>
      <c r="L8" s="27">
        <f>'Revenue Model'!L9</f>
        <v/>
      </c>
      <c r="M8" s="27">
        <f>'Revenue Model'!M9</f>
        <v/>
      </c>
      <c r="N8" s="27">
        <f>'Revenue Model'!N9</f>
        <v/>
      </c>
      <c r="O8" s="27">
        <f>'Revenue Model'!O9</f>
        <v/>
      </c>
      <c r="P8" s="27">
        <f>'Revenue Model'!P9</f>
        <v/>
      </c>
      <c r="Q8" s="27">
        <f>'Revenue Model'!Q9</f>
        <v/>
      </c>
      <c r="R8" s="27">
        <f>'Revenue Model'!R9</f>
        <v/>
      </c>
      <c r="S8" s="27">
        <f>'Revenue Model'!S9</f>
        <v/>
      </c>
      <c r="T8" s="27">
        <f>'Revenue Model'!T9</f>
        <v/>
      </c>
      <c r="U8" s="27">
        <f>'Revenue Model'!U9</f>
        <v/>
      </c>
      <c r="V8" s="27">
        <f>'Revenue Model'!V9</f>
        <v/>
      </c>
      <c r="W8" s="27">
        <f>'Revenue Model'!W9</f>
        <v/>
      </c>
      <c r="X8" s="27">
        <f>'Revenue Model'!X9</f>
        <v/>
      </c>
      <c r="Y8" s="27">
        <f>'Revenue Model'!Y9</f>
        <v/>
      </c>
      <c r="Z8" s="27">
        <f>'Revenue Model'!Z9</f>
        <v/>
      </c>
      <c r="AA8" s="27">
        <f>'Revenue Model'!AA9</f>
        <v/>
      </c>
      <c r="AB8" s="27">
        <f>'Revenue Model'!AB9</f>
        <v/>
      </c>
      <c r="AC8" s="27">
        <f>'Revenue Model'!AC9</f>
        <v/>
      </c>
      <c r="AD8" s="27">
        <f>'Revenue Model'!AD9</f>
        <v/>
      </c>
      <c r="AE8" s="27">
        <f>'Revenue Model'!AE9</f>
        <v/>
      </c>
      <c r="AF8" s="27">
        <f>'Revenue Model'!AF9</f>
        <v/>
      </c>
      <c r="AG8" s="27">
        <f>'Revenue Model'!AG9</f>
        <v/>
      </c>
      <c r="AH8" s="27">
        <f>'Revenue Model'!AH9</f>
        <v/>
      </c>
      <c r="AI8" s="27">
        <f>'Revenue Model'!AI9</f>
        <v/>
      </c>
      <c r="AJ8" s="27">
        <f>'Revenue Model'!AJ9</f>
        <v/>
      </c>
      <c r="AK8" s="27">
        <f>'Revenue Model'!AK9</f>
        <v/>
      </c>
      <c r="AL8" s="27">
        <f>'Revenue Model'!AL9</f>
        <v/>
      </c>
    </row>
    <row r="9">
      <c r="A9" s="4" t="inlineStr">
        <is>
          <t>Less: billing company fee (6510-Z)</t>
        </is>
      </c>
      <c r="C9" s="27">
        <f>'Revenue Model'!C10</f>
        <v/>
      </c>
      <c r="D9" s="27">
        <f>'Revenue Model'!D10</f>
        <v/>
      </c>
      <c r="E9" s="27">
        <f>'Revenue Model'!E10</f>
        <v/>
      </c>
      <c r="F9" s="27">
        <f>'Revenue Model'!F10</f>
        <v/>
      </c>
      <c r="G9" s="27">
        <f>'Revenue Model'!G10</f>
        <v/>
      </c>
      <c r="H9" s="27">
        <f>'Revenue Model'!H10</f>
        <v/>
      </c>
      <c r="I9" s="27">
        <f>'Revenue Model'!I10</f>
        <v/>
      </c>
      <c r="J9" s="27">
        <f>'Revenue Model'!J10</f>
        <v/>
      </c>
      <c r="K9" s="27">
        <f>'Revenue Model'!K10</f>
        <v/>
      </c>
      <c r="L9" s="27">
        <f>'Revenue Model'!L10</f>
        <v/>
      </c>
      <c r="M9" s="27">
        <f>'Revenue Model'!M10</f>
        <v/>
      </c>
      <c r="N9" s="27">
        <f>'Revenue Model'!N10</f>
        <v/>
      </c>
      <c r="O9" s="27">
        <f>'Revenue Model'!O10</f>
        <v/>
      </c>
      <c r="P9" s="27">
        <f>'Revenue Model'!P10</f>
        <v/>
      </c>
      <c r="Q9" s="27">
        <f>'Revenue Model'!Q10</f>
        <v/>
      </c>
      <c r="R9" s="27">
        <f>'Revenue Model'!R10</f>
        <v/>
      </c>
      <c r="S9" s="27">
        <f>'Revenue Model'!S10</f>
        <v/>
      </c>
      <c r="T9" s="27">
        <f>'Revenue Model'!T10</f>
        <v/>
      </c>
      <c r="U9" s="27">
        <f>'Revenue Model'!U10</f>
        <v/>
      </c>
      <c r="V9" s="27">
        <f>'Revenue Model'!V10</f>
        <v/>
      </c>
      <c r="W9" s="27">
        <f>'Revenue Model'!W10</f>
        <v/>
      </c>
      <c r="X9" s="27">
        <f>'Revenue Model'!X10</f>
        <v/>
      </c>
      <c r="Y9" s="27">
        <f>'Revenue Model'!Y10</f>
        <v/>
      </c>
      <c r="Z9" s="27">
        <f>'Revenue Model'!Z10</f>
        <v/>
      </c>
      <c r="AA9" s="27">
        <f>'Revenue Model'!AA10</f>
        <v/>
      </c>
      <c r="AB9" s="27">
        <f>'Revenue Model'!AB10</f>
        <v/>
      </c>
      <c r="AC9" s="27">
        <f>'Revenue Model'!AC10</f>
        <v/>
      </c>
      <c r="AD9" s="27">
        <f>'Revenue Model'!AD10</f>
        <v/>
      </c>
      <c r="AE9" s="27">
        <f>'Revenue Model'!AE10</f>
        <v/>
      </c>
      <c r="AF9" s="27">
        <f>'Revenue Model'!AF10</f>
        <v/>
      </c>
      <c r="AG9" s="27">
        <f>'Revenue Model'!AG10</f>
        <v/>
      </c>
      <c r="AH9" s="27">
        <f>'Revenue Model'!AH10</f>
        <v/>
      </c>
      <c r="AI9" s="27">
        <f>'Revenue Model'!AI10</f>
        <v/>
      </c>
      <c r="AJ9" s="27">
        <f>'Revenue Model'!AJ10</f>
        <v/>
      </c>
      <c r="AK9" s="27">
        <f>'Revenue Model'!AK10</f>
        <v/>
      </c>
      <c r="AL9" s="27">
        <f>'Revenue Model'!AL10</f>
        <v/>
      </c>
    </row>
    <row r="10">
      <c r="A10" s="10" t="inlineStr">
        <is>
          <t>NET PATIENT REVENUE</t>
        </is>
      </c>
      <c r="C10" s="28">
        <f>'Revenue Model'!C11</f>
        <v/>
      </c>
      <c r="D10" s="28">
        <f>'Revenue Model'!D11</f>
        <v/>
      </c>
      <c r="E10" s="28">
        <f>'Revenue Model'!E11</f>
        <v/>
      </c>
      <c r="F10" s="28">
        <f>'Revenue Model'!F11</f>
        <v/>
      </c>
      <c r="G10" s="28">
        <f>'Revenue Model'!G11</f>
        <v/>
      </c>
      <c r="H10" s="28">
        <f>'Revenue Model'!H11</f>
        <v/>
      </c>
      <c r="I10" s="28">
        <f>'Revenue Model'!I11</f>
        <v/>
      </c>
      <c r="J10" s="28">
        <f>'Revenue Model'!J11</f>
        <v/>
      </c>
      <c r="K10" s="28">
        <f>'Revenue Model'!K11</f>
        <v/>
      </c>
      <c r="L10" s="28">
        <f>'Revenue Model'!L11</f>
        <v/>
      </c>
      <c r="M10" s="28">
        <f>'Revenue Model'!M11</f>
        <v/>
      </c>
      <c r="N10" s="28">
        <f>'Revenue Model'!N11</f>
        <v/>
      </c>
      <c r="O10" s="28">
        <f>'Revenue Model'!O11</f>
        <v/>
      </c>
      <c r="P10" s="28">
        <f>'Revenue Model'!P11</f>
        <v/>
      </c>
      <c r="Q10" s="28">
        <f>'Revenue Model'!Q11</f>
        <v/>
      </c>
      <c r="R10" s="28">
        <f>'Revenue Model'!R11</f>
        <v/>
      </c>
      <c r="S10" s="28">
        <f>'Revenue Model'!S11</f>
        <v/>
      </c>
      <c r="T10" s="28">
        <f>'Revenue Model'!T11</f>
        <v/>
      </c>
      <c r="U10" s="28">
        <f>'Revenue Model'!U11</f>
        <v/>
      </c>
      <c r="V10" s="28">
        <f>'Revenue Model'!V11</f>
        <v/>
      </c>
      <c r="W10" s="28">
        <f>'Revenue Model'!W11</f>
        <v/>
      </c>
      <c r="X10" s="28">
        <f>'Revenue Model'!X11</f>
        <v/>
      </c>
      <c r="Y10" s="28">
        <f>'Revenue Model'!Y11</f>
        <v/>
      </c>
      <c r="Z10" s="28">
        <f>'Revenue Model'!Z11</f>
        <v/>
      </c>
      <c r="AA10" s="28">
        <f>'Revenue Model'!AA11</f>
        <v/>
      </c>
      <c r="AB10" s="28">
        <f>'Revenue Model'!AB11</f>
        <v/>
      </c>
      <c r="AC10" s="28">
        <f>'Revenue Model'!AC11</f>
        <v/>
      </c>
      <c r="AD10" s="28">
        <f>'Revenue Model'!AD11</f>
        <v/>
      </c>
      <c r="AE10" s="28">
        <f>'Revenue Model'!AE11</f>
        <v/>
      </c>
      <c r="AF10" s="28">
        <f>'Revenue Model'!AF11</f>
        <v/>
      </c>
      <c r="AG10" s="28">
        <f>'Revenue Model'!AG11</f>
        <v/>
      </c>
      <c r="AH10" s="28">
        <f>'Revenue Model'!AH11</f>
        <v/>
      </c>
      <c r="AI10" s="28">
        <f>'Revenue Model'!AI11</f>
        <v/>
      </c>
      <c r="AJ10" s="28">
        <f>'Revenue Model'!AJ11</f>
        <v/>
      </c>
      <c r="AK10" s="28">
        <f>'Revenue Model'!AK11</f>
        <v/>
      </c>
      <c r="AL10" s="28">
        <f>'Revenue Model'!AL11</f>
        <v/>
      </c>
    </row>
    <row r="11">
      <c r="A11" s="3" t="inlineStr">
        <is>
          <t>COST OF SERVICES</t>
        </is>
      </c>
    </row>
    <row r="12">
      <c r="A12" s="4" t="inlineStr">
        <is>
          <t>Total direct patient care (5050-5120)</t>
        </is>
      </c>
      <c r="C12" s="27">
        <f>'Operating Budget'!C12</f>
        <v/>
      </c>
      <c r="D12" s="27">
        <f>'Operating Budget'!D12</f>
        <v/>
      </c>
      <c r="E12" s="27">
        <f>'Operating Budget'!E12</f>
        <v/>
      </c>
      <c r="F12" s="27">
        <f>'Operating Budget'!F12</f>
        <v/>
      </c>
      <c r="G12" s="27">
        <f>'Operating Budget'!G12</f>
        <v/>
      </c>
      <c r="H12" s="27">
        <f>'Operating Budget'!H12</f>
        <v/>
      </c>
      <c r="I12" s="27">
        <f>'Operating Budget'!I12</f>
        <v/>
      </c>
      <c r="J12" s="27">
        <f>'Operating Budget'!J12</f>
        <v/>
      </c>
      <c r="K12" s="27">
        <f>'Operating Budget'!K12</f>
        <v/>
      </c>
      <c r="L12" s="27">
        <f>'Operating Budget'!L12</f>
        <v/>
      </c>
      <c r="M12" s="27">
        <f>'Operating Budget'!M12</f>
        <v/>
      </c>
      <c r="N12" s="27">
        <f>'Operating Budget'!N12</f>
        <v/>
      </c>
      <c r="O12" s="27">
        <f>'Operating Budget'!O12</f>
        <v/>
      </c>
      <c r="P12" s="27">
        <f>'Operating Budget'!P12</f>
        <v/>
      </c>
      <c r="Q12" s="27">
        <f>'Operating Budget'!Q12</f>
        <v/>
      </c>
      <c r="R12" s="27">
        <f>'Operating Budget'!R12</f>
        <v/>
      </c>
      <c r="S12" s="27">
        <f>'Operating Budget'!S12</f>
        <v/>
      </c>
      <c r="T12" s="27">
        <f>'Operating Budget'!T12</f>
        <v/>
      </c>
      <c r="U12" s="27">
        <f>'Operating Budget'!U12</f>
        <v/>
      </c>
      <c r="V12" s="27">
        <f>'Operating Budget'!V12</f>
        <v/>
      </c>
      <c r="W12" s="27">
        <f>'Operating Budget'!W12</f>
        <v/>
      </c>
      <c r="X12" s="27">
        <f>'Operating Budget'!X12</f>
        <v/>
      </c>
      <c r="Y12" s="27">
        <f>'Operating Budget'!Y12</f>
        <v/>
      </c>
      <c r="Z12" s="27">
        <f>'Operating Budget'!Z12</f>
        <v/>
      </c>
      <c r="AA12" s="27">
        <f>'Operating Budget'!AA12</f>
        <v/>
      </c>
      <c r="AB12" s="27">
        <f>'Operating Budget'!AB12</f>
        <v/>
      </c>
      <c r="AC12" s="27">
        <f>'Operating Budget'!AC12</f>
        <v/>
      </c>
      <c r="AD12" s="27">
        <f>'Operating Budget'!AD12</f>
        <v/>
      </c>
      <c r="AE12" s="27">
        <f>'Operating Budget'!AE12</f>
        <v/>
      </c>
      <c r="AF12" s="27">
        <f>'Operating Budget'!AF12</f>
        <v/>
      </c>
      <c r="AG12" s="27">
        <f>'Operating Budget'!AG12</f>
        <v/>
      </c>
      <c r="AH12" s="27">
        <f>'Operating Budget'!AH12</f>
        <v/>
      </c>
      <c r="AI12" s="27">
        <f>'Operating Budget'!AI12</f>
        <v/>
      </c>
      <c r="AJ12" s="27">
        <f>'Operating Budget'!AJ12</f>
        <v/>
      </c>
      <c r="AK12" s="27">
        <f>'Operating Budget'!AK12</f>
        <v/>
      </c>
      <c r="AL12" s="27">
        <f>'Operating Budget'!AL12</f>
        <v/>
      </c>
    </row>
    <row r="13">
      <c r="A13" s="4" t="inlineStr">
        <is>
          <t>Total direct clinical labor (4000/4025/4020)</t>
        </is>
      </c>
      <c r="C13" s="27">
        <f>'Staffing'!C37</f>
        <v/>
      </c>
      <c r="D13" s="27">
        <f>'Staffing'!D37</f>
        <v/>
      </c>
      <c r="E13" s="27">
        <f>'Staffing'!E37</f>
        <v/>
      </c>
      <c r="F13" s="27">
        <f>'Staffing'!F37</f>
        <v/>
      </c>
      <c r="G13" s="27">
        <f>'Staffing'!G37</f>
        <v/>
      </c>
      <c r="H13" s="27">
        <f>'Staffing'!H37</f>
        <v/>
      </c>
      <c r="I13" s="27">
        <f>'Staffing'!I37</f>
        <v/>
      </c>
      <c r="J13" s="27">
        <f>'Staffing'!J37</f>
        <v/>
      </c>
      <c r="K13" s="27">
        <f>'Staffing'!K37</f>
        <v/>
      </c>
      <c r="L13" s="27">
        <f>'Staffing'!L37</f>
        <v/>
      </c>
      <c r="M13" s="27">
        <f>'Staffing'!M37</f>
        <v/>
      </c>
      <c r="N13" s="27">
        <f>'Staffing'!N37</f>
        <v/>
      </c>
      <c r="O13" s="27">
        <f>'Staffing'!O37</f>
        <v/>
      </c>
      <c r="P13" s="27">
        <f>'Staffing'!P37</f>
        <v/>
      </c>
      <c r="Q13" s="27">
        <f>'Staffing'!Q37</f>
        <v/>
      </c>
      <c r="R13" s="27">
        <f>'Staffing'!R37</f>
        <v/>
      </c>
      <c r="S13" s="27">
        <f>'Staffing'!S37</f>
        <v/>
      </c>
      <c r="T13" s="27">
        <f>'Staffing'!T37</f>
        <v/>
      </c>
      <c r="U13" s="27">
        <f>'Staffing'!U37</f>
        <v/>
      </c>
      <c r="V13" s="27">
        <f>'Staffing'!V37</f>
        <v/>
      </c>
      <c r="W13" s="27">
        <f>'Staffing'!W37</f>
        <v/>
      </c>
      <c r="X13" s="27">
        <f>'Staffing'!X37</f>
        <v/>
      </c>
      <c r="Y13" s="27">
        <f>'Staffing'!Y37</f>
        <v/>
      </c>
      <c r="Z13" s="27">
        <f>'Staffing'!Z37</f>
        <v/>
      </c>
      <c r="AA13" s="27">
        <f>'Staffing'!AA37</f>
        <v/>
      </c>
      <c r="AB13" s="27">
        <f>'Staffing'!AB37</f>
        <v/>
      </c>
      <c r="AC13" s="27">
        <f>'Staffing'!AC37</f>
        <v/>
      </c>
      <c r="AD13" s="27">
        <f>'Staffing'!AD37</f>
        <v/>
      </c>
      <c r="AE13" s="27">
        <f>'Staffing'!AE37</f>
        <v/>
      </c>
      <c r="AF13" s="27">
        <f>'Staffing'!AF37</f>
        <v/>
      </c>
      <c r="AG13" s="27">
        <f>'Staffing'!AG37</f>
        <v/>
      </c>
      <c r="AH13" s="27">
        <f>'Staffing'!AH37</f>
        <v/>
      </c>
      <c r="AI13" s="27">
        <f>'Staffing'!AI37</f>
        <v/>
      </c>
      <c r="AJ13" s="27">
        <f>'Staffing'!AJ37</f>
        <v/>
      </c>
      <c r="AK13" s="27">
        <f>'Staffing'!AK37</f>
        <v/>
      </c>
      <c r="AL13" s="27">
        <f>'Staffing'!AL37</f>
        <v/>
      </c>
    </row>
    <row r="14">
      <c r="A14" s="10" t="inlineStr">
        <is>
          <t>TOTAL COST OF SERVICES</t>
        </is>
      </c>
      <c r="C14" s="23">
        <f>C12+C13</f>
        <v/>
      </c>
      <c r="D14" s="23">
        <f>D12+D13</f>
        <v/>
      </c>
      <c r="E14" s="23">
        <f>E12+E13</f>
        <v/>
      </c>
      <c r="F14" s="23">
        <f>F12+F13</f>
        <v/>
      </c>
      <c r="G14" s="23">
        <f>G12+G13</f>
        <v/>
      </c>
      <c r="H14" s="23">
        <f>H12+H13</f>
        <v/>
      </c>
      <c r="I14" s="23">
        <f>I12+I13</f>
        <v/>
      </c>
      <c r="J14" s="23">
        <f>J12+J13</f>
        <v/>
      </c>
      <c r="K14" s="23">
        <f>K12+K13</f>
        <v/>
      </c>
      <c r="L14" s="23">
        <f>L12+L13</f>
        <v/>
      </c>
      <c r="M14" s="23">
        <f>M12+M13</f>
        <v/>
      </c>
      <c r="N14" s="23">
        <f>N12+N13</f>
        <v/>
      </c>
      <c r="O14" s="23">
        <f>O12+O13</f>
        <v/>
      </c>
      <c r="P14" s="23">
        <f>P12+P13</f>
        <v/>
      </c>
      <c r="Q14" s="23">
        <f>Q12+Q13</f>
        <v/>
      </c>
      <c r="R14" s="23">
        <f>R12+R13</f>
        <v/>
      </c>
      <c r="S14" s="23">
        <f>S12+S13</f>
        <v/>
      </c>
      <c r="T14" s="23">
        <f>T12+T13</f>
        <v/>
      </c>
      <c r="U14" s="23">
        <f>U12+U13</f>
        <v/>
      </c>
      <c r="V14" s="23">
        <f>V12+V13</f>
        <v/>
      </c>
      <c r="W14" s="23">
        <f>W12+W13</f>
        <v/>
      </c>
      <c r="X14" s="23">
        <f>X12+X13</f>
        <v/>
      </c>
      <c r="Y14" s="23">
        <f>Y12+Y13</f>
        <v/>
      </c>
      <c r="Z14" s="23">
        <f>Z12+Z13</f>
        <v/>
      </c>
      <c r="AA14" s="23">
        <f>AA12+AA13</f>
        <v/>
      </c>
      <c r="AB14" s="23">
        <f>AB12+AB13</f>
        <v/>
      </c>
      <c r="AC14" s="23">
        <f>AC12+AC13</f>
        <v/>
      </c>
      <c r="AD14" s="23">
        <f>AD12+AD13</f>
        <v/>
      </c>
      <c r="AE14" s="23">
        <f>AE12+AE13</f>
        <v/>
      </c>
      <c r="AF14" s="23">
        <f>AF12+AF13</f>
        <v/>
      </c>
      <c r="AG14" s="23">
        <f>AG12+AG13</f>
        <v/>
      </c>
      <c r="AH14" s="23">
        <f>AH12+AH13</f>
        <v/>
      </c>
      <c r="AI14" s="23">
        <f>AI12+AI13</f>
        <v/>
      </c>
      <c r="AJ14" s="23">
        <f>AJ12+AJ13</f>
        <v/>
      </c>
      <c r="AK14" s="23">
        <f>AK12+AK13</f>
        <v/>
      </c>
      <c r="AL14" s="23">
        <f>AL12+AL13</f>
        <v/>
      </c>
    </row>
    <row r="15">
      <c r="A15" s="10" t="inlineStr">
        <is>
          <t>GROSS PROFIT</t>
        </is>
      </c>
      <c r="C15" s="24">
        <f>C10-C14</f>
        <v/>
      </c>
      <c r="D15" s="24">
        <f>D10-D14</f>
        <v/>
      </c>
      <c r="E15" s="24">
        <f>E10-E14</f>
        <v/>
      </c>
      <c r="F15" s="24">
        <f>F10-F14</f>
        <v/>
      </c>
      <c r="G15" s="24">
        <f>G10-G14</f>
        <v/>
      </c>
      <c r="H15" s="24">
        <f>H10-H14</f>
        <v/>
      </c>
      <c r="I15" s="24">
        <f>I10-I14</f>
        <v/>
      </c>
      <c r="J15" s="24">
        <f>J10-J14</f>
        <v/>
      </c>
      <c r="K15" s="24">
        <f>K10-K14</f>
        <v/>
      </c>
      <c r="L15" s="24">
        <f>L10-L14</f>
        <v/>
      </c>
      <c r="M15" s="24">
        <f>M10-M14</f>
        <v/>
      </c>
      <c r="N15" s="24">
        <f>N10-N14</f>
        <v/>
      </c>
      <c r="O15" s="24">
        <f>O10-O14</f>
        <v/>
      </c>
      <c r="P15" s="24">
        <f>P10-P14</f>
        <v/>
      </c>
      <c r="Q15" s="24">
        <f>Q10-Q14</f>
        <v/>
      </c>
      <c r="R15" s="24">
        <f>R10-R14</f>
        <v/>
      </c>
      <c r="S15" s="24">
        <f>S10-S14</f>
        <v/>
      </c>
      <c r="T15" s="24">
        <f>T10-T14</f>
        <v/>
      </c>
      <c r="U15" s="24">
        <f>U10-U14</f>
        <v/>
      </c>
      <c r="V15" s="24">
        <f>V10-V14</f>
        <v/>
      </c>
      <c r="W15" s="24">
        <f>W10-W14</f>
        <v/>
      </c>
      <c r="X15" s="24">
        <f>X10-X14</f>
        <v/>
      </c>
      <c r="Y15" s="24">
        <f>Y10-Y14</f>
        <v/>
      </c>
      <c r="Z15" s="24">
        <f>Z10-Z14</f>
        <v/>
      </c>
      <c r="AA15" s="24">
        <f>AA10-AA14</f>
        <v/>
      </c>
      <c r="AB15" s="24">
        <f>AB10-AB14</f>
        <v/>
      </c>
      <c r="AC15" s="24">
        <f>AC10-AC14</f>
        <v/>
      </c>
      <c r="AD15" s="24">
        <f>AD10-AD14</f>
        <v/>
      </c>
      <c r="AE15" s="24">
        <f>AE10-AE14</f>
        <v/>
      </c>
      <c r="AF15" s="24">
        <f>AF10-AF14</f>
        <v/>
      </c>
      <c r="AG15" s="24">
        <f>AG10-AG14</f>
        <v/>
      </c>
      <c r="AH15" s="24">
        <f>AH10-AH14</f>
        <v/>
      </c>
      <c r="AI15" s="24">
        <f>AI10-AI14</f>
        <v/>
      </c>
      <c r="AJ15" s="24">
        <f>AJ10-AJ14</f>
        <v/>
      </c>
      <c r="AK15" s="24">
        <f>AK10-AK14</f>
        <v/>
      </c>
      <c r="AL15" s="24">
        <f>AL10-AL14</f>
        <v/>
      </c>
    </row>
    <row r="16">
      <c r="A16" s="4" t="inlineStr">
        <is>
          <t>Gross margin %</t>
        </is>
      </c>
      <c r="C16" s="11">
        <f>IF(C10=0,0,C15/C10)</f>
        <v/>
      </c>
      <c r="D16" s="11">
        <f>IF(D10=0,0,D15/D10)</f>
        <v/>
      </c>
      <c r="E16" s="11">
        <f>IF(E10=0,0,E15/E10)</f>
        <v/>
      </c>
      <c r="F16" s="11">
        <f>IF(F10=0,0,F15/F10)</f>
        <v/>
      </c>
      <c r="G16" s="11">
        <f>IF(G10=0,0,G15/G10)</f>
        <v/>
      </c>
      <c r="H16" s="11">
        <f>IF(H10=0,0,H15/H10)</f>
        <v/>
      </c>
      <c r="I16" s="11">
        <f>IF(I10=0,0,I15/I10)</f>
        <v/>
      </c>
      <c r="J16" s="11">
        <f>IF(J10=0,0,J15/J10)</f>
        <v/>
      </c>
      <c r="K16" s="11">
        <f>IF(K10=0,0,K15/K10)</f>
        <v/>
      </c>
      <c r="L16" s="11">
        <f>IF(L10=0,0,L15/L10)</f>
        <v/>
      </c>
      <c r="M16" s="11">
        <f>IF(M10=0,0,M15/M10)</f>
        <v/>
      </c>
      <c r="N16" s="11">
        <f>IF(N10=0,0,N15/N10)</f>
        <v/>
      </c>
      <c r="O16" s="11">
        <f>IF(O10=0,0,O15/O10)</f>
        <v/>
      </c>
      <c r="P16" s="11">
        <f>IF(P10=0,0,P15/P10)</f>
        <v/>
      </c>
      <c r="Q16" s="11">
        <f>IF(Q10=0,0,Q15/Q10)</f>
        <v/>
      </c>
      <c r="R16" s="11">
        <f>IF(R10=0,0,R15/R10)</f>
        <v/>
      </c>
      <c r="S16" s="11">
        <f>IF(S10=0,0,S15/S10)</f>
        <v/>
      </c>
      <c r="T16" s="11">
        <f>IF(T10=0,0,T15/T10)</f>
        <v/>
      </c>
      <c r="U16" s="11">
        <f>IF(U10=0,0,U15/U10)</f>
        <v/>
      </c>
      <c r="V16" s="11">
        <f>IF(V10=0,0,V15/V10)</f>
        <v/>
      </c>
      <c r="W16" s="11">
        <f>IF(W10=0,0,W15/W10)</f>
        <v/>
      </c>
      <c r="X16" s="11">
        <f>IF(X10=0,0,X15/X10)</f>
        <v/>
      </c>
      <c r="Y16" s="11">
        <f>IF(Y10=0,0,Y15/Y10)</f>
        <v/>
      </c>
      <c r="Z16" s="11">
        <f>IF(Z10=0,0,Z15/Z10)</f>
        <v/>
      </c>
      <c r="AA16" s="11">
        <f>IF(AA10=0,0,AA15/AA10)</f>
        <v/>
      </c>
      <c r="AB16" s="11">
        <f>IF(AB10=0,0,AB15/AB10)</f>
        <v/>
      </c>
      <c r="AC16" s="11">
        <f>IF(AC10=0,0,AC15/AC10)</f>
        <v/>
      </c>
      <c r="AD16" s="11">
        <f>IF(AD10=0,0,AD15/AD10)</f>
        <v/>
      </c>
      <c r="AE16" s="11">
        <f>IF(AE10=0,0,AE15/AE10)</f>
        <v/>
      </c>
      <c r="AF16" s="11">
        <f>IF(AF10=0,0,AF15/AF10)</f>
        <v/>
      </c>
      <c r="AG16" s="11">
        <f>IF(AG10=0,0,AG15/AG10)</f>
        <v/>
      </c>
      <c r="AH16" s="11">
        <f>IF(AH10=0,0,AH15/AH10)</f>
        <v/>
      </c>
      <c r="AI16" s="11">
        <f>IF(AI10=0,0,AI15/AI10)</f>
        <v/>
      </c>
      <c r="AJ16" s="11">
        <f>IF(AJ10=0,0,AJ15/AJ10)</f>
        <v/>
      </c>
      <c r="AK16" s="11">
        <f>IF(AK10=0,0,AK15/AK10)</f>
        <v/>
      </c>
      <c r="AL16" s="11">
        <f>IF(AL10=0,0,AL15/AL10)</f>
        <v/>
      </c>
    </row>
    <row r="17">
      <c r="A17" s="3" t="inlineStr">
        <is>
          <t>OPERATING EXPENSES</t>
        </is>
      </c>
    </row>
    <row r="18">
      <c r="A18" s="4" t="inlineStr">
        <is>
          <t>Total indirect labor (4000-0-*)</t>
        </is>
      </c>
      <c r="C18" s="27">
        <f>'Staffing'!C38</f>
        <v/>
      </c>
      <c r="D18" s="27">
        <f>'Staffing'!D38</f>
        <v/>
      </c>
      <c r="E18" s="27">
        <f>'Staffing'!E38</f>
        <v/>
      </c>
      <c r="F18" s="27">
        <f>'Staffing'!F38</f>
        <v/>
      </c>
      <c r="G18" s="27">
        <f>'Staffing'!G38</f>
        <v/>
      </c>
      <c r="H18" s="27">
        <f>'Staffing'!H38</f>
        <v/>
      </c>
      <c r="I18" s="27">
        <f>'Staffing'!I38</f>
        <v/>
      </c>
      <c r="J18" s="27">
        <f>'Staffing'!J38</f>
        <v/>
      </c>
      <c r="K18" s="27">
        <f>'Staffing'!K38</f>
        <v/>
      </c>
      <c r="L18" s="27">
        <f>'Staffing'!L38</f>
        <v/>
      </c>
      <c r="M18" s="27">
        <f>'Staffing'!M38</f>
        <v/>
      </c>
      <c r="N18" s="27">
        <f>'Staffing'!N38</f>
        <v/>
      </c>
      <c r="O18" s="27">
        <f>'Staffing'!O38</f>
        <v/>
      </c>
      <c r="P18" s="27">
        <f>'Staffing'!P38</f>
        <v/>
      </c>
      <c r="Q18" s="27">
        <f>'Staffing'!Q38</f>
        <v/>
      </c>
      <c r="R18" s="27">
        <f>'Staffing'!R38</f>
        <v/>
      </c>
      <c r="S18" s="27">
        <f>'Staffing'!S38</f>
        <v/>
      </c>
      <c r="T18" s="27">
        <f>'Staffing'!T38</f>
        <v/>
      </c>
      <c r="U18" s="27">
        <f>'Staffing'!U38</f>
        <v/>
      </c>
      <c r="V18" s="27">
        <f>'Staffing'!V38</f>
        <v/>
      </c>
      <c r="W18" s="27">
        <f>'Staffing'!W38</f>
        <v/>
      </c>
      <c r="X18" s="27">
        <f>'Staffing'!X38</f>
        <v/>
      </c>
      <c r="Y18" s="27">
        <f>'Staffing'!Y38</f>
        <v/>
      </c>
      <c r="Z18" s="27">
        <f>'Staffing'!Z38</f>
        <v/>
      </c>
      <c r="AA18" s="27">
        <f>'Staffing'!AA38</f>
        <v/>
      </c>
      <c r="AB18" s="27">
        <f>'Staffing'!AB38</f>
        <v/>
      </c>
      <c r="AC18" s="27">
        <f>'Staffing'!AC38</f>
        <v/>
      </c>
      <c r="AD18" s="27">
        <f>'Staffing'!AD38</f>
        <v/>
      </c>
      <c r="AE18" s="27">
        <f>'Staffing'!AE38</f>
        <v/>
      </c>
      <c r="AF18" s="27">
        <f>'Staffing'!AF38</f>
        <v/>
      </c>
      <c r="AG18" s="27">
        <f>'Staffing'!AG38</f>
        <v/>
      </c>
      <c r="AH18" s="27">
        <f>'Staffing'!AH38</f>
        <v/>
      </c>
      <c r="AI18" s="27">
        <f>'Staffing'!AI38</f>
        <v/>
      </c>
      <c r="AJ18" s="27">
        <f>'Staffing'!AJ38</f>
        <v/>
      </c>
      <c r="AK18" s="27">
        <f>'Staffing'!AK38</f>
        <v/>
      </c>
      <c r="AL18" s="27">
        <f>'Staffing'!AL38</f>
        <v/>
      </c>
    </row>
    <row r="19">
      <c r="A19" s="4" t="inlineStr">
        <is>
          <t>Total facility (6010-6150)</t>
        </is>
      </c>
      <c r="C19" s="27">
        <f>'Operating Budget'!C18</f>
        <v/>
      </c>
      <c r="D19" s="27">
        <f>'Operating Budget'!D18</f>
        <v/>
      </c>
      <c r="E19" s="27">
        <f>'Operating Budget'!E18</f>
        <v/>
      </c>
      <c r="F19" s="27">
        <f>'Operating Budget'!F18</f>
        <v/>
      </c>
      <c r="G19" s="27">
        <f>'Operating Budget'!G18</f>
        <v/>
      </c>
      <c r="H19" s="27">
        <f>'Operating Budget'!H18</f>
        <v/>
      </c>
      <c r="I19" s="27">
        <f>'Operating Budget'!I18</f>
        <v/>
      </c>
      <c r="J19" s="27">
        <f>'Operating Budget'!J18</f>
        <v/>
      </c>
      <c r="K19" s="27">
        <f>'Operating Budget'!K18</f>
        <v/>
      </c>
      <c r="L19" s="27">
        <f>'Operating Budget'!L18</f>
        <v/>
      </c>
      <c r="M19" s="27">
        <f>'Operating Budget'!M18</f>
        <v/>
      </c>
      <c r="N19" s="27">
        <f>'Operating Budget'!N18</f>
        <v/>
      </c>
      <c r="O19" s="27">
        <f>'Operating Budget'!O18</f>
        <v/>
      </c>
      <c r="P19" s="27">
        <f>'Operating Budget'!P18</f>
        <v/>
      </c>
      <c r="Q19" s="27">
        <f>'Operating Budget'!Q18</f>
        <v/>
      </c>
      <c r="R19" s="27">
        <f>'Operating Budget'!R18</f>
        <v/>
      </c>
      <c r="S19" s="27">
        <f>'Operating Budget'!S18</f>
        <v/>
      </c>
      <c r="T19" s="27">
        <f>'Operating Budget'!T18</f>
        <v/>
      </c>
      <c r="U19" s="27">
        <f>'Operating Budget'!U18</f>
        <v/>
      </c>
      <c r="V19" s="27">
        <f>'Operating Budget'!V18</f>
        <v/>
      </c>
      <c r="W19" s="27">
        <f>'Operating Budget'!W18</f>
        <v/>
      </c>
      <c r="X19" s="27">
        <f>'Operating Budget'!X18</f>
        <v/>
      </c>
      <c r="Y19" s="27">
        <f>'Operating Budget'!Y18</f>
        <v/>
      </c>
      <c r="Z19" s="27">
        <f>'Operating Budget'!Z18</f>
        <v/>
      </c>
      <c r="AA19" s="27">
        <f>'Operating Budget'!AA18</f>
        <v/>
      </c>
      <c r="AB19" s="27">
        <f>'Operating Budget'!AB18</f>
        <v/>
      </c>
      <c r="AC19" s="27">
        <f>'Operating Budget'!AC18</f>
        <v/>
      </c>
      <c r="AD19" s="27">
        <f>'Operating Budget'!AD18</f>
        <v/>
      </c>
      <c r="AE19" s="27">
        <f>'Operating Budget'!AE18</f>
        <v/>
      </c>
      <c r="AF19" s="27">
        <f>'Operating Budget'!AF18</f>
        <v/>
      </c>
      <c r="AG19" s="27">
        <f>'Operating Budget'!AG18</f>
        <v/>
      </c>
      <c r="AH19" s="27">
        <f>'Operating Budget'!AH18</f>
        <v/>
      </c>
      <c r="AI19" s="27">
        <f>'Operating Budget'!AI18</f>
        <v/>
      </c>
      <c r="AJ19" s="27">
        <f>'Operating Budget'!AJ18</f>
        <v/>
      </c>
      <c r="AK19" s="27">
        <f>'Operating Budget'!AK18</f>
        <v/>
      </c>
      <c r="AL19" s="27">
        <f>'Operating Budget'!AL18</f>
        <v/>
      </c>
    </row>
    <row r="20">
      <c r="A20" s="4" t="inlineStr">
        <is>
          <t>Total G&amp;A (6510-6810)</t>
        </is>
      </c>
      <c r="C20" s="27">
        <f>'Operating Budget'!C31</f>
        <v/>
      </c>
      <c r="D20" s="27">
        <f>'Operating Budget'!D31</f>
        <v/>
      </c>
      <c r="E20" s="27">
        <f>'Operating Budget'!E31</f>
        <v/>
      </c>
      <c r="F20" s="27">
        <f>'Operating Budget'!F31</f>
        <v/>
      </c>
      <c r="G20" s="27">
        <f>'Operating Budget'!G31</f>
        <v/>
      </c>
      <c r="H20" s="27">
        <f>'Operating Budget'!H31</f>
        <v/>
      </c>
      <c r="I20" s="27">
        <f>'Operating Budget'!I31</f>
        <v/>
      </c>
      <c r="J20" s="27">
        <f>'Operating Budget'!J31</f>
        <v/>
      </c>
      <c r="K20" s="27">
        <f>'Operating Budget'!K31</f>
        <v/>
      </c>
      <c r="L20" s="27">
        <f>'Operating Budget'!L31</f>
        <v/>
      </c>
      <c r="M20" s="27">
        <f>'Operating Budget'!M31</f>
        <v/>
      </c>
      <c r="N20" s="27">
        <f>'Operating Budget'!N31</f>
        <v/>
      </c>
      <c r="O20" s="27">
        <f>'Operating Budget'!O31</f>
        <v/>
      </c>
      <c r="P20" s="27">
        <f>'Operating Budget'!P31</f>
        <v/>
      </c>
      <c r="Q20" s="27">
        <f>'Operating Budget'!Q31</f>
        <v/>
      </c>
      <c r="R20" s="27">
        <f>'Operating Budget'!R31</f>
        <v/>
      </c>
      <c r="S20" s="27">
        <f>'Operating Budget'!S31</f>
        <v/>
      </c>
      <c r="T20" s="27">
        <f>'Operating Budget'!T31</f>
        <v/>
      </c>
      <c r="U20" s="27">
        <f>'Operating Budget'!U31</f>
        <v/>
      </c>
      <c r="V20" s="27">
        <f>'Operating Budget'!V31</f>
        <v/>
      </c>
      <c r="W20" s="27">
        <f>'Operating Budget'!W31</f>
        <v/>
      </c>
      <c r="X20" s="27">
        <f>'Operating Budget'!X31</f>
        <v/>
      </c>
      <c r="Y20" s="27">
        <f>'Operating Budget'!Y31</f>
        <v/>
      </c>
      <c r="Z20" s="27">
        <f>'Operating Budget'!Z31</f>
        <v/>
      </c>
      <c r="AA20" s="27">
        <f>'Operating Budget'!AA31</f>
        <v/>
      </c>
      <c r="AB20" s="27">
        <f>'Operating Budget'!AB31</f>
        <v/>
      </c>
      <c r="AC20" s="27">
        <f>'Operating Budget'!AC31</f>
        <v/>
      </c>
      <c r="AD20" s="27">
        <f>'Operating Budget'!AD31</f>
        <v/>
      </c>
      <c r="AE20" s="27">
        <f>'Operating Budget'!AE31</f>
        <v/>
      </c>
      <c r="AF20" s="27">
        <f>'Operating Budget'!AF31</f>
        <v/>
      </c>
      <c r="AG20" s="27">
        <f>'Operating Budget'!AG31</f>
        <v/>
      </c>
      <c r="AH20" s="27">
        <f>'Operating Budget'!AH31</f>
        <v/>
      </c>
      <c r="AI20" s="27">
        <f>'Operating Budget'!AI31</f>
        <v/>
      </c>
      <c r="AJ20" s="27">
        <f>'Operating Budget'!AJ31</f>
        <v/>
      </c>
      <c r="AK20" s="27">
        <f>'Operating Budget'!AK31</f>
        <v/>
      </c>
      <c r="AL20" s="27">
        <f>'Operating Budget'!AL31</f>
        <v/>
      </c>
    </row>
    <row r="21">
      <c r="A21" s="4" t="inlineStr">
        <is>
          <t>License intangible amortization (7200)</t>
        </is>
      </c>
      <c r="C21" s="22">
        <f>IF(1&gt;='Control Tower'!$B$27,'Control Tower'!$B$7/'Control Tower'!$B$26/12,0)</f>
        <v/>
      </c>
      <c r="D21" s="22">
        <f>IF(2&gt;='Control Tower'!$B$27,'Control Tower'!$B$7/'Control Tower'!$B$26/12,0)</f>
        <v/>
      </c>
      <c r="E21" s="22">
        <f>IF(3&gt;='Control Tower'!$B$27,'Control Tower'!$B$7/'Control Tower'!$B$26/12,0)</f>
        <v/>
      </c>
      <c r="F21" s="22">
        <f>IF(4&gt;='Control Tower'!$B$27,'Control Tower'!$B$7/'Control Tower'!$B$26/12,0)</f>
        <v/>
      </c>
      <c r="G21" s="22">
        <f>IF(5&gt;='Control Tower'!$B$27,'Control Tower'!$B$7/'Control Tower'!$B$26/12,0)</f>
        <v/>
      </c>
      <c r="H21" s="22">
        <f>IF(6&gt;='Control Tower'!$B$27,'Control Tower'!$B$7/'Control Tower'!$B$26/12,0)</f>
        <v/>
      </c>
      <c r="I21" s="22">
        <f>IF(7&gt;='Control Tower'!$B$27,'Control Tower'!$B$7/'Control Tower'!$B$26/12,0)</f>
        <v/>
      </c>
      <c r="J21" s="22">
        <f>IF(8&gt;='Control Tower'!$B$27,'Control Tower'!$B$7/'Control Tower'!$B$26/12,0)</f>
        <v/>
      </c>
      <c r="K21" s="22">
        <f>IF(9&gt;='Control Tower'!$B$27,'Control Tower'!$B$7/'Control Tower'!$B$26/12,0)</f>
        <v/>
      </c>
      <c r="L21" s="22">
        <f>IF(10&gt;='Control Tower'!$B$27,'Control Tower'!$B$7/'Control Tower'!$B$26/12,0)</f>
        <v/>
      </c>
      <c r="M21" s="22">
        <f>IF(11&gt;='Control Tower'!$B$27,'Control Tower'!$B$7/'Control Tower'!$B$26/12,0)</f>
        <v/>
      </c>
      <c r="N21" s="22">
        <f>IF(12&gt;='Control Tower'!$B$27,'Control Tower'!$B$7/'Control Tower'!$B$26/12,0)</f>
        <v/>
      </c>
      <c r="O21" s="22">
        <f>IF(13&gt;='Control Tower'!$B$27,'Control Tower'!$B$7/'Control Tower'!$B$26/12,0)</f>
        <v/>
      </c>
      <c r="P21" s="22">
        <f>IF(14&gt;='Control Tower'!$B$27,'Control Tower'!$B$7/'Control Tower'!$B$26/12,0)</f>
        <v/>
      </c>
      <c r="Q21" s="22">
        <f>IF(15&gt;='Control Tower'!$B$27,'Control Tower'!$B$7/'Control Tower'!$B$26/12,0)</f>
        <v/>
      </c>
      <c r="R21" s="22">
        <f>IF(16&gt;='Control Tower'!$B$27,'Control Tower'!$B$7/'Control Tower'!$B$26/12,0)</f>
        <v/>
      </c>
      <c r="S21" s="22">
        <f>IF(17&gt;='Control Tower'!$B$27,'Control Tower'!$B$7/'Control Tower'!$B$26/12,0)</f>
        <v/>
      </c>
      <c r="T21" s="22">
        <f>IF(18&gt;='Control Tower'!$B$27,'Control Tower'!$B$7/'Control Tower'!$B$26/12,0)</f>
        <v/>
      </c>
      <c r="U21" s="22">
        <f>IF(19&gt;='Control Tower'!$B$27,'Control Tower'!$B$7/'Control Tower'!$B$26/12,0)</f>
        <v/>
      </c>
      <c r="V21" s="22">
        <f>IF(20&gt;='Control Tower'!$B$27,'Control Tower'!$B$7/'Control Tower'!$B$26/12,0)</f>
        <v/>
      </c>
      <c r="W21" s="22">
        <f>IF(21&gt;='Control Tower'!$B$27,'Control Tower'!$B$7/'Control Tower'!$B$26/12,0)</f>
        <v/>
      </c>
      <c r="X21" s="22">
        <f>IF(22&gt;='Control Tower'!$B$27,'Control Tower'!$B$7/'Control Tower'!$B$26/12,0)</f>
        <v/>
      </c>
      <c r="Y21" s="22">
        <f>IF(23&gt;='Control Tower'!$B$27,'Control Tower'!$B$7/'Control Tower'!$B$26/12,0)</f>
        <v/>
      </c>
      <c r="Z21" s="22">
        <f>IF(24&gt;='Control Tower'!$B$27,'Control Tower'!$B$7/'Control Tower'!$B$26/12,0)</f>
        <v/>
      </c>
      <c r="AA21" s="22">
        <f>IF(25&gt;='Control Tower'!$B$27,'Control Tower'!$B$7/'Control Tower'!$B$26/12,0)</f>
        <v/>
      </c>
      <c r="AB21" s="22">
        <f>IF(26&gt;='Control Tower'!$B$27,'Control Tower'!$B$7/'Control Tower'!$B$26/12,0)</f>
        <v/>
      </c>
      <c r="AC21" s="22">
        <f>IF(27&gt;='Control Tower'!$B$27,'Control Tower'!$B$7/'Control Tower'!$B$26/12,0)</f>
        <v/>
      </c>
      <c r="AD21" s="22">
        <f>IF(28&gt;='Control Tower'!$B$27,'Control Tower'!$B$7/'Control Tower'!$B$26/12,0)</f>
        <v/>
      </c>
      <c r="AE21" s="22">
        <f>IF(29&gt;='Control Tower'!$B$27,'Control Tower'!$B$7/'Control Tower'!$B$26/12,0)</f>
        <v/>
      </c>
      <c r="AF21" s="22">
        <f>IF(30&gt;='Control Tower'!$B$27,'Control Tower'!$B$7/'Control Tower'!$B$26/12,0)</f>
        <v/>
      </c>
      <c r="AG21" s="22">
        <f>IF(31&gt;='Control Tower'!$B$27,'Control Tower'!$B$7/'Control Tower'!$B$26/12,0)</f>
        <v/>
      </c>
      <c r="AH21" s="22">
        <f>IF(32&gt;='Control Tower'!$B$27,'Control Tower'!$B$7/'Control Tower'!$B$26/12,0)</f>
        <v/>
      </c>
      <c r="AI21" s="22">
        <f>IF(33&gt;='Control Tower'!$B$27,'Control Tower'!$B$7/'Control Tower'!$B$26/12,0)</f>
        <v/>
      </c>
      <c r="AJ21" s="22">
        <f>IF(34&gt;='Control Tower'!$B$27,'Control Tower'!$B$7/'Control Tower'!$B$26/12,0)</f>
        <v/>
      </c>
      <c r="AK21" s="22">
        <f>IF(35&gt;='Control Tower'!$B$27,'Control Tower'!$B$7/'Control Tower'!$B$26/12,0)</f>
        <v/>
      </c>
      <c r="AL21" s="22">
        <f>IF(36&gt;='Control Tower'!$B$27,'Control Tower'!$B$7/'Control Tower'!$B$26/12,0)</f>
        <v/>
      </c>
    </row>
    <row r="22">
      <c r="A22" s="10" t="inlineStr">
        <is>
          <t>TOTAL OPERATING EXPENSES</t>
        </is>
      </c>
      <c r="C22" s="23">
        <f>C18+C19+C20+C21</f>
        <v/>
      </c>
      <c r="D22" s="23">
        <f>D18+D19+D20+D21</f>
        <v/>
      </c>
      <c r="E22" s="23">
        <f>E18+E19+E20+E21</f>
        <v/>
      </c>
      <c r="F22" s="23">
        <f>F18+F19+F20+F21</f>
        <v/>
      </c>
      <c r="G22" s="23">
        <f>G18+G19+G20+G21</f>
        <v/>
      </c>
      <c r="H22" s="23">
        <f>H18+H19+H20+H21</f>
        <v/>
      </c>
      <c r="I22" s="23">
        <f>I18+I19+I20+I21</f>
        <v/>
      </c>
      <c r="J22" s="23">
        <f>J18+J19+J20+J21</f>
        <v/>
      </c>
      <c r="K22" s="23">
        <f>K18+K19+K20+K21</f>
        <v/>
      </c>
      <c r="L22" s="23">
        <f>L18+L19+L20+L21</f>
        <v/>
      </c>
      <c r="M22" s="23">
        <f>M18+M19+M20+M21</f>
        <v/>
      </c>
      <c r="N22" s="23">
        <f>N18+N19+N20+N21</f>
        <v/>
      </c>
      <c r="O22" s="23">
        <f>O18+O19+O20+O21</f>
        <v/>
      </c>
      <c r="P22" s="23">
        <f>P18+P19+P20+P21</f>
        <v/>
      </c>
      <c r="Q22" s="23">
        <f>Q18+Q19+Q20+Q21</f>
        <v/>
      </c>
      <c r="R22" s="23">
        <f>R18+R19+R20+R21</f>
        <v/>
      </c>
      <c r="S22" s="23">
        <f>S18+S19+S20+S21</f>
        <v/>
      </c>
      <c r="T22" s="23">
        <f>T18+T19+T20+T21</f>
        <v/>
      </c>
      <c r="U22" s="23">
        <f>U18+U19+U20+U21</f>
        <v/>
      </c>
      <c r="V22" s="23">
        <f>V18+V19+V20+V21</f>
        <v/>
      </c>
      <c r="W22" s="23">
        <f>W18+W19+W20+W21</f>
        <v/>
      </c>
      <c r="X22" s="23">
        <f>X18+X19+X20+X21</f>
        <v/>
      </c>
      <c r="Y22" s="23">
        <f>Y18+Y19+Y20+Y21</f>
        <v/>
      </c>
      <c r="Z22" s="23">
        <f>Z18+Z19+Z20+Z21</f>
        <v/>
      </c>
      <c r="AA22" s="23">
        <f>AA18+AA19+AA20+AA21</f>
        <v/>
      </c>
      <c r="AB22" s="23">
        <f>AB18+AB19+AB20+AB21</f>
        <v/>
      </c>
      <c r="AC22" s="23">
        <f>AC18+AC19+AC20+AC21</f>
        <v/>
      </c>
      <c r="AD22" s="23">
        <f>AD18+AD19+AD20+AD21</f>
        <v/>
      </c>
      <c r="AE22" s="23">
        <f>AE18+AE19+AE20+AE21</f>
        <v/>
      </c>
      <c r="AF22" s="23">
        <f>AF18+AF19+AF20+AF21</f>
        <v/>
      </c>
      <c r="AG22" s="23">
        <f>AG18+AG19+AG20+AG21</f>
        <v/>
      </c>
      <c r="AH22" s="23">
        <f>AH18+AH19+AH20+AH21</f>
        <v/>
      </c>
      <c r="AI22" s="23">
        <f>AI18+AI19+AI20+AI21</f>
        <v/>
      </c>
      <c r="AJ22" s="23">
        <f>AJ18+AJ19+AJ20+AJ21</f>
        <v/>
      </c>
      <c r="AK22" s="23">
        <f>AK18+AK19+AK20+AK21</f>
        <v/>
      </c>
      <c r="AL22" s="23">
        <f>AL18+AL19+AL20+AL21</f>
        <v/>
      </c>
    </row>
    <row r="23">
      <c r="A23" s="10" t="inlineStr">
        <is>
          <t>EBIT (NOI)</t>
        </is>
      </c>
      <c r="C23" s="23">
        <f>C15-C22</f>
        <v/>
      </c>
      <c r="D23" s="23">
        <f>D15-D22</f>
        <v/>
      </c>
      <c r="E23" s="23">
        <f>E15-E22</f>
        <v/>
      </c>
      <c r="F23" s="23">
        <f>F15-F22</f>
        <v/>
      </c>
      <c r="G23" s="23">
        <f>G15-G22</f>
        <v/>
      </c>
      <c r="H23" s="23">
        <f>H15-H22</f>
        <v/>
      </c>
      <c r="I23" s="23">
        <f>I15-I22</f>
        <v/>
      </c>
      <c r="J23" s="23">
        <f>J15-J22</f>
        <v/>
      </c>
      <c r="K23" s="23">
        <f>K15-K22</f>
        <v/>
      </c>
      <c r="L23" s="23">
        <f>L15-L22</f>
        <v/>
      </c>
      <c r="M23" s="23">
        <f>M15-M22</f>
        <v/>
      </c>
      <c r="N23" s="23">
        <f>N15-N22</f>
        <v/>
      </c>
      <c r="O23" s="23">
        <f>O15-O22</f>
        <v/>
      </c>
      <c r="P23" s="23">
        <f>P15-P22</f>
        <v/>
      </c>
      <c r="Q23" s="23">
        <f>Q15-Q22</f>
        <v/>
      </c>
      <c r="R23" s="23">
        <f>R15-R22</f>
        <v/>
      </c>
      <c r="S23" s="23">
        <f>S15-S22</f>
        <v/>
      </c>
      <c r="T23" s="23">
        <f>T15-T22</f>
        <v/>
      </c>
      <c r="U23" s="23">
        <f>U15-U22</f>
        <v/>
      </c>
      <c r="V23" s="23">
        <f>V15-V22</f>
        <v/>
      </c>
      <c r="W23" s="23">
        <f>W15-W22</f>
        <v/>
      </c>
      <c r="X23" s="23">
        <f>X15-X22</f>
        <v/>
      </c>
      <c r="Y23" s="23">
        <f>Y15-Y22</f>
        <v/>
      </c>
      <c r="Z23" s="23">
        <f>Z15-Z22</f>
        <v/>
      </c>
      <c r="AA23" s="23">
        <f>AA15-AA22</f>
        <v/>
      </c>
      <c r="AB23" s="23">
        <f>AB15-AB22</f>
        <v/>
      </c>
      <c r="AC23" s="23">
        <f>AC15-AC22</f>
        <v/>
      </c>
      <c r="AD23" s="23">
        <f>AD15-AD22</f>
        <v/>
      </c>
      <c r="AE23" s="23">
        <f>AE15-AE22</f>
        <v/>
      </c>
      <c r="AF23" s="23">
        <f>AF15-AF22</f>
        <v/>
      </c>
      <c r="AG23" s="23">
        <f>AG15-AG22</f>
        <v/>
      </c>
      <c r="AH23" s="23">
        <f>AH15-AH22</f>
        <v/>
      </c>
      <c r="AI23" s="23">
        <f>AI15-AI22</f>
        <v/>
      </c>
      <c r="AJ23" s="23">
        <f>AJ15-AJ22</f>
        <v/>
      </c>
      <c r="AK23" s="23">
        <f>AK15-AK22</f>
        <v/>
      </c>
      <c r="AL23" s="23">
        <f>AL15-AL22</f>
        <v/>
      </c>
    </row>
    <row r="24">
      <c r="A24" s="10" t="inlineStr">
        <is>
          <t>EBITDA</t>
        </is>
      </c>
      <c r="C24" s="24">
        <f>C23+C21</f>
        <v/>
      </c>
      <c r="D24" s="24">
        <f>D23+D21</f>
        <v/>
      </c>
      <c r="E24" s="24">
        <f>E23+E21</f>
        <v/>
      </c>
      <c r="F24" s="24">
        <f>F23+F21</f>
        <v/>
      </c>
      <c r="G24" s="24">
        <f>G23+G21</f>
        <v/>
      </c>
      <c r="H24" s="24">
        <f>H23+H21</f>
        <v/>
      </c>
      <c r="I24" s="24">
        <f>I23+I21</f>
        <v/>
      </c>
      <c r="J24" s="24">
        <f>J23+J21</f>
        <v/>
      </c>
      <c r="K24" s="24">
        <f>K23+K21</f>
        <v/>
      </c>
      <c r="L24" s="24">
        <f>L23+L21</f>
        <v/>
      </c>
      <c r="M24" s="24">
        <f>M23+M21</f>
        <v/>
      </c>
      <c r="N24" s="24">
        <f>N23+N21</f>
        <v/>
      </c>
      <c r="O24" s="24">
        <f>O23+O21</f>
        <v/>
      </c>
      <c r="P24" s="24">
        <f>P23+P21</f>
        <v/>
      </c>
      <c r="Q24" s="24">
        <f>Q23+Q21</f>
        <v/>
      </c>
      <c r="R24" s="24">
        <f>R23+R21</f>
        <v/>
      </c>
      <c r="S24" s="24">
        <f>S23+S21</f>
        <v/>
      </c>
      <c r="T24" s="24">
        <f>T23+T21</f>
        <v/>
      </c>
      <c r="U24" s="24">
        <f>U23+U21</f>
        <v/>
      </c>
      <c r="V24" s="24">
        <f>V23+V21</f>
        <v/>
      </c>
      <c r="W24" s="24">
        <f>W23+W21</f>
        <v/>
      </c>
      <c r="X24" s="24">
        <f>X23+X21</f>
        <v/>
      </c>
      <c r="Y24" s="24">
        <f>Y23+Y21</f>
        <v/>
      </c>
      <c r="Z24" s="24">
        <f>Z23+Z21</f>
        <v/>
      </c>
      <c r="AA24" s="24">
        <f>AA23+AA21</f>
        <v/>
      </c>
      <c r="AB24" s="24">
        <f>AB23+AB21</f>
        <v/>
      </c>
      <c r="AC24" s="24">
        <f>AC23+AC21</f>
        <v/>
      </c>
      <c r="AD24" s="24">
        <f>AD23+AD21</f>
        <v/>
      </c>
      <c r="AE24" s="24">
        <f>AE23+AE21</f>
        <v/>
      </c>
      <c r="AF24" s="24">
        <f>AF23+AF21</f>
        <v/>
      </c>
      <c r="AG24" s="24">
        <f>AG23+AG21</f>
        <v/>
      </c>
      <c r="AH24" s="24">
        <f>AH23+AH21</f>
        <v/>
      </c>
      <c r="AI24" s="24">
        <f>AI23+AI21</f>
        <v/>
      </c>
      <c r="AJ24" s="24">
        <f>AJ23+AJ21</f>
        <v/>
      </c>
      <c r="AK24" s="24">
        <f>AK23+AK21</f>
        <v/>
      </c>
      <c r="AL24" s="24">
        <f>AL23+AL21</f>
        <v/>
      </c>
    </row>
    <row r="25">
      <c r="A25" s="4" t="inlineStr">
        <is>
          <t>EBITDA margin %</t>
        </is>
      </c>
      <c r="C25" s="11">
        <f>IF(C10=0,0,C24/C10)</f>
        <v/>
      </c>
      <c r="D25" s="11">
        <f>IF(D10=0,0,D24/D10)</f>
        <v/>
      </c>
      <c r="E25" s="11">
        <f>IF(E10=0,0,E24/E10)</f>
        <v/>
      </c>
      <c r="F25" s="11">
        <f>IF(F10=0,0,F24/F10)</f>
        <v/>
      </c>
      <c r="G25" s="11">
        <f>IF(G10=0,0,G24/G10)</f>
        <v/>
      </c>
      <c r="H25" s="11">
        <f>IF(H10=0,0,H24/H10)</f>
        <v/>
      </c>
      <c r="I25" s="11">
        <f>IF(I10=0,0,I24/I10)</f>
        <v/>
      </c>
      <c r="J25" s="11">
        <f>IF(J10=0,0,J24/J10)</f>
        <v/>
      </c>
      <c r="K25" s="11">
        <f>IF(K10=0,0,K24/K10)</f>
        <v/>
      </c>
      <c r="L25" s="11">
        <f>IF(L10=0,0,L24/L10)</f>
        <v/>
      </c>
      <c r="M25" s="11">
        <f>IF(M10=0,0,M24/M10)</f>
        <v/>
      </c>
      <c r="N25" s="11">
        <f>IF(N10=0,0,N24/N10)</f>
        <v/>
      </c>
      <c r="O25" s="11">
        <f>IF(O10=0,0,O24/O10)</f>
        <v/>
      </c>
      <c r="P25" s="11">
        <f>IF(P10=0,0,P24/P10)</f>
        <v/>
      </c>
      <c r="Q25" s="11">
        <f>IF(Q10=0,0,Q24/Q10)</f>
        <v/>
      </c>
      <c r="R25" s="11">
        <f>IF(R10=0,0,R24/R10)</f>
        <v/>
      </c>
      <c r="S25" s="11">
        <f>IF(S10=0,0,S24/S10)</f>
        <v/>
      </c>
      <c r="T25" s="11">
        <f>IF(T10=0,0,T24/T10)</f>
        <v/>
      </c>
      <c r="U25" s="11">
        <f>IF(U10=0,0,U24/U10)</f>
        <v/>
      </c>
      <c r="V25" s="11">
        <f>IF(V10=0,0,V24/V10)</f>
        <v/>
      </c>
      <c r="W25" s="11">
        <f>IF(W10=0,0,W24/W10)</f>
        <v/>
      </c>
      <c r="X25" s="11">
        <f>IF(X10=0,0,X24/X10)</f>
        <v/>
      </c>
      <c r="Y25" s="11">
        <f>IF(Y10=0,0,Y24/Y10)</f>
        <v/>
      </c>
      <c r="Z25" s="11">
        <f>IF(Z10=0,0,Z24/Z10)</f>
        <v/>
      </c>
      <c r="AA25" s="11">
        <f>IF(AA10=0,0,AA24/AA10)</f>
        <v/>
      </c>
      <c r="AB25" s="11">
        <f>IF(AB10=0,0,AB24/AB10)</f>
        <v/>
      </c>
      <c r="AC25" s="11">
        <f>IF(AC10=0,0,AC24/AC10)</f>
        <v/>
      </c>
      <c r="AD25" s="11">
        <f>IF(AD10=0,0,AD24/AD10)</f>
        <v/>
      </c>
      <c r="AE25" s="11">
        <f>IF(AE10=0,0,AE24/AE10)</f>
        <v/>
      </c>
      <c r="AF25" s="11">
        <f>IF(AF10=0,0,AF24/AF10)</f>
        <v/>
      </c>
      <c r="AG25" s="11">
        <f>IF(AG10=0,0,AG24/AG10)</f>
        <v/>
      </c>
      <c r="AH25" s="11">
        <f>IF(AH10=0,0,AH24/AH10)</f>
        <v/>
      </c>
      <c r="AI25" s="11">
        <f>IF(AI10=0,0,AI24/AI10)</f>
        <v/>
      </c>
      <c r="AJ25" s="11">
        <f>IF(AJ10=0,0,AJ24/AJ10)</f>
        <v/>
      </c>
      <c r="AK25" s="11">
        <f>IF(AK10=0,0,AK24/AK10)</f>
        <v/>
      </c>
      <c r="AL25" s="11">
        <f>IF(AL10=0,0,AL24/AL10)</f>
        <v/>
      </c>
    </row>
    <row r="26">
      <c r="A26" s="4" t="inlineStr">
        <is>
          <t>Contingency provision (below EBITDA, 6640-Z)</t>
        </is>
      </c>
      <c r="C26" s="27">
        <f>'Operating Budget'!C32</f>
        <v/>
      </c>
      <c r="D26" s="27">
        <f>'Operating Budget'!D32</f>
        <v/>
      </c>
      <c r="E26" s="27">
        <f>'Operating Budget'!E32</f>
        <v/>
      </c>
      <c r="F26" s="27">
        <f>'Operating Budget'!F32</f>
        <v/>
      </c>
      <c r="G26" s="27">
        <f>'Operating Budget'!G32</f>
        <v/>
      </c>
      <c r="H26" s="27">
        <f>'Operating Budget'!H32</f>
        <v/>
      </c>
      <c r="I26" s="27">
        <f>'Operating Budget'!I32</f>
        <v/>
      </c>
      <c r="J26" s="27">
        <f>'Operating Budget'!J32</f>
        <v/>
      </c>
      <c r="K26" s="27">
        <f>'Operating Budget'!K32</f>
        <v/>
      </c>
      <c r="L26" s="27">
        <f>'Operating Budget'!L32</f>
        <v/>
      </c>
      <c r="M26" s="27">
        <f>'Operating Budget'!M32</f>
        <v/>
      </c>
      <c r="N26" s="27">
        <f>'Operating Budget'!N32</f>
        <v/>
      </c>
      <c r="O26" s="27">
        <f>'Operating Budget'!O32</f>
        <v/>
      </c>
      <c r="P26" s="27">
        <f>'Operating Budget'!P32</f>
        <v/>
      </c>
      <c r="Q26" s="27">
        <f>'Operating Budget'!Q32</f>
        <v/>
      </c>
      <c r="R26" s="27">
        <f>'Operating Budget'!R32</f>
        <v/>
      </c>
      <c r="S26" s="27">
        <f>'Operating Budget'!S32</f>
        <v/>
      </c>
      <c r="T26" s="27">
        <f>'Operating Budget'!T32</f>
        <v/>
      </c>
      <c r="U26" s="27">
        <f>'Operating Budget'!U32</f>
        <v/>
      </c>
      <c r="V26" s="27">
        <f>'Operating Budget'!V32</f>
        <v/>
      </c>
      <c r="W26" s="27">
        <f>'Operating Budget'!W32</f>
        <v/>
      </c>
      <c r="X26" s="27">
        <f>'Operating Budget'!X32</f>
        <v/>
      </c>
      <c r="Y26" s="27">
        <f>'Operating Budget'!Y32</f>
        <v/>
      </c>
      <c r="Z26" s="27">
        <f>'Operating Budget'!Z32</f>
        <v/>
      </c>
      <c r="AA26" s="27">
        <f>'Operating Budget'!AA32</f>
        <v/>
      </c>
      <c r="AB26" s="27">
        <f>'Operating Budget'!AB32</f>
        <v/>
      </c>
      <c r="AC26" s="27">
        <f>'Operating Budget'!AC32</f>
        <v/>
      </c>
      <c r="AD26" s="27">
        <f>'Operating Budget'!AD32</f>
        <v/>
      </c>
      <c r="AE26" s="27">
        <f>'Operating Budget'!AE32</f>
        <v/>
      </c>
      <c r="AF26" s="27">
        <f>'Operating Budget'!AF32</f>
        <v/>
      </c>
      <c r="AG26" s="27">
        <f>'Operating Budget'!AG32</f>
        <v/>
      </c>
      <c r="AH26" s="27">
        <f>'Operating Budget'!AH32</f>
        <v/>
      </c>
      <c r="AI26" s="27">
        <f>'Operating Budget'!AI32</f>
        <v/>
      </c>
      <c r="AJ26" s="27">
        <f>'Operating Budget'!AJ32</f>
        <v/>
      </c>
      <c r="AK26" s="27">
        <f>'Operating Budget'!AK32</f>
        <v/>
      </c>
      <c r="AL26" s="27">
        <f>'Operating Budget'!AL32</f>
        <v/>
      </c>
    </row>
  </sheetData>
  <mergeCells count="5">
    <mergeCell ref="A17:N17"/>
    <mergeCell ref="A2:N2"/>
    <mergeCell ref="A7:N7"/>
    <mergeCell ref="A11:N11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4.10&amp;C&amp;8 Confidential&amp;R&amp;8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A1:AL47"/>
  <sheetViews>
    <sheetView showGridLines="0" zoomScale="80" workbookViewId="0">
      <pane xSplit="2" ySplit="4" topLeftCell="C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CASH FLOW - collections timing and payment hold; payroll in month; patient-care costs net-30; complete debt schedules. Direct method.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3" t="inlineStr">
        <is>
          <t>COLLECTIONS ENGINE</t>
        </is>
      </c>
    </row>
    <row r="7">
      <c r="A7" s="4" t="inlineStr">
        <is>
          <t>Collection month for service month (lag + hold on first claims)</t>
        </is>
      </c>
      <c r="C7" s="12">
        <f>1+1+MAX(0,'Control Tower'!$B$40-0)</f>
        <v/>
      </c>
      <c r="D7" s="12">
        <f>2+1+MAX(0,'Control Tower'!$B$40-1)</f>
        <v/>
      </c>
      <c r="E7" s="12">
        <f>3+1+MAX(0,'Control Tower'!$B$40-2)</f>
        <v/>
      </c>
      <c r="F7" s="12">
        <f>4+1+MAX(0,'Control Tower'!$B$40-3)</f>
        <v/>
      </c>
      <c r="G7" s="12">
        <f>5+1+MAX(0,'Control Tower'!$B$40-4)</f>
        <v/>
      </c>
      <c r="H7" s="12">
        <f>6+1+MAX(0,'Control Tower'!$B$40-5)</f>
        <v/>
      </c>
      <c r="I7" s="12">
        <f>7+1+MAX(0,'Control Tower'!$B$40-6)</f>
        <v/>
      </c>
      <c r="J7" s="12">
        <f>8+1+MAX(0,'Control Tower'!$B$40-7)</f>
        <v/>
      </c>
      <c r="K7" s="12">
        <f>9+1+MAX(0,'Control Tower'!$B$40-8)</f>
        <v/>
      </c>
      <c r="L7" s="12">
        <f>10+1+MAX(0,'Control Tower'!$B$40-9)</f>
        <v/>
      </c>
      <c r="M7" s="12">
        <f>11+1+MAX(0,'Control Tower'!$B$40-10)</f>
        <v/>
      </c>
      <c r="N7" s="12">
        <f>12+1+MAX(0,'Control Tower'!$B$40-11)</f>
        <v/>
      </c>
      <c r="O7" s="12">
        <f>13+1+MAX(0,'Control Tower'!$B$40-12)</f>
        <v/>
      </c>
      <c r="P7" s="12">
        <f>14+1+MAX(0,'Control Tower'!$B$40-13)</f>
        <v/>
      </c>
      <c r="Q7" s="12">
        <f>15+1+MAX(0,'Control Tower'!$B$40-14)</f>
        <v/>
      </c>
      <c r="R7" s="12">
        <f>16+1+MAX(0,'Control Tower'!$B$40-15)</f>
        <v/>
      </c>
      <c r="S7" s="12">
        <f>17+1+MAX(0,'Control Tower'!$B$40-16)</f>
        <v/>
      </c>
      <c r="T7" s="12">
        <f>18+1+MAX(0,'Control Tower'!$B$40-17)</f>
        <v/>
      </c>
      <c r="U7" s="12">
        <f>19+1+MAX(0,'Control Tower'!$B$40-18)</f>
        <v/>
      </c>
      <c r="V7" s="12">
        <f>20+1+MAX(0,'Control Tower'!$B$40-19)</f>
        <v/>
      </c>
      <c r="W7" s="12">
        <f>21+1+MAX(0,'Control Tower'!$B$40-20)</f>
        <v/>
      </c>
      <c r="X7" s="12">
        <f>22+1+MAX(0,'Control Tower'!$B$40-21)</f>
        <v/>
      </c>
      <c r="Y7" s="12">
        <f>23+1+MAX(0,'Control Tower'!$B$40-22)</f>
        <v/>
      </c>
      <c r="Z7" s="12">
        <f>24+1+MAX(0,'Control Tower'!$B$40-23)</f>
        <v/>
      </c>
      <c r="AA7" s="12">
        <f>25+1+MAX(0,'Control Tower'!$B$40-24)</f>
        <v/>
      </c>
      <c r="AB7" s="12">
        <f>26+1+MAX(0,'Control Tower'!$B$40-25)</f>
        <v/>
      </c>
      <c r="AC7" s="12">
        <f>27+1+MAX(0,'Control Tower'!$B$40-26)</f>
        <v/>
      </c>
      <c r="AD7" s="12">
        <f>28+1+MAX(0,'Control Tower'!$B$40-27)</f>
        <v/>
      </c>
      <c r="AE7" s="12">
        <f>29+1+MAX(0,'Control Tower'!$B$40-28)</f>
        <v/>
      </c>
      <c r="AF7" s="12">
        <f>30+1+MAX(0,'Control Tower'!$B$40-29)</f>
        <v/>
      </c>
      <c r="AG7" s="12">
        <f>31+1+MAX(0,'Control Tower'!$B$40-30)</f>
        <v/>
      </c>
      <c r="AH7" s="12">
        <f>32+1+MAX(0,'Control Tower'!$B$40-31)</f>
        <v/>
      </c>
      <c r="AI7" s="12">
        <f>33+1+MAX(0,'Control Tower'!$B$40-32)</f>
        <v/>
      </c>
      <c r="AJ7" s="12">
        <f>34+1+MAX(0,'Control Tower'!$B$40-33)</f>
        <v/>
      </c>
      <c r="AK7" s="12">
        <f>35+1+MAX(0,'Control Tower'!$B$40-34)</f>
        <v/>
      </c>
      <c r="AL7" s="12">
        <f>36+1+MAX(0,'Control Tower'!$B$40-35)</f>
        <v/>
      </c>
    </row>
    <row r="8">
      <c r="A8" s="4" t="inlineStr">
        <is>
          <t>NPR earned (link)</t>
        </is>
      </c>
      <c r="C8" s="27">
        <f>'Revenue Model'!C11</f>
        <v/>
      </c>
      <c r="D8" s="27">
        <f>'Revenue Model'!D11</f>
        <v/>
      </c>
      <c r="E8" s="27">
        <f>'Revenue Model'!E11</f>
        <v/>
      </c>
      <c r="F8" s="27">
        <f>'Revenue Model'!F11</f>
        <v/>
      </c>
      <c r="G8" s="27">
        <f>'Revenue Model'!G11</f>
        <v/>
      </c>
      <c r="H8" s="27">
        <f>'Revenue Model'!H11</f>
        <v/>
      </c>
      <c r="I8" s="27">
        <f>'Revenue Model'!I11</f>
        <v/>
      </c>
      <c r="J8" s="27">
        <f>'Revenue Model'!J11</f>
        <v/>
      </c>
      <c r="K8" s="27">
        <f>'Revenue Model'!K11</f>
        <v/>
      </c>
      <c r="L8" s="27">
        <f>'Revenue Model'!L11</f>
        <v/>
      </c>
      <c r="M8" s="27">
        <f>'Revenue Model'!M11</f>
        <v/>
      </c>
      <c r="N8" s="27">
        <f>'Revenue Model'!N11</f>
        <v/>
      </c>
      <c r="O8" s="27">
        <f>'Revenue Model'!O11</f>
        <v/>
      </c>
      <c r="P8" s="27">
        <f>'Revenue Model'!P11</f>
        <v/>
      </c>
      <c r="Q8" s="27">
        <f>'Revenue Model'!Q11</f>
        <v/>
      </c>
      <c r="R8" s="27">
        <f>'Revenue Model'!R11</f>
        <v/>
      </c>
      <c r="S8" s="27">
        <f>'Revenue Model'!S11</f>
        <v/>
      </c>
      <c r="T8" s="27">
        <f>'Revenue Model'!T11</f>
        <v/>
      </c>
      <c r="U8" s="27">
        <f>'Revenue Model'!U11</f>
        <v/>
      </c>
      <c r="V8" s="27">
        <f>'Revenue Model'!V11</f>
        <v/>
      </c>
      <c r="W8" s="27">
        <f>'Revenue Model'!W11</f>
        <v/>
      </c>
      <c r="X8" s="27">
        <f>'Revenue Model'!X11</f>
        <v/>
      </c>
      <c r="Y8" s="27">
        <f>'Revenue Model'!Y11</f>
        <v/>
      </c>
      <c r="Z8" s="27">
        <f>'Revenue Model'!Z11</f>
        <v/>
      </c>
      <c r="AA8" s="27">
        <f>'Revenue Model'!AA11</f>
        <v/>
      </c>
      <c r="AB8" s="27">
        <f>'Revenue Model'!AB11</f>
        <v/>
      </c>
      <c r="AC8" s="27">
        <f>'Revenue Model'!AC11</f>
        <v/>
      </c>
      <c r="AD8" s="27">
        <f>'Revenue Model'!AD11</f>
        <v/>
      </c>
      <c r="AE8" s="27">
        <f>'Revenue Model'!AE11</f>
        <v/>
      </c>
      <c r="AF8" s="27">
        <f>'Revenue Model'!AF11</f>
        <v/>
      </c>
      <c r="AG8" s="27">
        <f>'Revenue Model'!AG11</f>
        <v/>
      </c>
      <c r="AH8" s="27">
        <f>'Revenue Model'!AH11</f>
        <v/>
      </c>
      <c r="AI8" s="27">
        <f>'Revenue Model'!AI11</f>
        <v/>
      </c>
      <c r="AJ8" s="27">
        <f>'Revenue Model'!AJ11</f>
        <v/>
      </c>
      <c r="AK8" s="27">
        <f>'Revenue Model'!AK11</f>
        <v/>
      </c>
      <c r="AL8" s="27">
        <f>'Revenue Model'!AL11</f>
        <v/>
      </c>
    </row>
    <row r="9">
      <c r="A9" s="10" t="inlineStr">
        <is>
          <t>CASH COLLECTIONS</t>
        </is>
      </c>
      <c r="C9" s="24">
        <f>'Control Tower'!$B$51*SUMPRODUCT(($C$7:$AL$7-1=1)*$C$8:$AL$8)+'Control Tower'!$B$52*SUMPRODUCT(($C$7:$AL$7=1)*$C$8:$AL$8)+'Control Tower'!$B$53*SUMPRODUCT(($C$7:$AL$7=0)*$C$8:$AL$8)</f>
        <v/>
      </c>
      <c r="D9" s="24">
        <f>'Control Tower'!$B$51*SUMPRODUCT(($C$7:$AL$7-1=2)*$C$8:$AL$8)+'Control Tower'!$B$52*SUMPRODUCT(($C$7:$AL$7=2)*$C$8:$AL$8)+'Control Tower'!$B$53*SUMPRODUCT(($C$7:$AL$7=1)*$C$8:$AL$8)</f>
        <v/>
      </c>
      <c r="E9" s="24">
        <f>'Control Tower'!$B$51*SUMPRODUCT(($C$7:$AL$7-1=3)*$C$8:$AL$8)+'Control Tower'!$B$52*SUMPRODUCT(($C$7:$AL$7=3)*$C$8:$AL$8)+'Control Tower'!$B$53*SUMPRODUCT(($C$7:$AL$7=2)*$C$8:$AL$8)</f>
        <v/>
      </c>
      <c r="F9" s="24">
        <f>'Control Tower'!$B$51*SUMPRODUCT(($C$7:$AL$7-1=4)*$C$8:$AL$8)+'Control Tower'!$B$52*SUMPRODUCT(($C$7:$AL$7=4)*$C$8:$AL$8)+'Control Tower'!$B$53*SUMPRODUCT(($C$7:$AL$7=3)*$C$8:$AL$8)</f>
        <v/>
      </c>
      <c r="G9" s="24">
        <f>'Control Tower'!$B$51*SUMPRODUCT(($C$7:$AL$7-1=5)*$C$8:$AL$8)+'Control Tower'!$B$52*SUMPRODUCT(($C$7:$AL$7=5)*$C$8:$AL$8)+'Control Tower'!$B$53*SUMPRODUCT(($C$7:$AL$7=4)*$C$8:$AL$8)</f>
        <v/>
      </c>
      <c r="H9" s="24">
        <f>'Control Tower'!$B$51*SUMPRODUCT(($C$7:$AL$7-1=6)*$C$8:$AL$8)+'Control Tower'!$B$52*SUMPRODUCT(($C$7:$AL$7=6)*$C$8:$AL$8)+'Control Tower'!$B$53*SUMPRODUCT(($C$7:$AL$7=5)*$C$8:$AL$8)</f>
        <v/>
      </c>
      <c r="I9" s="24">
        <f>'Control Tower'!$B$51*SUMPRODUCT(($C$7:$AL$7-1=7)*$C$8:$AL$8)+'Control Tower'!$B$52*SUMPRODUCT(($C$7:$AL$7=7)*$C$8:$AL$8)+'Control Tower'!$B$53*SUMPRODUCT(($C$7:$AL$7=6)*$C$8:$AL$8)</f>
        <v/>
      </c>
      <c r="J9" s="24">
        <f>'Control Tower'!$B$51*SUMPRODUCT(($C$7:$AL$7-1=8)*$C$8:$AL$8)+'Control Tower'!$B$52*SUMPRODUCT(($C$7:$AL$7=8)*$C$8:$AL$8)+'Control Tower'!$B$53*SUMPRODUCT(($C$7:$AL$7=7)*$C$8:$AL$8)</f>
        <v/>
      </c>
      <c r="K9" s="24">
        <f>'Control Tower'!$B$51*SUMPRODUCT(($C$7:$AL$7-1=9)*$C$8:$AL$8)+'Control Tower'!$B$52*SUMPRODUCT(($C$7:$AL$7=9)*$C$8:$AL$8)+'Control Tower'!$B$53*SUMPRODUCT(($C$7:$AL$7=8)*$C$8:$AL$8)</f>
        <v/>
      </c>
      <c r="L9" s="24">
        <f>'Control Tower'!$B$51*SUMPRODUCT(($C$7:$AL$7-1=10)*$C$8:$AL$8)+'Control Tower'!$B$52*SUMPRODUCT(($C$7:$AL$7=10)*$C$8:$AL$8)+'Control Tower'!$B$53*SUMPRODUCT(($C$7:$AL$7=9)*$C$8:$AL$8)</f>
        <v/>
      </c>
      <c r="M9" s="24">
        <f>'Control Tower'!$B$51*SUMPRODUCT(($C$7:$AL$7-1=11)*$C$8:$AL$8)+'Control Tower'!$B$52*SUMPRODUCT(($C$7:$AL$7=11)*$C$8:$AL$8)+'Control Tower'!$B$53*SUMPRODUCT(($C$7:$AL$7=10)*$C$8:$AL$8)</f>
        <v/>
      </c>
      <c r="N9" s="24">
        <f>'Control Tower'!$B$51*SUMPRODUCT(($C$7:$AL$7-1=12)*$C$8:$AL$8)+'Control Tower'!$B$52*SUMPRODUCT(($C$7:$AL$7=12)*$C$8:$AL$8)+'Control Tower'!$B$53*SUMPRODUCT(($C$7:$AL$7=11)*$C$8:$AL$8)</f>
        <v/>
      </c>
      <c r="O9" s="24">
        <f>'Control Tower'!$B$51*SUMPRODUCT(($C$7:$AL$7-1=13)*$C$8:$AL$8)+'Control Tower'!$B$52*SUMPRODUCT(($C$7:$AL$7=13)*$C$8:$AL$8)+'Control Tower'!$B$53*SUMPRODUCT(($C$7:$AL$7=12)*$C$8:$AL$8)</f>
        <v/>
      </c>
      <c r="P9" s="24">
        <f>'Control Tower'!$B$51*SUMPRODUCT(($C$7:$AL$7-1=14)*$C$8:$AL$8)+'Control Tower'!$B$52*SUMPRODUCT(($C$7:$AL$7=14)*$C$8:$AL$8)+'Control Tower'!$B$53*SUMPRODUCT(($C$7:$AL$7=13)*$C$8:$AL$8)</f>
        <v/>
      </c>
      <c r="Q9" s="24">
        <f>'Control Tower'!$B$51*SUMPRODUCT(($C$7:$AL$7-1=15)*$C$8:$AL$8)+'Control Tower'!$B$52*SUMPRODUCT(($C$7:$AL$7=15)*$C$8:$AL$8)+'Control Tower'!$B$53*SUMPRODUCT(($C$7:$AL$7=14)*$C$8:$AL$8)</f>
        <v/>
      </c>
      <c r="R9" s="24">
        <f>'Control Tower'!$B$51*SUMPRODUCT(($C$7:$AL$7-1=16)*$C$8:$AL$8)+'Control Tower'!$B$52*SUMPRODUCT(($C$7:$AL$7=16)*$C$8:$AL$8)+'Control Tower'!$B$53*SUMPRODUCT(($C$7:$AL$7=15)*$C$8:$AL$8)</f>
        <v/>
      </c>
      <c r="S9" s="24">
        <f>'Control Tower'!$B$51*SUMPRODUCT(($C$7:$AL$7-1=17)*$C$8:$AL$8)+'Control Tower'!$B$52*SUMPRODUCT(($C$7:$AL$7=17)*$C$8:$AL$8)+'Control Tower'!$B$53*SUMPRODUCT(($C$7:$AL$7=16)*$C$8:$AL$8)</f>
        <v/>
      </c>
      <c r="T9" s="24">
        <f>'Control Tower'!$B$51*SUMPRODUCT(($C$7:$AL$7-1=18)*$C$8:$AL$8)+'Control Tower'!$B$52*SUMPRODUCT(($C$7:$AL$7=18)*$C$8:$AL$8)+'Control Tower'!$B$53*SUMPRODUCT(($C$7:$AL$7=17)*$C$8:$AL$8)</f>
        <v/>
      </c>
      <c r="U9" s="24">
        <f>'Control Tower'!$B$51*SUMPRODUCT(($C$7:$AL$7-1=19)*$C$8:$AL$8)+'Control Tower'!$B$52*SUMPRODUCT(($C$7:$AL$7=19)*$C$8:$AL$8)+'Control Tower'!$B$53*SUMPRODUCT(($C$7:$AL$7=18)*$C$8:$AL$8)</f>
        <v/>
      </c>
      <c r="V9" s="24">
        <f>'Control Tower'!$B$51*SUMPRODUCT(($C$7:$AL$7-1=20)*$C$8:$AL$8)+'Control Tower'!$B$52*SUMPRODUCT(($C$7:$AL$7=20)*$C$8:$AL$8)+'Control Tower'!$B$53*SUMPRODUCT(($C$7:$AL$7=19)*$C$8:$AL$8)</f>
        <v/>
      </c>
      <c r="W9" s="24">
        <f>'Control Tower'!$B$51*SUMPRODUCT(($C$7:$AL$7-1=21)*$C$8:$AL$8)+'Control Tower'!$B$52*SUMPRODUCT(($C$7:$AL$7=21)*$C$8:$AL$8)+'Control Tower'!$B$53*SUMPRODUCT(($C$7:$AL$7=20)*$C$8:$AL$8)</f>
        <v/>
      </c>
      <c r="X9" s="24">
        <f>'Control Tower'!$B$51*SUMPRODUCT(($C$7:$AL$7-1=22)*$C$8:$AL$8)+'Control Tower'!$B$52*SUMPRODUCT(($C$7:$AL$7=22)*$C$8:$AL$8)+'Control Tower'!$B$53*SUMPRODUCT(($C$7:$AL$7=21)*$C$8:$AL$8)</f>
        <v/>
      </c>
      <c r="Y9" s="24">
        <f>'Control Tower'!$B$51*SUMPRODUCT(($C$7:$AL$7-1=23)*$C$8:$AL$8)+'Control Tower'!$B$52*SUMPRODUCT(($C$7:$AL$7=23)*$C$8:$AL$8)+'Control Tower'!$B$53*SUMPRODUCT(($C$7:$AL$7=22)*$C$8:$AL$8)</f>
        <v/>
      </c>
      <c r="Z9" s="24">
        <f>'Control Tower'!$B$51*SUMPRODUCT(($C$7:$AL$7-1=24)*$C$8:$AL$8)+'Control Tower'!$B$52*SUMPRODUCT(($C$7:$AL$7=24)*$C$8:$AL$8)+'Control Tower'!$B$53*SUMPRODUCT(($C$7:$AL$7=23)*$C$8:$AL$8)</f>
        <v/>
      </c>
      <c r="AA9" s="24">
        <f>'Control Tower'!$B$51*SUMPRODUCT(($C$7:$AL$7-1=25)*$C$8:$AL$8)+'Control Tower'!$B$52*SUMPRODUCT(($C$7:$AL$7=25)*$C$8:$AL$8)+'Control Tower'!$B$53*SUMPRODUCT(($C$7:$AL$7=24)*$C$8:$AL$8)</f>
        <v/>
      </c>
      <c r="AB9" s="24">
        <f>'Control Tower'!$B$51*SUMPRODUCT(($C$7:$AL$7-1=26)*$C$8:$AL$8)+'Control Tower'!$B$52*SUMPRODUCT(($C$7:$AL$7=26)*$C$8:$AL$8)+'Control Tower'!$B$53*SUMPRODUCT(($C$7:$AL$7=25)*$C$8:$AL$8)</f>
        <v/>
      </c>
      <c r="AC9" s="24">
        <f>'Control Tower'!$B$51*SUMPRODUCT(($C$7:$AL$7-1=27)*$C$8:$AL$8)+'Control Tower'!$B$52*SUMPRODUCT(($C$7:$AL$7=27)*$C$8:$AL$8)+'Control Tower'!$B$53*SUMPRODUCT(($C$7:$AL$7=26)*$C$8:$AL$8)</f>
        <v/>
      </c>
      <c r="AD9" s="24">
        <f>'Control Tower'!$B$51*SUMPRODUCT(($C$7:$AL$7-1=28)*$C$8:$AL$8)+'Control Tower'!$B$52*SUMPRODUCT(($C$7:$AL$7=28)*$C$8:$AL$8)+'Control Tower'!$B$53*SUMPRODUCT(($C$7:$AL$7=27)*$C$8:$AL$8)</f>
        <v/>
      </c>
      <c r="AE9" s="24">
        <f>'Control Tower'!$B$51*SUMPRODUCT(($C$7:$AL$7-1=29)*$C$8:$AL$8)+'Control Tower'!$B$52*SUMPRODUCT(($C$7:$AL$7=29)*$C$8:$AL$8)+'Control Tower'!$B$53*SUMPRODUCT(($C$7:$AL$7=28)*$C$8:$AL$8)</f>
        <v/>
      </c>
      <c r="AF9" s="24">
        <f>'Control Tower'!$B$51*SUMPRODUCT(($C$7:$AL$7-1=30)*$C$8:$AL$8)+'Control Tower'!$B$52*SUMPRODUCT(($C$7:$AL$7=30)*$C$8:$AL$8)+'Control Tower'!$B$53*SUMPRODUCT(($C$7:$AL$7=29)*$C$8:$AL$8)</f>
        <v/>
      </c>
      <c r="AG9" s="24">
        <f>'Control Tower'!$B$51*SUMPRODUCT(($C$7:$AL$7-1=31)*$C$8:$AL$8)+'Control Tower'!$B$52*SUMPRODUCT(($C$7:$AL$7=31)*$C$8:$AL$8)+'Control Tower'!$B$53*SUMPRODUCT(($C$7:$AL$7=30)*$C$8:$AL$8)</f>
        <v/>
      </c>
      <c r="AH9" s="24">
        <f>'Control Tower'!$B$51*SUMPRODUCT(($C$7:$AL$7-1=32)*$C$8:$AL$8)+'Control Tower'!$B$52*SUMPRODUCT(($C$7:$AL$7=32)*$C$8:$AL$8)+'Control Tower'!$B$53*SUMPRODUCT(($C$7:$AL$7=31)*$C$8:$AL$8)</f>
        <v/>
      </c>
      <c r="AI9" s="24">
        <f>'Control Tower'!$B$51*SUMPRODUCT(($C$7:$AL$7-1=33)*$C$8:$AL$8)+'Control Tower'!$B$52*SUMPRODUCT(($C$7:$AL$7=33)*$C$8:$AL$8)+'Control Tower'!$B$53*SUMPRODUCT(($C$7:$AL$7=32)*$C$8:$AL$8)</f>
        <v/>
      </c>
      <c r="AJ9" s="24">
        <f>'Control Tower'!$B$51*SUMPRODUCT(($C$7:$AL$7-1=34)*$C$8:$AL$8)+'Control Tower'!$B$52*SUMPRODUCT(($C$7:$AL$7=34)*$C$8:$AL$8)+'Control Tower'!$B$53*SUMPRODUCT(($C$7:$AL$7=33)*$C$8:$AL$8)</f>
        <v/>
      </c>
      <c r="AK9" s="24">
        <f>'Control Tower'!$B$51*SUMPRODUCT(($C$7:$AL$7-1=35)*$C$8:$AL$8)+'Control Tower'!$B$52*SUMPRODUCT(($C$7:$AL$7=35)*$C$8:$AL$8)+'Control Tower'!$B$53*SUMPRODUCT(($C$7:$AL$7=34)*$C$8:$AL$8)</f>
        <v/>
      </c>
      <c r="AL9" s="24">
        <f>'Control Tower'!$B$51*SUMPRODUCT(($C$7:$AL$7-1=36)*$C$8:$AL$8)+'Control Tower'!$B$52*SUMPRODUCT(($C$7:$AL$7=36)*$C$8:$AL$8)+'Control Tower'!$B$53*SUMPRODUCT(($C$7:$AL$7=35)*$C$8:$AL$8)</f>
        <v/>
      </c>
    </row>
    <row r="10">
      <c r="A10" s="6" t="inlineStr">
        <is>
          <t>A/R balance (earned - collected, cumulative)</t>
        </is>
      </c>
      <c r="C10" s="22">
        <f>SUM($C$8:C8)-SUM($C$9:C9)</f>
        <v/>
      </c>
      <c r="D10" s="22">
        <f>SUM($C$8:D8)-SUM($C$9:D9)</f>
        <v/>
      </c>
      <c r="E10" s="22">
        <f>SUM($C$8:E8)-SUM($C$9:E9)</f>
        <v/>
      </c>
      <c r="F10" s="22">
        <f>SUM($C$8:F8)-SUM($C$9:F9)</f>
        <v/>
      </c>
      <c r="G10" s="22">
        <f>SUM($C$8:G8)-SUM($C$9:G9)</f>
        <v/>
      </c>
      <c r="H10" s="22">
        <f>SUM($C$8:H8)-SUM($C$9:H9)</f>
        <v/>
      </c>
      <c r="I10" s="22">
        <f>SUM($C$8:I8)-SUM($C$9:I9)</f>
        <v/>
      </c>
      <c r="J10" s="22">
        <f>SUM($C$8:J8)-SUM($C$9:J9)</f>
        <v/>
      </c>
      <c r="K10" s="22">
        <f>SUM($C$8:K8)-SUM($C$9:K9)</f>
        <v/>
      </c>
      <c r="L10" s="22">
        <f>SUM($C$8:L8)-SUM($C$9:L9)</f>
        <v/>
      </c>
      <c r="M10" s="22">
        <f>SUM($C$8:M8)-SUM($C$9:M9)</f>
        <v/>
      </c>
      <c r="N10" s="22">
        <f>SUM($C$8:N8)-SUM($C$9:N9)</f>
        <v/>
      </c>
      <c r="O10" s="22">
        <f>SUM($C$8:O8)-SUM($C$9:O9)</f>
        <v/>
      </c>
      <c r="P10" s="22">
        <f>SUM($C$8:P8)-SUM($C$9:P9)</f>
        <v/>
      </c>
      <c r="Q10" s="22">
        <f>SUM($C$8:Q8)-SUM($C$9:Q9)</f>
        <v/>
      </c>
      <c r="R10" s="22">
        <f>SUM($C$8:R8)-SUM($C$9:R9)</f>
        <v/>
      </c>
      <c r="S10" s="22">
        <f>SUM($C$8:S8)-SUM($C$9:S9)</f>
        <v/>
      </c>
      <c r="T10" s="22">
        <f>SUM($C$8:T8)-SUM($C$9:T9)</f>
        <v/>
      </c>
      <c r="U10" s="22">
        <f>SUM($C$8:U8)-SUM($C$9:U9)</f>
        <v/>
      </c>
      <c r="V10" s="22">
        <f>SUM($C$8:V8)-SUM($C$9:V9)</f>
        <v/>
      </c>
      <c r="W10" s="22">
        <f>SUM($C$8:W8)-SUM($C$9:W9)</f>
        <v/>
      </c>
      <c r="X10" s="22">
        <f>SUM($C$8:X8)-SUM($C$9:X9)</f>
        <v/>
      </c>
      <c r="Y10" s="22">
        <f>SUM($C$8:Y8)-SUM($C$9:Y9)</f>
        <v/>
      </c>
      <c r="Z10" s="22">
        <f>SUM($C$8:Z8)-SUM($C$9:Z9)</f>
        <v/>
      </c>
      <c r="AA10" s="22">
        <f>SUM($C$8:AA8)-SUM($C$9:AA9)</f>
        <v/>
      </c>
      <c r="AB10" s="22">
        <f>SUM($C$8:AB8)-SUM($C$9:AB9)</f>
        <v/>
      </c>
      <c r="AC10" s="22">
        <f>SUM($C$8:AC8)-SUM($C$9:AC9)</f>
        <v/>
      </c>
      <c r="AD10" s="22">
        <f>SUM($C$8:AD8)-SUM($C$9:AD9)</f>
        <v/>
      </c>
      <c r="AE10" s="22">
        <f>SUM($C$8:AE8)-SUM($C$9:AE9)</f>
        <v/>
      </c>
      <c r="AF10" s="22">
        <f>SUM($C$8:AF8)-SUM($C$9:AF9)</f>
        <v/>
      </c>
      <c r="AG10" s="22">
        <f>SUM($C$8:AG8)-SUM($C$9:AG9)</f>
        <v/>
      </c>
      <c r="AH10" s="22">
        <f>SUM($C$8:AH8)-SUM($C$9:AH9)</f>
        <v/>
      </c>
      <c r="AI10" s="22">
        <f>SUM($C$8:AI8)-SUM($C$9:AI9)</f>
        <v/>
      </c>
      <c r="AJ10" s="22">
        <f>SUM($C$8:AJ8)-SUM($C$9:AJ9)</f>
        <v/>
      </c>
      <c r="AK10" s="22">
        <f>SUM($C$8:AK8)-SUM($C$9:AK9)</f>
        <v/>
      </c>
      <c r="AL10" s="22">
        <f>SUM($C$8:AL8)-SUM($C$9:AL9)</f>
        <v/>
      </c>
    </row>
    <row r="11">
      <c r="A11" s="3" t="inlineStr">
        <is>
          <t>DEBT - SELLER NOTE (accepted terms; auto-payoff if full-refi ON)</t>
        </is>
      </c>
    </row>
    <row r="12">
      <c r="A12" s="4" t="inlineStr">
        <is>
          <t>Seller beg balance</t>
        </is>
      </c>
      <c r="C12" s="22">
        <f>'Control Tower'!$B$7-'Control Tower'!$B$8</f>
        <v/>
      </c>
      <c r="D12" s="22">
        <f>C16</f>
        <v/>
      </c>
      <c r="E12" s="22">
        <f>D16</f>
        <v/>
      </c>
      <c r="F12" s="22">
        <f>E16</f>
        <v/>
      </c>
      <c r="G12" s="22">
        <f>F16</f>
        <v/>
      </c>
      <c r="H12" s="22">
        <f>G16</f>
        <v/>
      </c>
      <c r="I12" s="22">
        <f>H16</f>
        <v/>
      </c>
      <c r="J12" s="22">
        <f>I16</f>
        <v/>
      </c>
      <c r="K12" s="22">
        <f>J16</f>
        <v/>
      </c>
      <c r="L12" s="22">
        <f>K16</f>
        <v/>
      </c>
      <c r="M12" s="22">
        <f>L16</f>
        <v/>
      </c>
      <c r="N12" s="22">
        <f>M16</f>
        <v/>
      </c>
      <c r="O12" s="22">
        <f>N16</f>
        <v/>
      </c>
      <c r="P12" s="22">
        <f>O16</f>
        <v/>
      </c>
      <c r="Q12" s="22">
        <f>P16</f>
        <v/>
      </c>
      <c r="R12" s="22">
        <f>Q16</f>
        <v/>
      </c>
      <c r="S12" s="22">
        <f>R16</f>
        <v/>
      </c>
      <c r="T12" s="22">
        <f>S16</f>
        <v/>
      </c>
      <c r="U12" s="22">
        <f>T16</f>
        <v/>
      </c>
      <c r="V12" s="22">
        <f>U16</f>
        <v/>
      </c>
      <c r="W12" s="22">
        <f>V16</f>
        <v/>
      </c>
      <c r="X12" s="22">
        <f>W16</f>
        <v/>
      </c>
      <c r="Y12" s="22">
        <f>X16</f>
        <v/>
      </c>
      <c r="Z12" s="22">
        <f>Y16</f>
        <v/>
      </c>
      <c r="AA12" s="22">
        <f>Z16</f>
        <v/>
      </c>
      <c r="AB12" s="22">
        <f>AA16</f>
        <v/>
      </c>
      <c r="AC12" s="22">
        <f>AB16</f>
        <v/>
      </c>
      <c r="AD12" s="22">
        <f>AC16</f>
        <v/>
      </c>
      <c r="AE12" s="22">
        <f>AD16</f>
        <v/>
      </c>
      <c r="AF12" s="22">
        <f>AE16</f>
        <v/>
      </c>
      <c r="AG12" s="22">
        <f>AF16</f>
        <v/>
      </c>
      <c r="AH12" s="22">
        <f>AG16</f>
        <v/>
      </c>
      <c r="AI12" s="22">
        <f>AH16</f>
        <v/>
      </c>
      <c r="AJ12" s="22">
        <f>AI16</f>
        <v/>
      </c>
      <c r="AK12" s="22">
        <f>AJ16</f>
        <v/>
      </c>
      <c r="AL12" s="22">
        <f>AK16</f>
        <v/>
      </c>
    </row>
    <row r="13">
      <c r="A13" s="4" t="inlineStr">
        <is>
          <t>Seller interest accrued (6% simple)</t>
        </is>
      </c>
      <c r="C13" s="22">
        <f>C12*'Control Tower'!$B$12/12</f>
        <v/>
      </c>
      <c r="D13" s="22">
        <f>D12*'Control Tower'!$B$12/12</f>
        <v/>
      </c>
      <c r="E13" s="22">
        <f>E12*'Control Tower'!$B$12/12</f>
        <v/>
      </c>
      <c r="F13" s="22">
        <f>F12*'Control Tower'!$B$12/12</f>
        <v/>
      </c>
      <c r="G13" s="22">
        <f>G12*'Control Tower'!$B$12/12</f>
        <v/>
      </c>
      <c r="H13" s="22">
        <f>H12*'Control Tower'!$B$12/12</f>
        <v/>
      </c>
      <c r="I13" s="22">
        <f>I12*'Control Tower'!$B$12/12</f>
        <v/>
      </c>
      <c r="J13" s="22">
        <f>J12*'Control Tower'!$B$12/12</f>
        <v/>
      </c>
      <c r="K13" s="22">
        <f>K12*'Control Tower'!$B$12/12</f>
        <v/>
      </c>
      <c r="L13" s="22">
        <f>L12*'Control Tower'!$B$12/12</f>
        <v/>
      </c>
      <c r="M13" s="22">
        <f>M12*'Control Tower'!$B$12/12</f>
        <v/>
      </c>
      <c r="N13" s="22">
        <f>N12*'Control Tower'!$B$12/12</f>
        <v/>
      </c>
      <c r="O13" s="22">
        <f>O12*'Control Tower'!$B$12/12</f>
        <v/>
      </c>
      <c r="P13" s="22">
        <f>P12*'Control Tower'!$B$12/12</f>
        <v/>
      </c>
      <c r="Q13" s="22">
        <f>Q12*'Control Tower'!$B$12/12</f>
        <v/>
      </c>
      <c r="R13" s="22">
        <f>R12*'Control Tower'!$B$12/12</f>
        <v/>
      </c>
      <c r="S13" s="22">
        <f>S12*'Control Tower'!$B$12/12</f>
        <v/>
      </c>
      <c r="T13" s="22">
        <f>T12*'Control Tower'!$B$12/12</f>
        <v/>
      </c>
      <c r="U13" s="22">
        <f>U12*'Control Tower'!$B$12/12</f>
        <v/>
      </c>
      <c r="V13" s="22">
        <f>V12*'Control Tower'!$B$12/12</f>
        <v/>
      </c>
      <c r="W13" s="22">
        <f>W12*'Control Tower'!$B$12/12</f>
        <v/>
      </c>
      <c r="X13" s="22">
        <f>X12*'Control Tower'!$B$12/12</f>
        <v/>
      </c>
      <c r="Y13" s="22">
        <f>Y12*'Control Tower'!$B$12/12</f>
        <v/>
      </c>
      <c r="Z13" s="22">
        <f>Z12*'Control Tower'!$B$12/12</f>
        <v/>
      </c>
      <c r="AA13" s="22">
        <f>AA12*'Control Tower'!$B$12/12</f>
        <v/>
      </c>
      <c r="AB13" s="22">
        <f>AB12*'Control Tower'!$B$12/12</f>
        <v/>
      </c>
      <c r="AC13" s="22">
        <f>AC12*'Control Tower'!$B$12/12</f>
        <v/>
      </c>
      <c r="AD13" s="22">
        <f>AD12*'Control Tower'!$B$12/12</f>
        <v/>
      </c>
      <c r="AE13" s="22">
        <f>AE12*'Control Tower'!$B$12/12</f>
        <v/>
      </c>
      <c r="AF13" s="22">
        <f>AF12*'Control Tower'!$B$12/12</f>
        <v/>
      </c>
      <c r="AG13" s="22">
        <f>AG12*'Control Tower'!$B$12/12</f>
        <v/>
      </c>
      <c r="AH13" s="22">
        <f>AH12*'Control Tower'!$B$12/12</f>
        <v/>
      </c>
      <c r="AI13" s="22">
        <f>AI12*'Control Tower'!$B$12/12</f>
        <v/>
      </c>
      <c r="AJ13" s="22">
        <f>AJ12*'Control Tower'!$B$12/12</f>
        <v/>
      </c>
      <c r="AK13" s="22">
        <f>AK12*'Control Tower'!$B$12/12</f>
        <v/>
      </c>
      <c r="AL13" s="22">
        <f>AL12*'Control Tower'!$B$12/12</f>
        <v/>
      </c>
    </row>
    <row r="14">
      <c r="A14" s="4" t="inlineStr">
        <is>
          <t>Seller principal paid</t>
        </is>
      </c>
      <c r="C14" s="22">
        <f>IF(C12&lt;=0,0,IF(AND('Control Tower'!$B$16=1,1='Control Tower'!$B$17),C12,IF(AND(1&gt;='Control Tower'!$B$10,1&lt;='Control Tower'!$B$11),'Control Tower'!$B$9*(1-'Control Tower'!$B$129),IF(1='Control Tower'!$B$13,C12,0))))</f>
        <v/>
      </c>
      <c r="D14" s="22">
        <f>IF(D12&lt;=0,0,IF(AND('Control Tower'!$B$16=1,2='Control Tower'!$B$17),D12,IF(AND(2&gt;='Control Tower'!$B$10,2&lt;='Control Tower'!$B$11),'Control Tower'!$B$9*(1-'Control Tower'!$B$129),IF(2='Control Tower'!$B$13,D12,0))))</f>
        <v/>
      </c>
      <c r="E14" s="22">
        <f>IF(E12&lt;=0,0,IF(AND('Control Tower'!$B$16=1,3='Control Tower'!$B$17),E12,IF(AND(3&gt;='Control Tower'!$B$10,3&lt;='Control Tower'!$B$11),'Control Tower'!$B$9*(1-'Control Tower'!$B$129),IF(3='Control Tower'!$B$13,E12,0))))</f>
        <v/>
      </c>
      <c r="F14" s="22">
        <f>IF(F12&lt;=0,0,IF(AND('Control Tower'!$B$16=1,4='Control Tower'!$B$17),F12,IF(AND(4&gt;='Control Tower'!$B$10,4&lt;='Control Tower'!$B$11),'Control Tower'!$B$9*(1-'Control Tower'!$B$129),IF(4='Control Tower'!$B$13,F12,0))))</f>
        <v/>
      </c>
      <c r="G14" s="22">
        <f>IF(G12&lt;=0,0,IF(AND('Control Tower'!$B$16=1,5='Control Tower'!$B$17),G12,IF(AND(5&gt;='Control Tower'!$B$10,5&lt;='Control Tower'!$B$11),'Control Tower'!$B$9*(1-'Control Tower'!$B$129),IF(5='Control Tower'!$B$13,G12,0))))</f>
        <v/>
      </c>
      <c r="H14" s="22">
        <f>IF(H12&lt;=0,0,IF(AND('Control Tower'!$B$16=1,6='Control Tower'!$B$17),H12,IF(AND(6&gt;='Control Tower'!$B$10,6&lt;='Control Tower'!$B$11),'Control Tower'!$B$9*(1-'Control Tower'!$B$129),IF(6='Control Tower'!$B$13,H12,0))))</f>
        <v/>
      </c>
      <c r="I14" s="22">
        <f>IF(I12&lt;=0,0,IF(AND('Control Tower'!$B$16=1,7='Control Tower'!$B$17),I12,IF(AND(7&gt;='Control Tower'!$B$10,7&lt;='Control Tower'!$B$11),'Control Tower'!$B$9*(1-'Control Tower'!$B$129),IF(7='Control Tower'!$B$13,I12,0))))</f>
        <v/>
      </c>
      <c r="J14" s="22">
        <f>IF(J12&lt;=0,0,IF(AND('Control Tower'!$B$16=1,8='Control Tower'!$B$17),J12,IF(AND(8&gt;='Control Tower'!$B$10,8&lt;='Control Tower'!$B$11),'Control Tower'!$B$9*(1-'Control Tower'!$B$129),IF(8='Control Tower'!$B$13,J12,0))))</f>
        <v/>
      </c>
      <c r="K14" s="22">
        <f>IF(K12&lt;=0,0,IF(AND('Control Tower'!$B$16=1,9='Control Tower'!$B$17),K12,IF(AND(9&gt;='Control Tower'!$B$10,9&lt;='Control Tower'!$B$11),'Control Tower'!$B$9*(1-'Control Tower'!$B$129),IF(9='Control Tower'!$B$13,K12,0))))</f>
        <v/>
      </c>
      <c r="L14" s="22">
        <f>IF(L12&lt;=0,0,IF(AND('Control Tower'!$B$16=1,10='Control Tower'!$B$17),L12,IF(AND(10&gt;='Control Tower'!$B$10,10&lt;='Control Tower'!$B$11),'Control Tower'!$B$9*(1-'Control Tower'!$B$129),IF(10='Control Tower'!$B$13,L12,0))))</f>
        <v/>
      </c>
      <c r="M14" s="22">
        <f>IF(M12&lt;=0,0,IF(AND('Control Tower'!$B$16=1,11='Control Tower'!$B$17),M12,IF(AND(11&gt;='Control Tower'!$B$10,11&lt;='Control Tower'!$B$11),'Control Tower'!$B$9*(1-'Control Tower'!$B$129),IF(11='Control Tower'!$B$13,M12,0))))</f>
        <v/>
      </c>
      <c r="N14" s="22">
        <f>IF(N12&lt;=0,0,IF(AND('Control Tower'!$B$16=1,12='Control Tower'!$B$17),N12,IF(AND(12&gt;='Control Tower'!$B$10,12&lt;='Control Tower'!$B$11),'Control Tower'!$B$9*(1-'Control Tower'!$B$129),IF(12='Control Tower'!$B$13,N12,0))))</f>
        <v/>
      </c>
      <c r="O14" s="22">
        <f>IF(O12&lt;=0,0,IF(AND('Control Tower'!$B$16=1,13='Control Tower'!$B$17),O12,IF(AND(13&gt;='Control Tower'!$B$10,13&lt;='Control Tower'!$B$11),'Control Tower'!$B$9*(1-'Control Tower'!$B$129),IF(13='Control Tower'!$B$13,O12,0))))</f>
        <v/>
      </c>
      <c r="P14" s="22">
        <f>IF(P12&lt;=0,0,IF(AND('Control Tower'!$B$16=1,14='Control Tower'!$B$17),P12,IF(AND(14&gt;='Control Tower'!$B$10,14&lt;='Control Tower'!$B$11),'Control Tower'!$B$9*(1-'Control Tower'!$B$129),IF(14='Control Tower'!$B$13,P12,0))))</f>
        <v/>
      </c>
      <c r="Q14" s="22">
        <f>IF(Q12&lt;=0,0,IF(AND('Control Tower'!$B$16=1,15='Control Tower'!$B$17),Q12,IF(AND(15&gt;='Control Tower'!$B$10,15&lt;='Control Tower'!$B$11),'Control Tower'!$B$9*(1-'Control Tower'!$B$129),IF(15='Control Tower'!$B$13,Q12,0))))</f>
        <v/>
      </c>
      <c r="R14" s="22">
        <f>IF(R12&lt;=0,0,IF(AND('Control Tower'!$B$16=1,16='Control Tower'!$B$17),R12,IF(AND(16&gt;='Control Tower'!$B$10,16&lt;='Control Tower'!$B$11),'Control Tower'!$B$9*(1-'Control Tower'!$B$129),IF(16='Control Tower'!$B$13,R12,0))))</f>
        <v/>
      </c>
      <c r="S14" s="22">
        <f>IF(S12&lt;=0,0,IF(AND('Control Tower'!$B$16=1,17='Control Tower'!$B$17),S12,IF(AND(17&gt;='Control Tower'!$B$10,17&lt;='Control Tower'!$B$11),'Control Tower'!$B$9*(1-'Control Tower'!$B$129),IF(17='Control Tower'!$B$13,S12,0))))</f>
        <v/>
      </c>
      <c r="T14" s="22">
        <f>IF(T12&lt;=0,0,IF(AND('Control Tower'!$B$16=1,18='Control Tower'!$B$17),T12,IF(AND(18&gt;='Control Tower'!$B$10,18&lt;='Control Tower'!$B$11),'Control Tower'!$B$9*(1-'Control Tower'!$B$129),IF(18='Control Tower'!$B$13,T12,0))))</f>
        <v/>
      </c>
      <c r="U14" s="22">
        <f>IF(U12&lt;=0,0,IF(AND('Control Tower'!$B$16=1,19='Control Tower'!$B$17),U12,IF(AND(19&gt;='Control Tower'!$B$10,19&lt;='Control Tower'!$B$11),'Control Tower'!$B$9*(1-'Control Tower'!$B$129),IF(19='Control Tower'!$B$13,U12,0))))</f>
        <v/>
      </c>
      <c r="V14" s="22">
        <f>IF(V12&lt;=0,0,IF(AND('Control Tower'!$B$16=1,20='Control Tower'!$B$17),V12,IF(AND(20&gt;='Control Tower'!$B$10,20&lt;='Control Tower'!$B$11),'Control Tower'!$B$9*(1-'Control Tower'!$B$129),IF(20='Control Tower'!$B$13,V12,0))))</f>
        <v/>
      </c>
      <c r="W14" s="22">
        <f>IF(W12&lt;=0,0,IF(AND('Control Tower'!$B$16=1,21='Control Tower'!$B$17),W12,IF(AND(21&gt;='Control Tower'!$B$10,21&lt;='Control Tower'!$B$11),'Control Tower'!$B$9*(1-'Control Tower'!$B$129),IF(21='Control Tower'!$B$13,W12,0))))</f>
        <v/>
      </c>
      <c r="X14" s="22">
        <f>IF(X12&lt;=0,0,IF(AND('Control Tower'!$B$16=1,22='Control Tower'!$B$17),X12,IF(AND(22&gt;='Control Tower'!$B$10,22&lt;='Control Tower'!$B$11),'Control Tower'!$B$9*(1-'Control Tower'!$B$129),IF(22='Control Tower'!$B$13,X12,0))))</f>
        <v/>
      </c>
      <c r="Y14" s="22">
        <f>IF(Y12&lt;=0,0,IF(AND('Control Tower'!$B$16=1,23='Control Tower'!$B$17),Y12,IF(AND(23&gt;='Control Tower'!$B$10,23&lt;='Control Tower'!$B$11),'Control Tower'!$B$9*(1-'Control Tower'!$B$129),IF(23='Control Tower'!$B$13,Y12,0))))</f>
        <v/>
      </c>
      <c r="Z14" s="22">
        <f>IF(Z12&lt;=0,0,IF(AND('Control Tower'!$B$16=1,24='Control Tower'!$B$17),Z12,IF(AND(24&gt;='Control Tower'!$B$10,24&lt;='Control Tower'!$B$11),'Control Tower'!$B$9*(1-'Control Tower'!$B$129),IF(24='Control Tower'!$B$13,Z12,0))))</f>
        <v/>
      </c>
      <c r="AA14" s="22">
        <f>IF(AA12&lt;=0,0,IF(AND('Control Tower'!$B$16=1,25='Control Tower'!$B$17),AA12,IF(AND(25&gt;='Control Tower'!$B$10,25&lt;='Control Tower'!$B$11),'Control Tower'!$B$9*(1-'Control Tower'!$B$129),IF(25='Control Tower'!$B$13,AA12,0))))</f>
        <v/>
      </c>
      <c r="AB14" s="22">
        <f>IF(AB12&lt;=0,0,IF(AND('Control Tower'!$B$16=1,26='Control Tower'!$B$17),AB12,IF(AND(26&gt;='Control Tower'!$B$10,26&lt;='Control Tower'!$B$11),'Control Tower'!$B$9*(1-'Control Tower'!$B$129),IF(26='Control Tower'!$B$13,AB12,0))))</f>
        <v/>
      </c>
      <c r="AC14" s="22">
        <f>IF(AC12&lt;=0,0,IF(AND('Control Tower'!$B$16=1,27='Control Tower'!$B$17),AC12,IF(AND(27&gt;='Control Tower'!$B$10,27&lt;='Control Tower'!$B$11),'Control Tower'!$B$9*(1-'Control Tower'!$B$129),IF(27='Control Tower'!$B$13,AC12,0))))</f>
        <v/>
      </c>
      <c r="AD14" s="22">
        <f>IF(AD12&lt;=0,0,IF(AND('Control Tower'!$B$16=1,28='Control Tower'!$B$17),AD12,IF(AND(28&gt;='Control Tower'!$B$10,28&lt;='Control Tower'!$B$11),'Control Tower'!$B$9*(1-'Control Tower'!$B$129),IF(28='Control Tower'!$B$13,AD12,0))))</f>
        <v/>
      </c>
      <c r="AE14" s="22">
        <f>IF(AE12&lt;=0,0,IF(AND('Control Tower'!$B$16=1,29='Control Tower'!$B$17),AE12,IF(AND(29&gt;='Control Tower'!$B$10,29&lt;='Control Tower'!$B$11),'Control Tower'!$B$9*(1-'Control Tower'!$B$129),IF(29='Control Tower'!$B$13,AE12,0))))</f>
        <v/>
      </c>
      <c r="AF14" s="22">
        <f>IF(AF12&lt;=0,0,IF(AND('Control Tower'!$B$16=1,30='Control Tower'!$B$17),AF12,IF(AND(30&gt;='Control Tower'!$B$10,30&lt;='Control Tower'!$B$11),'Control Tower'!$B$9*(1-'Control Tower'!$B$129),IF(30='Control Tower'!$B$13,AF12,0))))</f>
        <v/>
      </c>
      <c r="AG14" s="22">
        <f>IF(AG12&lt;=0,0,IF(AND('Control Tower'!$B$16=1,31='Control Tower'!$B$17),AG12,IF(AND(31&gt;='Control Tower'!$B$10,31&lt;='Control Tower'!$B$11),'Control Tower'!$B$9*(1-'Control Tower'!$B$129),IF(31='Control Tower'!$B$13,AG12,0))))</f>
        <v/>
      </c>
      <c r="AH14" s="22">
        <f>IF(AH12&lt;=0,0,IF(AND('Control Tower'!$B$16=1,32='Control Tower'!$B$17),AH12,IF(AND(32&gt;='Control Tower'!$B$10,32&lt;='Control Tower'!$B$11),'Control Tower'!$B$9*(1-'Control Tower'!$B$129),IF(32='Control Tower'!$B$13,AH12,0))))</f>
        <v/>
      </c>
      <c r="AI14" s="22">
        <f>IF(AI12&lt;=0,0,IF(AND('Control Tower'!$B$16=1,33='Control Tower'!$B$17),AI12,IF(AND(33&gt;='Control Tower'!$B$10,33&lt;='Control Tower'!$B$11),'Control Tower'!$B$9*(1-'Control Tower'!$B$129),IF(33='Control Tower'!$B$13,AI12,0))))</f>
        <v/>
      </c>
      <c r="AJ14" s="22">
        <f>IF(AJ12&lt;=0,0,IF(AND('Control Tower'!$B$16=1,34='Control Tower'!$B$17),AJ12,IF(AND(34&gt;='Control Tower'!$B$10,34&lt;='Control Tower'!$B$11),'Control Tower'!$B$9*(1-'Control Tower'!$B$129),IF(34='Control Tower'!$B$13,AJ12,0))))</f>
        <v/>
      </c>
      <c r="AK14" s="22">
        <f>IF(AK12&lt;=0,0,IF(AND('Control Tower'!$B$16=1,35='Control Tower'!$B$17),AK12,IF(AND(35&gt;='Control Tower'!$B$10,35&lt;='Control Tower'!$B$11),'Control Tower'!$B$9*(1-'Control Tower'!$B$129),IF(35='Control Tower'!$B$13,AK12,0))))</f>
        <v/>
      </c>
      <c r="AL14" s="22">
        <f>IF(AL12&lt;=0,0,IF(AND('Control Tower'!$B$16=1,36='Control Tower'!$B$17),AL12,IF(AND(36&gt;='Control Tower'!$B$10,36&lt;='Control Tower'!$B$11),'Control Tower'!$B$9*(1-'Control Tower'!$B$129),IF(36='Control Tower'!$B$13,AL12,0))))</f>
        <v/>
      </c>
    </row>
    <row r="15">
      <c r="A15" s="4" t="inlineStr">
        <is>
          <t>Seller interest paid (at payoff)</t>
        </is>
      </c>
      <c r="C15" s="22">
        <f>IF(OR(AND('Control Tower'!$B$16=1,1='Control Tower'!$B$17),AND('Control Tower'!$B$16=0,1='Control Tower'!$B$13)),SUM($C$13:C13),0)</f>
        <v/>
      </c>
      <c r="D15" s="22">
        <f>IF(OR(AND('Control Tower'!$B$16=1,2='Control Tower'!$B$17),AND('Control Tower'!$B$16=0,2='Control Tower'!$B$13)),SUM($C$13:D13),0)</f>
        <v/>
      </c>
      <c r="E15" s="22">
        <f>IF(OR(AND('Control Tower'!$B$16=1,3='Control Tower'!$B$17),AND('Control Tower'!$B$16=0,3='Control Tower'!$B$13)),SUM($C$13:E13),0)</f>
        <v/>
      </c>
      <c r="F15" s="22">
        <f>IF(OR(AND('Control Tower'!$B$16=1,4='Control Tower'!$B$17),AND('Control Tower'!$B$16=0,4='Control Tower'!$B$13)),SUM($C$13:F13),0)</f>
        <v/>
      </c>
      <c r="G15" s="22">
        <f>IF(OR(AND('Control Tower'!$B$16=1,5='Control Tower'!$B$17),AND('Control Tower'!$B$16=0,5='Control Tower'!$B$13)),SUM($C$13:G13),0)</f>
        <v/>
      </c>
      <c r="H15" s="22">
        <f>IF(OR(AND('Control Tower'!$B$16=1,6='Control Tower'!$B$17),AND('Control Tower'!$B$16=0,6='Control Tower'!$B$13)),SUM($C$13:H13),0)</f>
        <v/>
      </c>
      <c r="I15" s="22">
        <f>IF(OR(AND('Control Tower'!$B$16=1,7='Control Tower'!$B$17),AND('Control Tower'!$B$16=0,7='Control Tower'!$B$13)),SUM($C$13:I13),0)</f>
        <v/>
      </c>
      <c r="J15" s="22">
        <f>IF(OR(AND('Control Tower'!$B$16=1,8='Control Tower'!$B$17),AND('Control Tower'!$B$16=0,8='Control Tower'!$B$13)),SUM($C$13:J13),0)</f>
        <v/>
      </c>
      <c r="K15" s="22">
        <f>IF(OR(AND('Control Tower'!$B$16=1,9='Control Tower'!$B$17),AND('Control Tower'!$B$16=0,9='Control Tower'!$B$13)),SUM($C$13:K13),0)</f>
        <v/>
      </c>
      <c r="L15" s="22">
        <f>IF(OR(AND('Control Tower'!$B$16=1,10='Control Tower'!$B$17),AND('Control Tower'!$B$16=0,10='Control Tower'!$B$13)),SUM($C$13:L13),0)</f>
        <v/>
      </c>
      <c r="M15" s="22">
        <f>IF(OR(AND('Control Tower'!$B$16=1,11='Control Tower'!$B$17),AND('Control Tower'!$B$16=0,11='Control Tower'!$B$13)),SUM($C$13:M13),0)</f>
        <v/>
      </c>
      <c r="N15" s="22">
        <f>IF(OR(AND('Control Tower'!$B$16=1,12='Control Tower'!$B$17),AND('Control Tower'!$B$16=0,12='Control Tower'!$B$13)),SUM($C$13:N13),0)</f>
        <v/>
      </c>
      <c r="O15" s="22">
        <f>IF(OR(AND('Control Tower'!$B$16=1,13='Control Tower'!$B$17),AND('Control Tower'!$B$16=0,13='Control Tower'!$B$13)),SUM($C$13:O13),0)</f>
        <v/>
      </c>
      <c r="P15" s="22">
        <f>IF(OR(AND('Control Tower'!$B$16=1,14='Control Tower'!$B$17),AND('Control Tower'!$B$16=0,14='Control Tower'!$B$13)),SUM($C$13:P13),0)</f>
        <v/>
      </c>
      <c r="Q15" s="22">
        <f>IF(OR(AND('Control Tower'!$B$16=1,15='Control Tower'!$B$17),AND('Control Tower'!$B$16=0,15='Control Tower'!$B$13)),SUM($C$13:Q13),0)</f>
        <v/>
      </c>
      <c r="R15" s="22">
        <f>IF(OR(AND('Control Tower'!$B$16=1,16='Control Tower'!$B$17),AND('Control Tower'!$B$16=0,16='Control Tower'!$B$13)),SUM($C$13:R13),0)</f>
        <v/>
      </c>
      <c r="S15" s="22">
        <f>IF(OR(AND('Control Tower'!$B$16=1,17='Control Tower'!$B$17),AND('Control Tower'!$B$16=0,17='Control Tower'!$B$13)),SUM($C$13:S13),0)</f>
        <v/>
      </c>
      <c r="T15" s="22">
        <f>IF(OR(AND('Control Tower'!$B$16=1,18='Control Tower'!$B$17),AND('Control Tower'!$B$16=0,18='Control Tower'!$B$13)),SUM($C$13:T13),0)</f>
        <v/>
      </c>
      <c r="U15" s="22">
        <f>IF(OR(AND('Control Tower'!$B$16=1,19='Control Tower'!$B$17),AND('Control Tower'!$B$16=0,19='Control Tower'!$B$13)),SUM($C$13:U13),0)</f>
        <v/>
      </c>
      <c r="V15" s="22">
        <f>IF(OR(AND('Control Tower'!$B$16=1,20='Control Tower'!$B$17),AND('Control Tower'!$B$16=0,20='Control Tower'!$B$13)),SUM($C$13:V13),0)</f>
        <v/>
      </c>
      <c r="W15" s="22">
        <f>IF(OR(AND('Control Tower'!$B$16=1,21='Control Tower'!$B$17),AND('Control Tower'!$B$16=0,21='Control Tower'!$B$13)),SUM($C$13:W13),0)</f>
        <v/>
      </c>
      <c r="X15" s="22">
        <f>IF(OR(AND('Control Tower'!$B$16=1,22='Control Tower'!$B$17),AND('Control Tower'!$B$16=0,22='Control Tower'!$B$13)),SUM($C$13:X13),0)</f>
        <v/>
      </c>
      <c r="Y15" s="22">
        <f>IF(OR(AND('Control Tower'!$B$16=1,23='Control Tower'!$B$17),AND('Control Tower'!$B$16=0,23='Control Tower'!$B$13)),SUM($C$13:Y13),0)</f>
        <v/>
      </c>
      <c r="Z15" s="22">
        <f>IF(OR(AND('Control Tower'!$B$16=1,24='Control Tower'!$B$17),AND('Control Tower'!$B$16=0,24='Control Tower'!$B$13)),SUM($C$13:Z13),0)</f>
        <v/>
      </c>
      <c r="AA15" s="22">
        <f>IF(OR(AND('Control Tower'!$B$16=1,25='Control Tower'!$B$17),AND('Control Tower'!$B$16=0,25='Control Tower'!$B$13)),SUM($C$13:AA13),0)</f>
        <v/>
      </c>
      <c r="AB15" s="22">
        <f>IF(OR(AND('Control Tower'!$B$16=1,26='Control Tower'!$B$17),AND('Control Tower'!$B$16=0,26='Control Tower'!$B$13)),SUM($C$13:AB13),0)</f>
        <v/>
      </c>
      <c r="AC15" s="22">
        <f>IF(OR(AND('Control Tower'!$B$16=1,27='Control Tower'!$B$17),AND('Control Tower'!$B$16=0,27='Control Tower'!$B$13)),SUM($C$13:AC13),0)</f>
        <v/>
      </c>
      <c r="AD15" s="22">
        <f>IF(OR(AND('Control Tower'!$B$16=1,28='Control Tower'!$B$17),AND('Control Tower'!$B$16=0,28='Control Tower'!$B$13)),SUM($C$13:AD13),0)</f>
        <v/>
      </c>
      <c r="AE15" s="22">
        <f>IF(OR(AND('Control Tower'!$B$16=1,29='Control Tower'!$B$17),AND('Control Tower'!$B$16=0,29='Control Tower'!$B$13)),SUM($C$13:AE13),0)</f>
        <v/>
      </c>
      <c r="AF15" s="22">
        <f>IF(OR(AND('Control Tower'!$B$16=1,30='Control Tower'!$B$17),AND('Control Tower'!$B$16=0,30='Control Tower'!$B$13)),SUM($C$13:AF13),0)</f>
        <v/>
      </c>
      <c r="AG15" s="22">
        <f>IF(OR(AND('Control Tower'!$B$16=1,31='Control Tower'!$B$17),AND('Control Tower'!$B$16=0,31='Control Tower'!$B$13)),SUM($C$13:AG13),0)</f>
        <v/>
      </c>
      <c r="AH15" s="22">
        <f>IF(OR(AND('Control Tower'!$B$16=1,32='Control Tower'!$B$17),AND('Control Tower'!$B$16=0,32='Control Tower'!$B$13)),SUM($C$13:AH13),0)</f>
        <v/>
      </c>
      <c r="AI15" s="22">
        <f>IF(OR(AND('Control Tower'!$B$16=1,33='Control Tower'!$B$17),AND('Control Tower'!$B$16=0,33='Control Tower'!$B$13)),SUM($C$13:AI13),0)</f>
        <v/>
      </c>
      <c r="AJ15" s="22">
        <f>IF(OR(AND('Control Tower'!$B$16=1,34='Control Tower'!$B$17),AND('Control Tower'!$B$16=0,34='Control Tower'!$B$13)),SUM($C$13:AJ13),0)</f>
        <v/>
      </c>
      <c r="AK15" s="22">
        <f>IF(OR(AND('Control Tower'!$B$16=1,35='Control Tower'!$B$17),AND('Control Tower'!$B$16=0,35='Control Tower'!$B$13)),SUM($C$13:AK13),0)</f>
        <v/>
      </c>
      <c r="AL15" s="22">
        <f>IF(OR(AND('Control Tower'!$B$16=1,36='Control Tower'!$B$17),AND('Control Tower'!$B$16=0,36='Control Tower'!$B$13)),SUM($C$13:AL13),0)</f>
        <v/>
      </c>
    </row>
    <row r="16">
      <c r="A16" s="4" t="inlineStr">
        <is>
          <t>Seller end balance</t>
        </is>
      </c>
      <c r="C16" s="22">
        <f>C12-C14</f>
        <v/>
      </c>
      <c r="D16" s="22">
        <f>D12-D14</f>
        <v/>
      </c>
      <c r="E16" s="22">
        <f>E12-E14</f>
        <v/>
      </c>
      <c r="F16" s="22">
        <f>F12-F14</f>
        <v/>
      </c>
      <c r="G16" s="22">
        <f>G12-G14</f>
        <v/>
      </c>
      <c r="H16" s="22">
        <f>H12-H14</f>
        <v/>
      </c>
      <c r="I16" s="22">
        <f>I12-I14</f>
        <v/>
      </c>
      <c r="J16" s="22">
        <f>J12-J14</f>
        <v/>
      </c>
      <c r="K16" s="22">
        <f>K12-K14</f>
        <v/>
      </c>
      <c r="L16" s="22">
        <f>L12-L14</f>
        <v/>
      </c>
      <c r="M16" s="22">
        <f>M12-M14</f>
        <v/>
      </c>
      <c r="N16" s="22">
        <f>N12-N14</f>
        <v/>
      </c>
      <c r="O16" s="22">
        <f>O12-O14</f>
        <v/>
      </c>
      <c r="P16" s="22">
        <f>P12-P14</f>
        <v/>
      </c>
      <c r="Q16" s="22">
        <f>Q12-Q14</f>
        <v/>
      </c>
      <c r="R16" s="22">
        <f>R12-R14</f>
        <v/>
      </c>
      <c r="S16" s="22">
        <f>S12-S14</f>
        <v/>
      </c>
      <c r="T16" s="22">
        <f>T12-T14</f>
        <v/>
      </c>
      <c r="U16" s="22">
        <f>U12-U14</f>
        <v/>
      </c>
      <c r="V16" s="22">
        <f>V12-V14</f>
        <v/>
      </c>
      <c r="W16" s="22">
        <f>W12-W14</f>
        <v/>
      </c>
      <c r="X16" s="22">
        <f>X12-X14</f>
        <v/>
      </c>
      <c r="Y16" s="22">
        <f>Y12-Y14</f>
        <v/>
      </c>
      <c r="Z16" s="22">
        <f>Z12-Z14</f>
        <v/>
      </c>
      <c r="AA16" s="22">
        <f>AA12-AA14</f>
        <v/>
      </c>
      <c r="AB16" s="22">
        <f>AB12-AB14</f>
        <v/>
      </c>
      <c r="AC16" s="22">
        <f>AC12-AC14</f>
        <v/>
      </c>
      <c r="AD16" s="22">
        <f>AD12-AD14</f>
        <v/>
      </c>
      <c r="AE16" s="22">
        <f>AE12-AE14</f>
        <v/>
      </c>
      <c r="AF16" s="22">
        <f>AF12-AF14</f>
        <v/>
      </c>
      <c r="AG16" s="22">
        <f>AG12-AG14</f>
        <v/>
      </c>
      <c r="AH16" s="22">
        <f>AH12-AH14</f>
        <v/>
      </c>
      <c r="AI16" s="22">
        <f>AI12-AI14</f>
        <v/>
      </c>
      <c r="AJ16" s="22">
        <f>AJ12-AJ14</f>
        <v/>
      </c>
      <c r="AK16" s="22">
        <f>AK12-AK14</f>
        <v/>
      </c>
      <c r="AL16" s="22">
        <f>AL12-AL14</f>
        <v/>
      </c>
    </row>
    <row r="17">
      <c r="A17" s="3" t="inlineStr">
        <is>
          <t>DEBT - BALLOON REFINANCING / INTERIM BANK NOTE / SBA 7(a) (per scenario settings)</t>
        </is>
      </c>
    </row>
    <row r="18">
      <c r="A18" s="4" t="inlineStr">
        <is>
          <t>Balloon refi amount</t>
        </is>
      </c>
      <c r="B18" s="22">
        <f>IF(OR('Control Tower'!$B$16=1,'Control Tower'!$B$21=1),0,SUMPRODUCT(($C$4:$AL$4='Control Tower'!$B$13)*($C$14:$AL$14+$C$15:$AL$15)))</f>
        <v/>
      </c>
    </row>
    <row r="19">
      <c r="A19" s="4" t="inlineStr">
        <is>
          <t>Balloon refi - payment (P&amp;I)</t>
        </is>
      </c>
      <c r="C19" s="22">
        <f>IF(AND(AND('Control Tower'!$B$16=0,'Control Tower'!$B$21=0),1&gt;'Control Tower'!$B$13,1&lt;='Control Tower'!$B$13+'Control Tower'!$B$15),-PMT('Control Tower'!$B$14/12,'Control Tower'!$B$15,$B$18),0)</f>
        <v/>
      </c>
      <c r="D19" s="22">
        <f>IF(AND(AND('Control Tower'!$B$16=0,'Control Tower'!$B$21=0),2&gt;'Control Tower'!$B$13,2&lt;='Control Tower'!$B$13+'Control Tower'!$B$15),-PMT('Control Tower'!$B$14/12,'Control Tower'!$B$15,$B$18),0)</f>
        <v/>
      </c>
      <c r="E19" s="22">
        <f>IF(AND(AND('Control Tower'!$B$16=0,'Control Tower'!$B$21=0),3&gt;'Control Tower'!$B$13,3&lt;='Control Tower'!$B$13+'Control Tower'!$B$15),-PMT('Control Tower'!$B$14/12,'Control Tower'!$B$15,$B$18),0)</f>
        <v/>
      </c>
      <c r="F19" s="22">
        <f>IF(AND(AND('Control Tower'!$B$16=0,'Control Tower'!$B$21=0),4&gt;'Control Tower'!$B$13,4&lt;='Control Tower'!$B$13+'Control Tower'!$B$15),-PMT('Control Tower'!$B$14/12,'Control Tower'!$B$15,$B$18),0)</f>
        <v/>
      </c>
      <c r="G19" s="22">
        <f>IF(AND(AND('Control Tower'!$B$16=0,'Control Tower'!$B$21=0),5&gt;'Control Tower'!$B$13,5&lt;='Control Tower'!$B$13+'Control Tower'!$B$15),-PMT('Control Tower'!$B$14/12,'Control Tower'!$B$15,$B$18),0)</f>
        <v/>
      </c>
      <c r="H19" s="22">
        <f>IF(AND(AND('Control Tower'!$B$16=0,'Control Tower'!$B$21=0),6&gt;'Control Tower'!$B$13,6&lt;='Control Tower'!$B$13+'Control Tower'!$B$15),-PMT('Control Tower'!$B$14/12,'Control Tower'!$B$15,$B$18),0)</f>
        <v/>
      </c>
      <c r="I19" s="22">
        <f>IF(AND(AND('Control Tower'!$B$16=0,'Control Tower'!$B$21=0),7&gt;'Control Tower'!$B$13,7&lt;='Control Tower'!$B$13+'Control Tower'!$B$15),-PMT('Control Tower'!$B$14/12,'Control Tower'!$B$15,$B$18),0)</f>
        <v/>
      </c>
      <c r="J19" s="22">
        <f>IF(AND(AND('Control Tower'!$B$16=0,'Control Tower'!$B$21=0),8&gt;'Control Tower'!$B$13,8&lt;='Control Tower'!$B$13+'Control Tower'!$B$15),-PMT('Control Tower'!$B$14/12,'Control Tower'!$B$15,$B$18),0)</f>
        <v/>
      </c>
      <c r="K19" s="22">
        <f>IF(AND(AND('Control Tower'!$B$16=0,'Control Tower'!$B$21=0),9&gt;'Control Tower'!$B$13,9&lt;='Control Tower'!$B$13+'Control Tower'!$B$15),-PMT('Control Tower'!$B$14/12,'Control Tower'!$B$15,$B$18),0)</f>
        <v/>
      </c>
      <c r="L19" s="22">
        <f>IF(AND(AND('Control Tower'!$B$16=0,'Control Tower'!$B$21=0),10&gt;'Control Tower'!$B$13,10&lt;='Control Tower'!$B$13+'Control Tower'!$B$15),-PMT('Control Tower'!$B$14/12,'Control Tower'!$B$15,$B$18),0)</f>
        <v/>
      </c>
      <c r="M19" s="22">
        <f>IF(AND(AND('Control Tower'!$B$16=0,'Control Tower'!$B$21=0),11&gt;'Control Tower'!$B$13,11&lt;='Control Tower'!$B$13+'Control Tower'!$B$15),-PMT('Control Tower'!$B$14/12,'Control Tower'!$B$15,$B$18),0)</f>
        <v/>
      </c>
      <c r="N19" s="22">
        <f>IF(AND(AND('Control Tower'!$B$16=0,'Control Tower'!$B$21=0),12&gt;'Control Tower'!$B$13,12&lt;='Control Tower'!$B$13+'Control Tower'!$B$15),-PMT('Control Tower'!$B$14/12,'Control Tower'!$B$15,$B$18),0)</f>
        <v/>
      </c>
      <c r="O19" s="22">
        <f>IF(AND(AND('Control Tower'!$B$16=0,'Control Tower'!$B$21=0),13&gt;'Control Tower'!$B$13,13&lt;='Control Tower'!$B$13+'Control Tower'!$B$15),-PMT('Control Tower'!$B$14/12,'Control Tower'!$B$15,$B$18),0)</f>
        <v/>
      </c>
      <c r="P19" s="22">
        <f>IF(AND(AND('Control Tower'!$B$16=0,'Control Tower'!$B$21=0),14&gt;'Control Tower'!$B$13,14&lt;='Control Tower'!$B$13+'Control Tower'!$B$15),-PMT('Control Tower'!$B$14/12,'Control Tower'!$B$15,$B$18),0)</f>
        <v/>
      </c>
      <c r="Q19" s="22">
        <f>IF(AND(AND('Control Tower'!$B$16=0,'Control Tower'!$B$21=0),15&gt;'Control Tower'!$B$13,15&lt;='Control Tower'!$B$13+'Control Tower'!$B$15),-PMT('Control Tower'!$B$14/12,'Control Tower'!$B$15,$B$18),0)</f>
        <v/>
      </c>
      <c r="R19" s="22">
        <f>IF(AND(AND('Control Tower'!$B$16=0,'Control Tower'!$B$21=0),16&gt;'Control Tower'!$B$13,16&lt;='Control Tower'!$B$13+'Control Tower'!$B$15),-PMT('Control Tower'!$B$14/12,'Control Tower'!$B$15,$B$18),0)</f>
        <v/>
      </c>
      <c r="S19" s="22">
        <f>IF(AND(AND('Control Tower'!$B$16=0,'Control Tower'!$B$21=0),17&gt;'Control Tower'!$B$13,17&lt;='Control Tower'!$B$13+'Control Tower'!$B$15),-PMT('Control Tower'!$B$14/12,'Control Tower'!$B$15,$B$18),0)</f>
        <v/>
      </c>
      <c r="T19" s="22">
        <f>IF(AND(AND('Control Tower'!$B$16=0,'Control Tower'!$B$21=0),18&gt;'Control Tower'!$B$13,18&lt;='Control Tower'!$B$13+'Control Tower'!$B$15),-PMT('Control Tower'!$B$14/12,'Control Tower'!$B$15,$B$18),0)</f>
        <v/>
      </c>
      <c r="U19" s="22">
        <f>IF(AND(AND('Control Tower'!$B$16=0,'Control Tower'!$B$21=0),19&gt;'Control Tower'!$B$13,19&lt;='Control Tower'!$B$13+'Control Tower'!$B$15),-PMT('Control Tower'!$B$14/12,'Control Tower'!$B$15,$B$18),0)</f>
        <v/>
      </c>
      <c r="V19" s="22">
        <f>IF(AND(AND('Control Tower'!$B$16=0,'Control Tower'!$B$21=0),20&gt;'Control Tower'!$B$13,20&lt;='Control Tower'!$B$13+'Control Tower'!$B$15),-PMT('Control Tower'!$B$14/12,'Control Tower'!$B$15,$B$18),0)</f>
        <v/>
      </c>
      <c r="W19" s="22">
        <f>IF(AND(AND('Control Tower'!$B$16=0,'Control Tower'!$B$21=0),21&gt;'Control Tower'!$B$13,21&lt;='Control Tower'!$B$13+'Control Tower'!$B$15),-PMT('Control Tower'!$B$14/12,'Control Tower'!$B$15,$B$18),0)</f>
        <v/>
      </c>
      <c r="X19" s="22">
        <f>IF(AND(AND('Control Tower'!$B$16=0,'Control Tower'!$B$21=0),22&gt;'Control Tower'!$B$13,22&lt;='Control Tower'!$B$13+'Control Tower'!$B$15),-PMT('Control Tower'!$B$14/12,'Control Tower'!$B$15,$B$18),0)</f>
        <v/>
      </c>
      <c r="Y19" s="22">
        <f>IF(AND(AND('Control Tower'!$B$16=0,'Control Tower'!$B$21=0),23&gt;'Control Tower'!$B$13,23&lt;='Control Tower'!$B$13+'Control Tower'!$B$15),-PMT('Control Tower'!$B$14/12,'Control Tower'!$B$15,$B$18),0)</f>
        <v/>
      </c>
      <c r="Z19" s="22">
        <f>IF(AND(AND('Control Tower'!$B$16=0,'Control Tower'!$B$21=0),24&gt;'Control Tower'!$B$13,24&lt;='Control Tower'!$B$13+'Control Tower'!$B$15),-PMT('Control Tower'!$B$14/12,'Control Tower'!$B$15,$B$18),0)</f>
        <v/>
      </c>
      <c r="AA19" s="22">
        <f>IF(AND(AND('Control Tower'!$B$16=0,'Control Tower'!$B$21=0),25&gt;'Control Tower'!$B$13,25&lt;='Control Tower'!$B$13+'Control Tower'!$B$15),-PMT('Control Tower'!$B$14/12,'Control Tower'!$B$15,$B$18),0)</f>
        <v/>
      </c>
      <c r="AB19" s="22">
        <f>IF(AND(AND('Control Tower'!$B$16=0,'Control Tower'!$B$21=0),26&gt;'Control Tower'!$B$13,26&lt;='Control Tower'!$B$13+'Control Tower'!$B$15),-PMT('Control Tower'!$B$14/12,'Control Tower'!$B$15,$B$18),0)</f>
        <v/>
      </c>
      <c r="AC19" s="22">
        <f>IF(AND(AND('Control Tower'!$B$16=0,'Control Tower'!$B$21=0),27&gt;'Control Tower'!$B$13,27&lt;='Control Tower'!$B$13+'Control Tower'!$B$15),-PMT('Control Tower'!$B$14/12,'Control Tower'!$B$15,$B$18),0)</f>
        <v/>
      </c>
      <c r="AD19" s="22">
        <f>IF(AND(AND('Control Tower'!$B$16=0,'Control Tower'!$B$21=0),28&gt;'Control Tower'!$B$13,28&lt;='Control Tower'!$B$13+'Control Tower'!$B$15),-PMT('Control Tower'!$B$14/12,'Control Tower'!$B$15,$B$18),0)</f>
        <v/>
      </c>
      <c r="AE19" s="22">
        <f>IF(AND(AND('Control Tower'!$B$16=0,'Control Tower'!$B$21=0),29&gt;'Control Tower'!$B$13,29&lt;='Control Tower'!$B$13+'Control Tower'!$B$15),-PMT('Control Tower'!$B$14/12,'Control Tower'!$B$15,$B$18),0)</f>
        <v/>
      </c>
      <c r="AF19" s="22">
        <f>IF(AND(AND('Control Tower'!$B$16=0,'Control Tower'!$B$21=0),30&gt;'Control Tower'!$B$13,30&lt;='Control Tower'!$B$13+'Control Tower'!$B$15),-PMT('Control Tower'!$B$14/12,'Control Tower'!$B$15,$B$18),0)</f>
        <v/>
      </c>
      <c r="AG19" s="22">
        <f>IF(AND(AND('Control Tower'!$B$16=0,'Control Tower'!$B$21=0),31&gt;'Control Tower'!$B$13,31&lt;='Control Tower'!$B$13+'Control Tower'!$B$15),-PMT('Control Tower'!$B$14/12,'Control Tower'!$B$15,$B$18),0)</f>
        <v/>
      </c>
      <c r="AH19" s="22">
        <f>IF(AND(AND('Control Tower'!$B$16=0,'Control Tower'!$B$21=0),32&gt;'Control Tower'!$B$13,32&lt;='Control Tower'!$B$13+'Control Tower'!$B$15),-PMT('Control Tower'!$B$14/12,'Control Tower'!$B$15,$B$18),0)</f>
        <v/>
      </c>
      <c r="AI19" s="22">
        <f>IF(AND(AND('Control Tower'!$B$16=0,'Control Tower'!$B$21=0),33&gt;'Control Tower'!$B$13,33&lt;='Control Tower'!$B$13+'Control Tower'!$B$15),-PMT('Control Tower'!$B$14/12,'Control Tower'!$B$15,$B$18),0)</f>
        <v/>
      </c>
      <c r="AJ19" s="22">
        <f>IF(AND(AND('Control Tower'!$B$16=0,'Control Tower'!$B$21=0),34&gt;'Control Tower'!$B$13,34&lt;='Control Tower'!$B$13+'Control Tower'!$B$15),-PMT('Control Tower'!$B$14/12,'Control Tower'!$B$15,$B$18),0)</f>
        <v/>
      </c>
      <c r="AK19" s="22">
        <f>IF(AND(AND('Control Tower'!$B$16=0,'Control Tower'!$B$21=0),35&gt;'Control Tower'!$B$13,35&lt;='Control Tower'!$B$13+'Control Tower'!$B$15),-PMT('Control Tower'!$B$14/12,'Control Tower'!$B$15,$B$18),0)</f>
        <v/>
      </c>
      <c r="AL19" s="22">
        <f>IF(AND(AND('Control Tower'!$B$16=0,'Control Tower'!$B$21=0),36&gt;'Control Tower'!$B$13,36&lt;='Control Tower'!$B$13+'Control Tower'!$B$15),-PMT('Control Tower'!$B$14/12,'Control Tower'!$B$15,$B$18),0)</f>
        <v/>
      </c>
    </row>
    <row r="20">
      <c r="A20" s="4" t="inlineStr">
        <is>
          <t>Balloon refi - balance (end)</t>
        </is>
      </c>
      <c r="C20" s="22">
        <f>IF(NOT(AND('Control Tower'!$B$16=0,'Control Tower'!$B$21=0)),0,IF(1&lt;'Control Tower'!$B$13,0,IF(1='Control Tower'!$B$13,$B$18,MAX(0,0*(1+'Control Tower'!$B$14/12)-C19))))</f>
        <v/>
      </c>
      <c r="D20" s="22">
        <f>IF(NOT(AND('Control Tower'!$B$16=0,'Control Tower'!$B$21=0)),0,IF(2&lt;'Control Tower'!$B$13,0,IF(2='Control Tower'!$B$13,$B$18,MAX(0,C20*(1+'Control Tower'!$B$14/12)-D19))))</f>
        <v/>
      </c>
      <c r="E20" s="22">
        <f>IF(NOT(AND('Control Tower'!$B$16=0,'Control Tower'!$B$21=0)),0,IF(3&lt;'Control Tower'!$B$13,0,IF(3='Control Tower'!$B$13,$B$18,MAX(0,D20*(1+'Control Tower'!$B$14/12)-E19))))</f>
        <v/>
      </c>
      <c r="F20" s="22">
        <f>IF(NOT(AND('Control Tower'!$B$16=0,'Control Tower'!$B$21=0)),0,IF(4&lt;'Control Tower'!$B$13,0,IF(4='Control Tower'!$B$13,$B$18,MAX(0,E20*(1+'Control Tower'!$B$14/12)-F19))))</f>
        <v/>
      </c>
      <c r="G20" s="22">
        <f>IF(NOT(AND('Control Tower'!$B$16=0,'Control Tower'!$B$21=0)),0,IF(5&lt;'Control Tower'!$B$13,0,IF(5='Control Tower'!$B$13,$B$18,MAX(0,F20*(1+'Control Tower'!$B$14/12)-G19))))</f>
        <v/>
      </c>
      <c r="H20" s="22">
        <f>IF(NOT(AND('Control Tower'!$B$16=0,'Control Tower'!$B$21=0)),0,IF(6&lt;'Control Tower'!$B$13,0,IF(6='Control Tower'!$B$13,$B$18,MAX(0,G20*(1+'Control Tower'!$B$14/12)-H19))))</f>
        <v/>
      </c>
      <c r="I20" s="22">
        <f>IF(NOT(AND('Control Tower'!$B$16=0,'Control Tower'!$B$21=0)),0,IF(7&lt;'Control Tower'!$B$13,0,IF(7='Control Tower'!$B$13,$B$18,MAX(0,H20*(1+'Control Tower'!$B$14/12)-I19))))</f>
        <v/>
      </c>
      <c r="J20" s="22">
        <f>IF(NOT(AND('Control Tower'!$B$16=0,'Control Tower'!$B$21=0)),0,IF(8&lt;'Control Tower'!$B$13,0,IF(8='Control Tower'!$B$13,$B$18,MAX(0,I20*(1+'Control Tower'!$B$14/12)-J19))))</f>
        <v/>
      </c>
      <c r="K20" s="22">
        <f>IF(NOT(AND('Control Tower'!$B$16=0,'Control Tower'!$B$21=0)),0,IF(9&lt;'Control Tower'!$B$13,0,IF(9='Control Tower'!$B$13,$B$18,MAX(0,J20*(1+'Control Tower'!$B$14/12)-K19))))</f>
        <v/>
      </c>
      <c r="L20" s="22">
        <f>IF(NOT(AND('Control Tower'!$B$16=0,'Control Tower'!$B$21=0)),0,IF(10&lt;'Control Tower'!$B$13,0,IF(10='Control Tower'!$B$13,$B$18,MAX(0,K20*(1+'Control Tower'!$B$14/12)-L19))))</f>
        <v/>
      </c>
      <c r="M20" s="22">
        <f>IF(NOT(AND('Control Tower'!$B$16=0,'Control Tower'!$B$21=0)),0,IF(11&lt;'Control Tower'!$B$13,0,IF(11='Control Tower'!$B$13,$B$18,MAX(0,L20*(1+'Control Tower'!$B$14/12)-M19))))</f>
        <v/>
      </c>
      <c r="N20" s="22">
        <f>IF(NOT(AND('Control Tower'!$B$16=0,'Control Tower'!$B$21=0)),0,IF(12&lt;'Control Tower'!$B$13,0,IF(12='Control Tower'!$B$13,$B$18,MAX(0,M20*(1+'Control Tower'!$B$14/12)-N19))))</f>
        <v/>
      </c>
      <c r="O20" s="22">
        <f>IF(NOT(AND('Control Tower'!$B$16=0,'Control Tower'!$B$21=0)),0,IF(13&lt;'Control Tower'!$B$13,0,IF(13='Control Tower'!$B$13,$B$18,MAX(0,N20*(1+'Control Tower'!$B$14/12)-O19))))</f>
        <v/>
      </c>
      <c r="P20" s="22">
        <f>IF(NOT(AND('Control Tower'!$B$16=0,'Control Tower'!$B$21=0)),0,IF(14&lt;'Control Tower'!$B$13,0,IF(14='Control Tower'!$B$13,$B$18,MAX(0,O20*(1+'Control Tower'!$B$14/12)-P19))))</f>
        <v/>
      </c>
      <c r="Q20" s="22">
        <f>IF(NOT(AND('Control Tower'!$B$16=0,'Control Tower'!$B$21=0)),0,IF(15&lt;'Control Tower'!$B$13,0,IF(15='Control Tower'!$B$13,$B$18,MAX(0,P20*(1+'Control Tower'!$B$14/12)-Q19))))</f>
        <v/>
      </c>
      <c r="R20" s="22">
        <f>IF(NOT(AND('Control Tower'!$B$16=0,'Control Tower'!$B$21=0)),0,IF(16&lt;'Control Tower'!$B$13,0,IF(16='Control Tower'!$B$13,$B$18,MAX(0,Q20*(1+'Control Tower'!$B$14/12)-R19))))</f>
        <v/>
      </c>
      <c r="S20" s="22">
        <f>IF(NOT(AND('Control Tower'!$B$16=0,'Control Tower'!$B$21=0)),0,IF(17&lt;'Control Tower'!$B$13,0,IF(17='Control Tower'!$B$13,$B$18,MAX(0,R20*(1+'Control Tower'!$B$14/12)-S19))))</f>
        <v/>
      </c>
      <c r="T20" s="22">
        <f>IF(NOT(AND('Control Tower'!$B$16=0,'Control Tower'!$B$21=0)),0,IF(18&lt;'Control Tower'!$B$13,0,IF(18='Control Tower'!$B$13,$B$18,MAX(0,S20*(1+'Control Tower'!$B$14/12)-T19))))</f>
        <v/>
      </c>
      <c r="U20" s="22">
        <f>IF(NOT(AND('Control Tower'!$B$16=0,'Control Tower'!$B$21=0)),0,IF(19&lt;'Control Tower'!$B$13,0,IF(19='Control Tower'!$B$13,$B$18,MAX(0,T20*(1+'Control Tower'!$B$14/12)-U19))))</f>
        <v/>
      </c>
      <c r="V20" s="22">
        <f>IF(NOT(AND('Control Tower'!$B$16=0,'Control Tower'!$B$21=0)),0,IF(20&lt;'Control Tower'!$B$13,0,IF(20='Control Tower'!$B$13,$B$18,MAX(0,U20*(1+'Control Tower'!$B$14/12)-V19))))</f>
        <v/>
      </c>
      <c r="W20" s="22">
        <f>IF(NOT(AND('Control Tower'!$B$16=0,'Control Tower'!$B$21=0)),0,IF(21&lt;'Control Tower'!$B$13,0,IF(21='Control Tower'!$B$13,$B$18,MAX(0,V20*(1+'Control Tower'!$B$14/12)-W19))))</f>
        <v/>
      </c>
      <c r="X20" s="22">
        <f>IF(NOT(AND('Control Tower'!$B$16=0,'Control Tower'!$B$21=0)),0,IF(22&lt;'Control Tower'!$B$13,0,IF(22='Control Tower'!$B$13,$B$18,MAX(0,W20*(1+'Control Tower'!$B$14/12)-X19))))</f>
        <v/>
      </c>
      <c r="Y20" s="22">
        <f>IF(NOT(AND('Control Tower'!$B$16=0,'Control Tower'!$B$21=0)),0,IF(23&lt;'Control Tower'!$B$13,0,IF(23='Control Tower'!$B$13,$B$18,MAX(0,X20*(1+'Control Tower'!$B$14/12)-Y19))))</f>
        <v/>
      </c>
      <c r="Z20" s="22">
        <f>IF(NOT(AND('Control Tower'!$B$16=0,'Control Tower'!$B$21=0)),0,IF(24&lt;'Control Tower'!$B$13,0,IF(24='Control Tower'!$B$13,$B$18,MAX(0,Y20*(1+'Control Tower'!$B$14/12)-Z19))))</f>
        <v/>
      </c>
      <c r="AA20" s="22">
        <f>IF(NOT(AND('Control Tower'!$B$16=0,'Control Tower'!$B$21=0)),0,IF(25&lt;'Control Tower'!$B$13,0,IF(25='Control Tower'!$B$13,$B$18,MAX(0,Z20*(1+'Control Tower'!$B$14/12)-AA19))))</f>
        <v/>
      </c>
      <c r="AB20" s="22">
        <f>IF(NOT(AND('Control Tower'!$B$16=0,'Control Tower'!$B$21=0)),0,IF(26&lt;'Control Tower'!$B$13,0,IF(26='Control Tower'!$B$13,$B$18,MAX(0,AA20*(1+'Control Tower'!$B$14/12)-AB19))))</f>
        <v/>
      </c>
      <c r="AC20" s="22">
        <f>IF(NOT(AND('Control Tower'!$B$16=0,'Control Tower'!$B$21=0)),0,IF(27&lt;'Control Tower'!$B$13,0,IF(27='Control Tower'!$B$13,$B$18,MAX(0,AB20*(1+'Control Tower'!$B$14/12)-AC19))))</f>
        <v/>
      </c>
      <c r="AD20" s="22">
        <f>IF(NOT(AND('Control Tower'!$B$16=0,'Control Tower'!$B$21=0)),0,IF(28&lt;'Control Tower'!$B$13,0,IF(28='Control Tower'!$B$13,$B$18,MAX(0,AC20*(1+'Control Tower'!$B$14/12)-AD19))))</f>
        <v/>
      </c>
      <c r="AE20" s="22">
        <f>IF(NOT(AND('Control Tower'!$B$16=0,'Control Tower'!$B$21=0)),0,IF(29&lt;'Control Tower'!$B$13,0,IF(29='Control Tower'!$B$13,$B$18,MAX(0,AD20*(1+'Control Tower'!$B$14/12)-AE19))))</f>
        <v/>
      </c>
      <c r="AF20" s="22">
        <f>IF(NOT(AND('Control Tower'!$B$16=0,'Control Tower'!$B$21=0)),0,IF(30&lt;'Control Tower'!$B$13,0,IF(30='Control Tower'!$B$13,$B$18,MAX(0,AE20*(1+'Control Tower'!$B$14/12)-AF19))))</f>
        <v/>
      </c>
      <c r="AG20" s="22">
        <f>IF(NOT(AND('Control Tower'!$B$16=0,'Control Tower'!$B$21=0)),0,IF(31&lt;'Control Tower'!$B$13,0,IF(31='Control Tower'!$B$13,$B$18,MAX(0,AF20*(1+'Control Tower'!$B$14/12)-AG19))))</f>
        <v/>
      </c>
      <c r="AH20" s="22">
        <f>IF(NOT(AND('Control Tower'!$B$16=0,'Control Tower'!$B$21=0)),0,IF(32&lt;'Control Tower'!$B$13,0,IF(32='Control Tower'!$B$13,$B$18,MAX(0,AG20*(1+'Control Tower'!$B$14/12)-AH19))))</f>
        <v/>
      </c>
      <c r="AI20" s="22">
        <f>IF(NOT(AND('Control Tower'!$B$16=0,'Control Tower'!$B$21=0)),0,IF(33&lt;'Control Tower'!$B$13,0,IF(33='Control Tower'!$B$13,$B$18,MAX(0,AH20*(1+'Control Tower'!$B$14/12)-AI19))))</f>
        <v/>
      </c>
      <c r="AJ20" s="22">
        <f>IF(NOT(AND('Control Tower'!$B$16=0,'Control Tower'!$B$21=0)),0,IF(34&lt;'Control Tower'!$B$13,0,IF(34='Control Tower'!$B$13,$B$18,MAX(0,AI20*(1+'Control Tower'!$B$14/12)-AJ19))))</f>
        <v/>
      </c>
      <c r="AK20" s="22">
        <f>IF(NOT(AND('Control Tower'!$B$16=0,'Control Tower'!$B$21=0)),0,IF(35&lt;'Control Tower'!$B$13,0,IF(35='Control Tower'!$B$13,$B$18,MAX(0,AJ20*(1+'Control Tower'!$B$14/12)-AK19))))</f>
        <v/>
      </c>
      <c r="AL20" s="22">
        <f>IF(NOT(AND('Control Tower'!$B$16=0,'Control Tower'!$B$21=0)),0,IF(36&lt;'Control Tower'!$B$13,0,IF(36='Control Tower'!$B$13,$B$18,MAX(0,AK20*(1+'Control Tower'!$B$14/12)-AL19))))</f>
        <v/>
      </c>
    </row>
    <row r="21">
      <c r="A21" s="4" t="inlineStr">
        <is>
          <t>Balloon refi - interest</t>
        </is>
      </c>
      <c r="C21" s="22">
        <f>0*'Control Tower'!$B$14/12*(C19&gt;0)</f>
        <v/>
      </c>
      <c r="D21" s="22">
        <f>C20*'Control Tower'!$B$14/12*(D19&gt;0)</f>
        <v/>
      </c>
      <c r="E21" s="22">
        <f>D20*'Control Tower'!$B$14/12*(E19&gt;0)</f>
        <v/>
      </c>
      <c r="F21" s="22">
        <f>E20*'Control Tower'!$B$14/12*(F19&gt;0)</f>
        <v/>
      </c>
      <c r="G21" s="22">
        <f>F20*'Control Tower'!$B$14/12*(G19&gt;0)</f>
        <v/>
      </c>
      <c r="H21" s="22">
        <f>G20*'Control Tower'!$B$14/12*(H19&gt;0)</f>
        <v/>
      </c>
      <c r="I21" s="22">
        <f>H20*'Control Tower'!$B$14/12*(I19&gt;0)</f>
        <v/>
      </c>
      <c r="J21" s="22">
        <f>I20*'Control Tower'!$B$14/12*(J19&gt;0)</f>
        <v/>
      </c>
      <c r="K21" s="22">
        <f>J20*'Control Tower'!$B$14/12*(K19&gt;0)</f>
        <v/>
      </c>
      <c r="L21" s="22">
        <f>K20*'Control Tower'!$B$14/12*(L19&gt;0)</f>
        <v/>
      </c>
      <c r="M21" s="22">
        <f>L20*'Control Tower'!$B$14/12*(M19&gt;0)</f>
        <v/>
      </c>
      <c r="N21" s="22">
        <f>M20*'Control Tower'!$B$14/12*(N19&gt;0)</f>
        <v/>
      </c>
      <c r="O21" s="22">
        <f>N20*'Control Tower'!$B$14/12*(O19&gt;0)</f>
        <v/>
      </c>
      <c r="P21" s="22">
        <f>O20*'Control Tower'!$B$14/12*(P19&gt;0)</f>
        <v/>
      </c>
      <c r="Q21" s="22">
        <f>P20*'Control Tower'!$B$14/12*(Q19&gt;0)</f>
        <v/>
      </c>
      <c r="R21" s="22">
        <f>Q20*'Control Tower'!$B$14/12*(R19&gt;0)</f>
        <v/>
      </c>
      <c r="S21" s="22">
        <f>R20*'Control Tower'!$B$14/12*(S19&gt;0)</f>
        <v/>
      </c>
      <c r="T21" s="22">
        <f>S20*'Control Tower'!$B$14/12*(T19&gt;0)</f>
        <v/>
      </c>
      <c r="U21" s="22">
        <f>T20*'Control Tower'!$B$14/12*(U19&gt;0)</f>
        <v/>
      </c>
      <c r="V21" s="22">
        <f>U20*'Control Tower'!$B$14/12*(V19&gt;0)</f>
        <v/>
      </c>
      <c r="W21" s="22">
        <f>V20*'Control Tower'!$B$14/12*(W19&gt;0)</f>
        <v/>
      </c>
      <c r="X21" s="22">
        <f>W20*'Control Tower'!$B$14/12*(X19&gt;0)</f>
        <v/>
      </c>
      <c r="Y21" s="22">
        <f>X20*'Control Tower'!$B$14/12*(Y19&gt;0)</f>
        <v/>
      </c>
      <c r="Z21" s="22">
        <f>Y20*'Control Tower'!$B$14/12*(Z19&gt;0)</f>
        <v/>
      </c>
      <c r="AA21" s="22">
        <f>Z20*'Control Tower'!$B$14/12*(AA19&gt;0)</f>
        <v/>
      </c>
      <c r="AB21" s="22">
        <f>AA20*'Control Tower'!$B$14/12*(AB19&gt;0)</f>
        <v/>
      </c>
      <c r="AC21" s="22">
        <f>AB20*'Control Tower'!$B$14/12*(AC19&gt;0)</f>
        <v/>
      </c>
      <c r="AD21" s="22">
        <f>AC20*'Control Tower'!$B$14/12*(AD19&gt;0)</f>
        <v/>
      </c>
      <c r="AE21" s="22">
        <f>AD20*'Control Tower'!$B$14/12*(AE19&gt;0)</f>
        <v/>
      </c>
      <c r="AF21" s="22">
        <f>AE20*'Control Tower'!$B$14/12*(AF19&gt;0)</f>
        <v/>
      </c>
      <c r="AG21" s="22">
        <f>AF20*'Control Tower'!$B$14/12*(AG19&gt;0)</f>
        <v/>
      </c>
      <c r="AH21" s="22">
        <f>AG20*'Control Tower'!$B$14/12*(AH19&gt;0)</f>
        <v/>
      </c>
      <c r="AI21" s="22">
        <f>AH20*'Control Tower'!$B$14/12*(AI19&gt;0)</f>
        <v/>
      </c>
      <c r="AJ21" s="22">
        <f>AI20*'Control Tower'!$B$14/12*(AJ19&gt;0)</f>
        <v/>
      </c>
      <c r="AK21" s="22">
        <f>AJ20*'Control Tower'!$B$14/12*(AK19&gt;0)</f>
        <v/>
      </c>
      <c r="AL21" s="22">
        <f>AK20*'Control Tower'!$B$14/12*(AL19&gt;0)</f>
        <v/>
      </c>
    </row>
    <row r="22">
      <c r="A22" s="4" t="inlineStr">
        <is>
          <t>Full refi - payment (P&amp;I)</t>
        </is>
      </c>
      <c r="C22" s="22">
        <f>IF(AND('Control Tower'!$B$16=1,1&gt;'Control Tower'!$B$17,1&lt;='Control Tower'!$B$17+'Control Tower'!$B$20,NOT(AND('Control Tower'!$B$21=1,1&gt;='Control Tower'!$B$22))),-PMT('Control Tower'!$B$19/12,'Control Tower'!$B$20,'Control Tower'!$B$18),0)</f>
        <v/>
      </c>
      <c r="D22" s="22">
        <f>IF(AND('Control Tower'!$B$16=1,2&gt;'Control Tower'!$B$17,2&lt;='Control Tower'!$B$17+'Control Tower'!$B$20,NOT(AND('Control Tower'!$B$21=1,2&gt;='Control Tower'!$B$22))),-PMT('Control Tower'!$B$19/12,'Control Tower'!$B$20,'Control Tower'!$B$18),0)</f>
        <v/>
      </c>
      <c r="E22" s="22">
        <f>IF(AND('Control Tower'!$B$16=1,3&gt;'Control Tower'!$B$17,3&lt;='Control Tower'!$B$17+'Control Tower'!$B$20,NOT(AND('Control Tower'!$B$21=1,3&gt;='Control Tower'!$B$22))),-PMT('Control Tower'!$B$19/12,'Control Tower'!$B$20,'Control Tower'!$B$18),0)</f>
        <v/>
      </c>
      <c r="F22" s="22">
        <f>IF(AND('Control Tower'!$B$16=1,4&gt;'Control Tower'!$B$17,4&lt;='Control Tower'!$B$17+'Control Tower'!$B$20,NOT(AND('Control Tower'!$B$21=1,4&gt;='Control Tower'!$B$22))),-PMT('Control Tower'!$B$19/12,'Control Tower'!$B$20,'Control Tower'!$B$18),0)</f>
        <v/>
      </c>
      <c r="G22" s="22">
        <f>IF(AND('Control Tower'!$B$16=1,5&gt;'Control Tower'!$B$17,5&lt;='Control Tower'!$B$17+'Control Tower'!$B$20,NOT(AND('Control Tower'!$B$21=1,5&gt;='Control Tower'!$B$22))),-PMT('Control Tower'!$B$19/12,'Control Tower'!$B$20,'Control Tower'!$B$18),0)</f>
        <v/>
      </c>
      <c r="H22" s="22">
        <f>IF(AND('Control Tower'!$B$16=1,6&gt;'Control Tower'!$B$17,6&lt;='Control Tower'!$B$17+'Control Tower'!$B$20,NOT(AND('Control Tower'!$B$21=1,6&gt;='Control Tower'!$B$22))),-PMT('Control Tower'!$B$19/12,'Control Tower'!$B$20,'Control Tower'!$B$18),0)</f>
        <v/>
      </c>
      <c r="I22" s="22">
        <f>IF(AND('Control Tower'!$B$16=1,7&gt;'Control Tower'!$B$17,7&lt;='Control Tower'!$B$17+'Control Tower'!$B$20,NOT(AND('Control Tower'!$B$21=1,7&gt;='Control Tower'!$B$22))),-PMT('Control Tower'!$B$19/12,'Control Tower'!$B$20,'Control Tower'!$B$18),0)</f>
        <v/>
      </c>
      <c r="J22" s="22">
        <f>IF(AND('Control Tower'!$B$16=1,8&gt;'Control Tower'!$B$17,8&lt;='Control Tower'!$B$17+'Control Tower'!$B$20,NOT(AND('Control Tower'!$B$21=1,8&gt;='Control Tower'!$B$22))),-PMT('Control Tower'!$B$19/12,'Control Tower'!$B$20,'Control Tower'!$B$18),0)</f>
        <v/>
      </c>
      <c r="K22" s="22">
        <f>IF(AND('Control Tower'!$B$16=1,9&gt;'Control Tower'!$B$17,9&lt;='Control Tower'!$B$17+'Control Tower'!$B$20,NOT(AND('Control Tower'!$B$21=1,9&gt;='Control Tower'!$B$22))),-PMT('Control Tower'!$B$19/12,'Control Tower'!$B$20,'Control Tower'!$B$18),0)</f>
        <v/>
      </c>
      <c r="L22" s="22">
        <f>IF(AND('Control Tower'!$B$16=1,10&gt;'Control Tower'!$B$17,10&lt;='Control Tower'!$B$17+'Control Tower'!$B$20,NOT(AND('Control Tower'!$B$21=1,10&gt;='Control Tower'!$B$22))),-PMT('Control Tower'!$B$19/12,'Control Tower'!$B$20,'Control Tower'!$B$18),0)</f>
        <v/>
      </c>
      <c r="M22" s="22">
        <f>IF(AND('Control Tower'!$B$16=1,11&gt;'Control Tower'!$B$17,11&lt;='Control Tower'!$B$17+'Control Tower'!$B$20,NOT(AND('Control Tower'!$B$21=1,11&gt;='Control Tower'!$B$22))),-PMT('Control Tower'!$B$19/12,'Control Tower'!$B$20,'Control Tower'!$B$18),0)</f>
        <v/>
      </c>
      <c r="N22" s="22">
        <f>IF(AND('Control Tower'!$B$16=1,12&gt;'Control Tower'!$B$17,12&lt;='Control Tower'!$B$17+'Control Tower'!$B$20,NOT(AND('Control Tower'!$B$21=1,12&gt;='Control Tower'!$B$22))),-PMT('Control Tower'!$B$19/12,'Control Tower'!$B$20,'Control Tower'!$B$18),0)</f>
        <v/>
      </c>
      <c r="O22" s="22">
        <f>IF(AND('Control Tower'!$B$16=1,13&gt;'Control Tower'!$B$17,13&lt;='Control Tower'!$B$17+'Control Tower'!$B$20,NOT(AND('Control Tower'!$B$21=1,13&gt;='Control Tower'!$B$22))),-PMT('Control Tower'!$B$19/12,'Control Tower'!$B$20,'Control Tower'!$B$18),0)</f>
        <v/>
      </c>
      <c r="P22" s="22">
        <f>IF(AND('Control Tower'!$B$16=1,14&gt;'Control Tower'!$B$17,14&lt;='Control Tower'!$B$17+'Control Tower'!$B$20,NOT(AND('Control Tower'!$B$21=1,14&gt;='Control Tower'!$B$22))),-PMT('Control Tower'!$B$19/12,'Control Tower'!$B$20,'Control Tower'!$B$18),0)</f>
        <v/>
      </c>
      <c r="Q22" s="22">
        <f>IF(AND('Control Tower'!$B$16=1,15&gt;'Control Tower'!$B$17,15&lt;='Control Tower'!$B$17+'Control Tower'!$B$20,NOT(AND('Control Tower'!$B$21=1,15&gt;='Control Tower'!$B$22))),-PMT('Control Tower'!$B$19/12,'Control Tower'!$B$20,'Control Tower'!$B$18),0)</f>
        <v/>
      </c>
      <c r="R22" s="22">
        <f>IF(AND('Control Tower'!$B$16=1,16&gt;'Control Tower'!$B$17,16&lt;='Control Tower'!$B$17+'Control Tower'!$B$20,NOT(AND('Control Tower'!$B$21=1,16&gt;='Control Tower'!$B$22))),-PMT('Control Tower'!$B$19/12,'Control Tower'!$B$20,'Control Tower'!$B$18),0)</f>
        <v/>
      </c>
      <c r="S22" s="22">
        <f>IF(AND('Control Tower'!$B$16=1,17&gt;'Control Tower'!$B$17,17&lt;='Control Tower'!$B$17+'Control Tower'!$B$20,NOT(AND('Control Tower'!$B$21=1,17&gt;='Control Tower'!$B$22))),-PMT('Control Tower'!$B$19/12,'Control Tower'!$B$20,'Control Tower'!$B$18),0)</f>
        <v/>
      </c>
      <c r="T22" s="22">
        <f>IF(AND('Control Tower'!$B$16=1,18&gt;'Control Tower'!$B$17,18&lt;='Control Tower'!$B$17+'Control Tower'!$B$20,NOT(AND('Control Tower'!$B$21=1,18&gt;='Control Tower'!$B$22))),-PMT('Control Tower'!$B$19/12,'Control Tower'!$B$20,'Control Tower'!$B$18),0)</f>
        <v/>
      </c>
      <c r="U22" s="22">
        <f>IF(AND('Control Tower'!$B$16=1,19&gt;'Control Tower'!$B$17,19&lt;='Control Tower'!$B$17+'Control Tower'!$B$20,NOT(AND('Control Tower'!$B$21=1,19&gt;='Control Tower'!$B$22))),-PMT('Control Tower'!$B$19/12,'Control Tower'!$B$20,'Control Tower'!$B$18),0)</f>
        <v/>
      </c>
      <c r="V22" s="22">
        <f>IF(AND('Control Tower'!$B$16=1,20&gt;'Control Tower'!$B$17,20&lt;='Control Tower'!$B$17+'Control Tower'!$B$20,NOT(AND('Control Tower'!$B$21=1,20&gt;='Control Tower'!$B$22))),-PMT('Control Tower'!$B$19/12,'Control Tower'!$B$20,'Control Tower'!$B$18),0)</f>
        <v/>
      </c>
      <c r="W22" s="22">
        <f>IF(AND('Control Tower'!$B$16=1,21&gt;'Control Tower'!$B$17,21&lt;='Control Tower'!$B$17+'Control Tower'!$B$20,NOT(AND('Control Tower'!$B$21=1,21&gt;='Control Tower'!$B$22))),-PMT('Control Tower'!$B$19/12,'Control Tower'!$B$20,'Control Tower'!$B$18),0)</f>
        <v/>
      </c>
      <c r="X22" s="22">
        <f>IF(AND('Control Tower'!$B$16=1,22&gt;'Control Tower'!$B$17,22&lt;='Control Tower'!$B$17+'Control Tower'!$B$20,NOT(AND('Control Tower'!$B$21=1,22&gt;='Control Tower'!$B$22))),-PMT('Control Tower'!$B$19/12,'Control Tower'!$B$20,'Control Tower'!$B$18),0)</f>
        <v/>
      </c>
      <c r="Y22" s="22">
        <f>IF(AND('Control Tower'!$B$16=1,23&gt;'Control Tower'!$B$17,23&lt;='Control Tower'!$B$17+'Control Tower'!$B$20,NOT(AND('Control Tower'!$B$21=1,23&gt;='Control Tower'!$B$22))),-PMT('Control Tower'!$B$19/12,'Control Tower'!$B$20,'Control Tower'!$B$18),0)</f>
        <v/>
      </c>
      <c r="Z22" s="22">
        <f>IF(AND('Control Tower'!$B$16=1,24&gt;'Control Tower'!$B$17,24&lt;='Control Tower'!$B$17+'Control Tower'!$B$20,NOT(AND('Control Tower'!$B$21=1,24&gt;='Control Tower'!$B$22))),-PMT('Control Tower'!$B$19/12,'Control Tower'!$B$20,'Control Tower'!$B$18),0)</f>
        <v/>
      </c>
      <c r="AA22" s="22">
        <f>IF(AND('Control Tower'!$B$16=1,25&gt;'Control Tower'!$B$17,25&lt;='Control Tower'!$B$17+'Control Tower'!$B$20,NOT(AND('Control Tower'!$B$21=1,25&gt;='Control Tower'!$B$22))),-PMT('Control Tower'!$B$19/12,'Control Tower'!$B$20,'Control Tower'!$B$18),0)</f>
        <v/>
      </c>
      <c r="AB22" s="22">
        <f>IF(AND('Control Tower'!$B$16=1,26&gt;'Control Tower'!$B$17,26&lt;='Control Tower'!$B$17+'Control Tower'!$B$20,NOT(AND('Control Tower'!$B$21=1,26&gt;='Control Tower'!$B$22))),-PMT('Control Tower'!$B$19/12,'Control Tower'!$B$20,'Control Tower'!$B$18),0)</f>
        <v/>
      </c>
      <c r="AC22" s="22">
        <f>IF(AND('Control Tower'!$B$16=1,27&gt;'Control Tower'!$B$17,27&lt;='Control Tower'!$B$17+'Control Tower'!$B$20,NOT(AND('Control Tower'!$B$21=1,27&gt;='Control Tower'!$B$22))),-PMT('Control Tower'!$B$19/12,'Control Tower'!$B$20,'Control Tower'!$B$18),0)</f>
        <v/>
      </c>
      <c r="AD22" s="22">
        <f>IF(AND('Control Tower'!$B$16=1,28&gt;'Control Tower'!$B$17,28&lt;='Control Tower'!$B$17+'Control Tower'!$B$20,NOT(AND('Control Tower'!$B$21=1,28&gt;='Control Tower'!$B$22))),-PMT('Control Tower'!$B$19/12,'Control Tower'!$B$20,'Control Tower'!$B$18),0)</f>
        <v/>
      </c>
      <c r="AE22" s="22">
        <f>IF(AND('Control Tower'!$B$16=1,29&gt;'Control Tower'!$B$17,29&lt;='Control Tower'!$B$17+'Control Tower'!$B$20,NOT(AND('Control Tower'!$B$21=1,29&gt;='Control Tower'!$B$22))),-PMT('Control Tower'!$B$19/12,'Control Tower'!$B$20,'Control Tower'!$B$18),0)</f>
        <v/>
      </c>
      <c r="AF22" s="22">
        <f>IF(AND('Control Tower'!$B$16=1,30&gt;'Control Tower'!$B$17,30&lt;='Control Tower'!$B$17+'Control Tower'!$B$20,NOT(AND('Control Tower'!$B$21=1,30&gt;='Control Tower'!$B$22))),-PMT('Control Tower'!$B$19/12,'Control Tower'!$B$20,'Control Tower'!$B$18),0)</f>
        <v/>
      </c>
      <c r="AG22" s="22">
        <f>IF(AND('Control Tower'!$B$16=1,31&gt;'Control Tower'!$B$17,31&lt;='Control Tower'!$B$17+'Control Tower'!$B$20,NOT(AND('Control Tower'!$B$21=1,31&gt;='Control Tower'!$B$22))),-PMT('Control Tower'!$B$19/12,'Control Tower'!$B$20,'Control Tower'!$B$18),0)</f>
        <v/>
      </c>
      <c r="AH22" s="22">
        <f>IF(AND('Control Tower'!$B$16=1,32&gt;'Control Tower'!$B$17,32&lt;='Control Tower'!$B$17+'Control Tower'!$B$20,NOT(AND('Control Tower'!$B$21=1,32&gt;='Control Tower'!$B$22))),-PMT('Control Tower'!$B$19/12,'Control Tower'!$B$20,'Control Tower'!$B$18),0)</f>
        <v/>
      </c>
      <c r="AI22" s="22">
        <f>IF(AND('Control Tower'!$B$16=1,33&gt;'Control Tower'!$B$17,33&lt;='Control Tower'!$B$17+'Control Tower'!$B$20,NOT(AND('Control Tower'!$B$21=1,33&gt;='Control Tower'!$B$22))),-PMT('Control Tower'!$B$19/12,'Control Tower'!$B$20,'Control Tower'!$B$18),0)</f>
        <v/>
      </c>
      <c r="AJ22" s="22">
        <f>IF(AND('Control Tower'!$B$16=1,34&gt;'Control Tower'!$B$17,34&lt;='Control Tower'!$B$17+'Control Tower'!$B$20,NOT(AND('Control Tower'!$B$21=1,34&gt;='Control Tower'!$B$22))),-PMT('Control Tower'!$B$19/12,'Control Tower'!$B$20,'Control Tower'!$B$18),0)</f>
        <v/>
      </c>
      <c r="AK22" s="22">
        <f>IF(AND('Control Tower'!$B$16=1,35&gt;'Control Tower'!$B$17,35&lt;='Control Tower'!$B$17+'Control Tower'!$B$20,NOT(AND('Control Tower'!$B$21=1,35&gt;='Control Tower'!$B$22))),-PMT('Control Tower'!$B$19/12,'Control Tower'!$B$20,'Control Tower'!$B$18),0)</f>
        <v/>
      </c>
      <c r="AL22" s="22">
        <f>IF(AND('Control Tower'!$B$16=1,36&gt;'Control Tower'!$B$17,36&lt;='Control Tower'!$B$17+'Control Tower'!$B$20,NOT(AND('Control Tower'!$B$21=1,36&gt;='Control Tower'!$B$22))),-PMT('Control Tower'!$B$19/12,'Control Tower'!$B$20,'Control Tower'!$B$18),0)</f>
        <v/>
      </c>
    </row>
    <row r="23">
      <c r="A23" s="4" t="inlineStr">
        <is>
          <t>Full refi - balance (end) [retired by SBA at funding]</t>
        </is>
      </c>
      <c r="C23" s="22">
        <f>IF(AND('Control Tower'!$B$21=1,1&gt;='Control Tower'!$B$22),0,IF(NOT('Control Tower'!$B$16=1),0,IF(1&lt;'Control Tower'!$B$17,0,IF(1='Control Tower'!$B$17,'Control Tower'!$B$18,MAX(0,0*(1+'Control Tower'!$B$19/12)-C22)))))</f>
        <v/>
      </c>
      <c r="D23" s="22">
        <f>IF(AND('Control Tower'!$B$21=1,2&gt;='Control Tower'!$B$22),0,IF(NOT('Control Tower'!$B$16=1),0,IF(2&lt;'Control Tower'!$B$17,0,IF(2='Control Tower'!$B$17,'Control Tower'!$B$18,MAX(0,C23*(1+'Control Tower'!$B$19/12)-D22)))))</f>
        <v/>
      </c>
      <c r="E23" s="22">
        <f>IF(AND('Control Tower'!$B$21=1,3&gt;='Control Tower'!$B$22),0,IF(NOT('Control Tower'!$B$16=1),0,IF(3&lt;'Control Tower'!$B$17,0,IF(3='Control Tower'!$B$17,'Control Tower'!$B$18,MAX(0,D23*(1+'Control Tower'!$B$19/12)-E22)))))</f>
        <v/>
      </c>
      <c r="F23" s="22">
        <f>IF(AND('Control Tower'!$B$21=1,4&gt;='Control Tower'!$B$22),0,IF(NOT('Control Tower'!$B$16=1),0,IF(4&lt;'Control Tower'!$B$17,0,IF(4='Control Tower'!$B$17,'Control Tower'!$B$18,MAX(0,E23*(1+'Control Tower'!$B$19/12)-F22)))))</f>
        <v/>
      </c>
      <c r="G23" s="22">
        <f>IF(AND('Control Tower'!$B$21=1,5&gt;='Control Tower'!$B$22),0,IF(NOT('Control Tower'!$B$16=1),0,IF(5&lt;'Control Tower'!$B$17,0,IF(5='Control Tower'!$B$17,'Control Tower'!$B$18,MAX(0,F23*(1+'Control Tower'!$B$19/12)-G22)))))</f>
        <v/>
      </c>
      <c r="H23" s="22">
        <f>IF(AND('Control Tower'!$B$21=1,6&gt;='Control Tower'!$B$22),0,IF(NOT('Control Tower'!$B$16=1),0,IF(6&lt;'Control Tower'!$B$17,0,IF(6='Control Tower'!$B$17,'Control Tower'!$B$18,MAX(0,G23*(1+'Control Tower'!$B$19/12)-H22)))))</f>
        <v/>
      </c>
      <c r="I23" s="22">
        <f>IF(AND('Control Tower'!$B$21=1,7&gt;='Control Tower'!$B$22),0,IF(NOT('Control Tower'!$B$16=1),0,IF(7&lt;'Control Tower'!$B$17,0,IF(7='Control Tower'!$B$17,'Control Tower'!$B$18,MAX(0,H23*(1+'Control Tower'!$B$19/12)-I22)))))</f>
        <v/>
      </c>
      <c r="J23" s="22">
        <f>IF(AND('Control Tower'!$B$21=1,8&gt;='Control Tower'!$B$22),0,IF(NOT('Control Tower'!$B$16=1),0,IF(8&lt;'Control Tower'!$B$17,0,IF(8='Control Tower'!$B$17,'Control Tower'!$B$18,MAX(0,I23*(1+'Control Tower'!$B$19/12)-J22)))))</f>
        <v/>
      </c>
      <c r="K23" s="22">
        <f>IF(AND('Control Tower'!$B$21=1,9&gt;='Control Tower'!$B$22),0,IF(NOT('Control Tower'!$B$16=1),0,IF(9&lt;'Control Tower'!$B$17,0,IF(9='Control Tower'!$B$17,'Control Tower'!$B$18,MAX(0,J23*(1+'Control Tower'!$B$19/12)-K22)))))</f>
        <v/>
      </c>
      <c r="L23" s="22">
        <f>IF(AND('Control Tower'!$B$21=1,10&gt;='Control Tower'!$B$22),0,IF(NOT('Control Tower'!$B$16=1),0,IF(10&lt;'Control Tower'!$B$17,0,IF(10='Control Tower'!$B$17,'Control Tower'!$B$18,MAX(0,K23*(1+'Control Tower'!$B$19/12)-L22)))))</f>
        <v/>
      </c>
      <c r="M23" s="22">
        <f>IF(AND('Control Tower'!$B$21=1,11&gt;='Control Tower'!$B$22),0,IF(NOT('Control Tower'!$B$16=1),0,IF(11&lt;'Control Tower'!$B$17,0,IF(11='Control Tower'!$B$17,'Control Tower'!$B$18,MAX(0,L23*(1+'Control Tower'!$B$19/12)-M22)))))</f>
        <v/>
      </c>
      <c r="N23" s="22">
        <f>IF(AND('Control Tower'!$B$21=1,12&gt;='Control Tower'!$B$22),0,IF(NOT('Control Tower'!$B$16=1),0,IF(12&lt;'Control Tower'!$B$17,0,IF(12='Control Tower'!$B$17,'Control Tower'!$B$18,MAX(0,M23*(1+'Control Tower'!$B$19/12)-N22)))))</f>
        <v/>
      </c>
      <c r="O23" s="22">
        <f>IF(AND('Control Tower'!$B$21=1,13&gt;='Control Tower'!$B$22),0,IF(NOT('Control Tower'!$B$16=1),0,IF(13&lt;'Control Tower'!$B$17,0,IF(13='Control Tower'!$B$17,'Control Tower'!$B$18,MAX(0,N23*(1+'Control Tower'!$B$19/12)-O22)))))</f>
        <v/>
      </c>
      <c r="P23" s="22">
        <f>IF(AND('Control Tower'!$B$21=1,14&gt;='Control Tower'!$B$22),0,IF(NOT('Control Tower'!$B$16=1),0,IF(14&lt;'Control Tower'!$B$17,0,IF(14='Control Tower'!$B$17,'Control Tower'!$B$18,MAX(0,O23*(1+'Control Tower'!$B$19/12)-P22)))))</f>
        <v/>
      </c>
      <c r="Q23" s="22">
        <f>IF(AND('Control Tower'!$B$21=1,15&gt;='Control Tower'!$B$22),0,IF(NOT('Control Tower'!$B$16=1),0,IF(15&lt;'Control Tower'!$B$17,0,IF(15='Control Tower'!$B$17,'Control Tower'!$B$18,MAX(0,P23*(1+'Control Tower'!$B$19/12)-Q22)))))</f>
        <v/>
      </c>
      <c r="R23" s="22">
        <f>IF(AND('Control Tower'!$B$21=1,16&gt;='Control Tower'!$B$22),0,IF(NOT('Control Tower'!$B$16=1),0,IF(16&lt;'Control Tower'!$B$17,0,IF(16='Control Tower'!$B$17,'Control Tower'!$B$18,MAX(0,Q23*(1+'Control Tower'!$B$19/12)-R22)))))</f>
        <v/>
      </c>
      <c r="S23" s="22">
        <f>IF(AND('Control Tower'!$B$21=1,17&gt;='Control Tower'!$B$22),0,IF(NOT('Control Tower'!$B$16=1),0,IF(17&lt;'Control Tower'!$B$17,0,IF(17='Control Tower'!$B$17,'Control Tower'!$B$18,MAX(0,R23*(1+'Control Tower'!$B$19/12)-S22)))))</f>
        <v/>
      </c>
      <c r="T23" s="22">
        <f>IF(AND('Control Tower'!$B$21=1,18&gt;='Control Tower'!$B$22),0,IF(NOT('Control Tower'!$B$16=1),0,IF(18&lt;'Control Tower'!$B$17,0,IF(18='Control Tower'!$B$17,'Control Tower'!$B$18,MAX(0,S23*(1+'Control Tower'!$B$19/12)-T22)))))</f>
        <v/>
      </c>
      <c r="U23" s="22">
        <f>IF(AND('Control Tower'!$B$21=1,19&gt;='Control Tower'!$B$22),0,IF(NOT('Control Tower'!$B$16=1),0,IF(19&lt;'Control Tower'!$B$17,0,IF(19='Control Tower'!$B$17,'Control Tower'!$B$18,MAX(0,T23*(1+'Control Tower'!$B$19/12)-U22)))))</f>
        <v/>
      </c>
      <c r="V23" s="22">
        <f>IF(AND('Control Tower'!$B$21=1,20&gt;='Control Tower'!$B$22),0,IF(NOT('Control Tower'!$B$16=1),0,IF(20&lt;'Control Tower'!$B$17,0,IF(20='Control Tower'!$B$17,'Control Tower'!$B$18,MAX(0,U23*(1+'Control Tower'!$B$19/12)-V22)))))</f>
        <v/>
      </c>
      <c r="W23" s="22">
        <f>IF(AND('Control Tower'!$B$21=1,21&gt;='Control Tower'!$B$22),0,IF(NOT('Control Tower'!$B$16=1),0,IF(21&lt;'Control Tower'!$B$17,0,IF(21='Control Tower'!$B$17,'Control Tower'!$B$18,MAX(0,V23*(1+'Control Tower'!$B$19/12)-W22)))))</f>
        <v/>
      </c>
      <c r="X23" s="22">
        <f>IF(AND('Control Tower'!$B$21=1,22&gt;='Control Tower'!$B$22),0,IF(NOT('Control Tower'!$B$16=1),0,IF(22&lt;'Control Tower'!$B$17,0,IF(22='Control Tower'!$B$17,'Control Tower'!$B$18,MAX(0,W23*(1+'Control Tower'!$B$19/12)-X22)))))</f>
        <v/>
      </c>
      <c r="Y23" s="22">
        <f>IF(AND('Control Tower'!$B$21=1,23&gt;='Control Tower'!$B$22),0,IF(NOT('Control Tower'!$B$16=1),0,IF(23&lt;'Control Tower'!$B$17,0,IF(23='Control Tower'!$B$17,'Control Tower'!$B$18,MAX(0,X23*(1+'Control Tower'!$B$19/12)-Y22)))))</f>
        <v/>
      </c>
      <c r="Z23" s="22">
        <f>IF(AND('Control Tower'!$B$21=1,24&gt;='Control Tower'!$B$22),0,IF(NOT('Control Tower'!$B$16=1),0,IF(24&lt;'Control Tower'!$B$17,0,IF(24='Control Tower'!$B$17,'Control Tower'!$B$18,MAX(0,Y23*(1+'Control Tower'!$B$19/12)-Z22)))))</f>
        <v/>
      </c>
      <c r="AA23" s="22">
        <f>IF(AND('Control Tower'!$B$21=1,25&gt;='Control Tower'!$B$22),0,IF(NOT('Control Tower'!$B$16=1),0,IF(25&lt;'Control Tower'!$B$17,0,IF(25='Control Tower'!$B$17,'Control Tower'!$B$18,MAX(0,Z23*(1+'Control Tower'!$B$19/12)-AA22)))))</f>
        <v/>
      </c>
      <c r="AB23" s="22">
        <f>IF(AND('Control Tower'!$B$21=1,26&gt;='Control Tower'!$B$22),0,IF(NOT('Control Tower'!$B$16=1),0,IF(26&lt;'Control Tower'!$B$17,0,IF(26='Control Tower'!$B$17,'Control Tower'!$B$18,MAX(0,AA23*(1+'Control Tower'!$B$19/12)-AB22)))))</f>
        <v/>
      </c>
      <c r="AC23" s="22">
        <f>IF(AND('Control Tower'!$B$21=1,27&gt;='Control Tower'!$B$22),0,IF(NOT('Control Tower'!$B$16=1),0,IF(27&lt;'Control Tower'!$B$17,0,IF(27='Control Tower'!$B$17,'Control Tower'!$B$18,MAX(0,AB23*(1+'Control Tower'!$B$19/12)-AC22)))))</f>
        <v/>
      </c>
      <c r="AD23" s="22">
        <f>IF(AND('Control Tower'!$B$21=1,28&gt;='Control Tower'!$B$22),0,IF(NOT('Control Tower'!$B$16=1),0,IF(28&lt;'Control Tower'!$B$17,0,IF(28='Control Tower'!$B$17,'Control Tower'!$B$18,MAX(0,AC23*(1+'Control Tower'!$B$19/12)-AD22)))))</f>
        <v/>
      </c>
      <c r="AE23" s="22">
        <f>IF(AND('Control Tower'!$B$21=1,29&gt;='Control Tower'!$B$22),0,IF(NOT('Control Tower'!$B$16=1),0,IF(29&lt;'Control Tower'!$B$17,0,IF(29='Control Tower'!$B$17,'Control Tower'!$B$18,MAX(0,AD23*(1+'Control Tower'!$B$19/12)-AE22)))))</f>
        <v/>
      </c>
      <c r="AF23" s="22">
        <f>IF(AND('Control Tower'!$B$21=1,30&gt;='Control Tower'!$B$22),0,IF(NOT('Control Tower'!$B$16=1),0,IF(30&lt;'Control Tower'!$B$17,0,IF(30='Control Tower'!$B$17,'Control Tower'!$B$18,MAX(0,AE23*(1+'Control Tower'!$B$19/12)-AF22)))))</f>
        <v/>
      </c>
      <c r="AG23" s="22">
        <f>IF(AND('Control Tower'!$B$21=1,31&gt;='Control Tower'!$B$22),0,IF(NOT('Control Tower'!$B$16=1),0,IF(31&lt;'Control Tower'!$B$17,0,IF(31='Control Tower'!$B$17,'Control Tower'!$B$18,MAX(0,AF23*(1+'Control Tower'!$B$19/12)-AG22)))))</f>
        <v/>
      </c>
      <c r="AH23" s="22">
        <f>IF(AND('Control Tower'!$B$21=1,32&gt;='Control Tower'!$B$22),0,IF(NOT('Control Tower'!$B$16=1),0,IF(32&lt;'Control Tower'!$B$17,0,IF(32='Control Tower'!$B$17,'Control Tower'!$B$18,MAX(0,AG23*(1+'Control Tower'!$B$19/12)-AH22)))))</f>
        <v/>
      </c>
      <c r="AI23" s="22">
        <f>IF(AND('Control Tower'!$B$21=1,33&gt;='Control Tower'!$B$22),0,IF(NOT('Control Tower'!$B$16=1),0,IF(33&lt;'Control Tower'!$B$17,0,IF(33='Control Tower'!$B$17,'Control Tower'!$B$18,MAX(0,AH23*(1+'Control Tower'!$B$19/12)-AI22)))))</f>
        <v/>
      </c>
      <c r="AJ23" s="22">
        <f>IF(AND('Control Tower'!$B$21=1,34&gt;='Control Tower'!$B$22),0,IF(NOT('Control Tower'!$B$16=1),0,IF(34&lt;'Control Tower'!$B$17,0,IF(34='Control Tower'!$B$17,'Control Tower'!$B$18,MAX(0,AI23*(1+'Control Tower'!$B$19/12)-AJ22)))))</f>
        <v/>
      </c>
      <c r="AK23" s="22">
        <f>IF(AND('Control Tower'!$B$21=1,35&gt;='Control Tower'!$B$22),0,IF(NOT('Control Tower'!$B$16=1),0,IF(35&lt;'Control Tower'!$B$17,0,IF(35='Control Tower'!$B$17,'Control Tower'!$B$18,MAX(0,AJ23*(1+'Control Tower'!$B$19/12)-AK22)))))</f>
        <v/>
      </c>
      <c r="AL23" s="22">
        <f>IF(AND('Control Tower'!$B$21=1,36&gt;='Control Tower'!$B$22),0,IF(NOT('Control Tower'!$B$16=1),0,IF(36&lt;'Control Tower'!$B$17,0,IF(36='Control Tower'!$B$17,'Control Tower'!$B$18,MAX(0,AK23*(1+'Control Tower'!$B$19/12)-AL22)))))</f>
        <v/>
      </c>
    </row>
    <row r="24">
      <c r="A24" s="4" t="inlineStr">
        <is>
          <t>Full refi - interest</t>
        </is>
      </c>
      <c r="C24" s="22">
        <f>0*'Control Tower'!$B$19/12*(C22&gt;0)</f>
        <v/>
      </c>
      <c r="D24" s="22">
        <f>C23*'Control Tower'!$B$19/12*(D22&gt;0)</f>
        <v/>
      </c>
      <c r="E24" s="22">
        <f>D23*'Control Tower'!$B$19/12*(E22&gt;0)</f>
        <v/>
      </c>
      <c r="F24" s="22">
        <f>E23*'Control Tower'!$B$19/12*(F22&gt;0)</f>
        <v/>
      </c>
      <c r="G24" s="22">
        <f>F23*'Control Tower'!$B$19/12*(G22&gt;0)</f>
        <v/>
      </c>
      <c r="H24" s="22">
        <f>G23*'Control Tower'!$B$19/12*(H22&gt;0)</f>
        <v/>
      </c>
      <c r="I24" s="22">
        <f>H23*'Control Tower'!$B$19/12*(I22&gt;0)</f>
        <v/>
      </c>
      <c r="J24" s="22">
        <f>I23*'Control Tower'!$B$19/12*(J22&gt;0)</f>
        <v/>
      </c>
      <c r="K24" s="22">
        <f>J23*'Control Tower'!$B$19/12*(K22&gt;0)</f>
        <v/>
      </c>
      <c r="L24" s="22">
        <f>K23*'Control Tower'!$B$19/12*(L22&gt;0)</f>
        <v/>
      </c>
      <c r="M24" s="22">
        <f>L23*'Control Tower'!$B$19/12*(M22&gt;0)</f>
        <v/>
      </c>
      <c r="N24" s="22">
        <f>M23*'Control Tower'!$B$19/12*(N22&gt;0)</f>
        <v/>
      </c>
      <c r="O24" s="22">
        <f>N23*'Control Tower'!$B$19/12*(O22&gt;0)</f>
        <v/>
      </c>
      <c r="P24" s="22">
        <f>O23*'Control Tower'!$B$19/12*(P22&gt;0)</f>
        <v/>
      </c>
      <c r="Q24" s="22">
        <f>P23*'Control Tower'!$B$19/12*(Q22&gt;0)</f>
        <v/>
      </c>
      <c r="R24" s="22">
        <f>Q23*'Control Tower'!$B$19/12*(R22&gt;0)</f>
        <v/>
      </c>
      <c r="S24" s="22">
        <f>R23*'Control Tower'!$B$19/12*(S22&gt;0)</f>
        <v/>
      </c>
      <c r="T24" s="22">
        <f>S23*'Control Tower'!$B$19/12*(T22&gt;0)</f>
        <v/>
      </c>
      <c r="U24" s="22">
        <f>T23*'Control Tower'!$B$19/12*(U22&gt;0)</f>
        <v/>
      </c>
      <c r="V24" s="22">
        <f>U23*'Control Tower'!$B$19/12*(V22&gt;0)</f>
        <v/>
      </c>
      <c r="W24" s="22">
        <f>V23*'Control Tower'!$B$19/12*(W22&gt;0)</f>
        <v/>
      </c>
      <c r="X24" s="22">
        <f>W23*'Control Tower'!$B$19/12*(X22&gt;0)</f>
        <v/>
      </c>
      <c r="Y24" s="22">
        <f>X23*'Control Tower'!$B$19/12*(Y22&gt;0)</f>
        <v/>
      </c>
      <c r="Z24" s="22">
        <f>Y23*'Control Tower'!$B$19/12*(Z22&gt;0)</f>
        <v/>
      </c>
      <c r="AA24" s="22">
        <f>Z23*'Control Tower'!$B$19/12*(AA22&gt;0)</f>
        <v/>
      </c>
      <c r="AB24" s="22">
        <f>AA23*'Control Tower'!$B$19/12*(AB22&gt;0)</f>
        <v/>
      </c>
      <c r="AC24" s="22">
        <f>AB23*'Control Tower'!$B$19/12*(AC22&gt;0)</f>
        <v/>
      </c>
      <c r="AD24" s="22">
        <f>AC23*'Control Tower'!$B$19/12*(AD22&gt;0)</f>
        <v/>
      </c>
      <c r="AE24" s="22">
        <f>AD23*'Control Tower'!$B$19/12*(AE22&gt;0)</f>
        <v/>
      </c>
      <c r="AF24" s="22">
        <f>AE23*'Control Tower'!$B$19/12*(AF22&gt;0)</f>
        <v/>
      </c>
      <c r="AG24" s="22">
        <f>AF23*'Control Tower'!$B$19/12*(AG22&gt;0)</f>
        <v/>
      </c>
      <c r="AH24" s="22">
        <f>AG23*'Control Tower'!$B$19/12*(AH22&gt;0)</f>
        <v/>
      </c>
      <c r="AI24" s="22">
        <f>AH23*'Control Tower'!$B$19/12*(AI22&gt;0)</f>
        <v/>
      </c>
      <c r="AJ24" s="22">
        <f>AI23*'Control Tower'!$B$19/12*(AJ22&gt;0)</f>
        <v/>
      </c>
      <c r="AK24" s="22">
        <f>AJ23*'Control Tower'!$B$19/12*(AK22&gt;0)</f>
        <v/>
      </c>
      <c r="AL24" s="22">
        <f>AK23*'Control Tower'!$B$19/12*(AL22&gt;0)</f>
        <v/>
      </c>
    </row>
    <row r="25">
      <c r="A25" s="4" t="inlineStr">
        <is>
          <t>SBA 7(a) - payment (P&amp;I)</t>
        </is>
      </c>
      <c r="C25" s="22">
        <f>IF(AND('Control Tower'!$B$21=1,1&gt;'Control Tower'!$B$22,1&lt;='Control Tower'!$B$22+'Control Tower'!$B$25),-PMT('Control Tower'!$B$24/12,'Control Tower'!$B$25,'Control Tower'!$B$23),0)</f>
        <v/>
      </c>
      <c r="D25" s="22">
        <f>IF(AND('Control Tower'!$B$21=1,2&gt;'Control Tower'!$B$22,2&lt;='Control Tower'!$B$22+'Control Tower'!$B$25),-PMT('Control Tower'!$B$24/12,'Control Tower'!$B$25,'Control Tower'!$B$23),0)</f>
        <v/>
      </c>
      <c r="E25" s="22">
        <f>IF(AND('Control Tower'!$B$21=1,3&gt;'Control Tower'!$B$22,3&lt;='Control Tower'!$B$22+'Control Tower'!$B$25),-PMT('Control Tower'!$B$24/12,'Control Tower'!$B$25,'Control Tower'!$B$23),0)</f>
        <v/>
      </c>
      <c r="F25" s="22">
        <f>IF(AND('Control Tower'!$B$21=1,4&gt;'Control Tower'!$B$22,4&lt;='Control Tower'!$B$22+'Control Tower'!$B$25),-PMT('Control Tower'!$B$24/12,'Control Tower'!$B$25,'Control Tower'!$B$23),0)</f>
        <v/>
      </c>
      <c r="G25" s="22">
        <f>IF(AND('Control Tower'!$B$21=1,5&gt;'Control Tower'!$B$22,5&lt;='Control Tower'!$B$22+'Control Tower'!$B$25),-PMT('Control Tower'!$B$24/12,'Control Tower'!$B$25,'Control Tower'!$B$23),0)</f>
        <v/>
      </c>
      <c r="H25" s="22">
        <f>IF(AND('Control Tower'!$B$21=1,6&gt;'Control Tower'!$B$22,6&lt;='Control Tower'!$B$22+'Control Tower'!$B$25),-PMT('Control Tower'!$B$24/12,'Control Tower'!$B$25,'Control Tower'!$B$23),0)</f>
        <v/>
      </c>
      <c r="I25" s="22">
        <f>IF(AND('Control Tower'!$B$21=1,7&gt;'Control Tower'!$B$22,7&lt;='Control Tower'!$B$22+'Control Tower'!$B$25),-PMT('Control Tower'!$B$24/12,'Control Tower'!$B$25,'Control Tower'!$B$23),0)</f>
        <v/>
      </c>
      <c r="J25" s="22">
        <f>IF(AND('Control Tower'!$B$21=1,8&gt;'Control Tower'!$B$22,8&lt;='Control Tower'!$B$22+'Control Tower'!$B$25),-PMT('Control Tower'!$B$24/12,'Control Tower'!$B$25,'Control Tower'!$B$23),0)</f>
        <v/>
      </c>
      <c r="K25" s="22">
        <f>IF(AND('Control Tower'!$B$21=1,9&gt;'Control Tower'!$B$22,9&lt;='Control Tower'!$B$22+'Control Tower'!$B$25),-PMT('Control Tower'!$B$24/12,'Control Tower'!$B$25,'Control Tower'!$B$23),0)</f>
        <v/>
      </c>
      <c r="L25" s="22">
        <f>IF(AND('Control Tower'!$B$21=1,10&gt;'Control Tower'!$B$22,10&lt;='Control Tower'!$B$22+'Control Tower'!$B$25),-PMT('Control Tower'!$B$24/12,'Control Tower'!$B$25,'Control Tower'!$B$23),0)</f>
        <v/>
      </c>
      <c r="M25" s="22">
        <f>IF(AND('Control Tower'!$B$21=1,11&gt;'Control Tower'!$B$22,11&lt;='Control Tower'!$B$22+'Control Tower'!$B$25),-PMT('Control Tower'!$B$24/12,'Control Tower'!$B$25,'Control Tower'!$B$23),0)</f>
        <v/>
      </c>
      <c r="N25" s="22">
        <f>IF(AND('Control Tower'!$B$21=1,12&gt;'Control Tower'!$B$22,12&lt;='Control Tower'!$B$22+'Control Tower'!$B$25),-PMT('Control Tower'!$B$24/12,'Control Tower'!$B$25,'Control Tower'!$B$23),0)</f>
        <v/>
      </c>
      <c r="O25" s="22">
        <f>IF(AND('Control Tower'!$B$21=1,13&gt;'Control Tower'!$B$22,13&lt;='Control Tower'!$B$22+'Control Tower'!$B$25),-PMT('Control Tower'!$B$24/12,'Control Tower'!$B$25,'Control Tower'!$B$23),0)</f>
        <v/>
      </c>
      <c r="P25" s="22">
        <f>IF(AND('Control Tower'!$B$21=1,14&gt;'Control Tower'!$B$22,14&lt;='Control Tower'!$B$22+'Control Tower'!$B$25),-PMT('Control Tower'!$B$24/12,'Control Tower'!$B$25,'Control Tower'!$B$23),0)</f>
        <v/>
      </c>
      <c r="Q25" s="22">
        <f>IF(AND('Control Tower'!$B$21=1,15&gt;'Control Tower'!$B$22,15&lt;='Control Tower'!$B$22+'Control Tower'!$B$25),-PMT('Control Tower'!$B$24/12,'Control Tower'!$B$25,'Control Tower'!$B$23),0)</f>
        <v/>
      </c>
      <c r="R25" s="22">
        <f>IF(AND('Control Tower'!$B$21=1,16&gt;'Control Tower'!$B$22,16&lt;='Control Tower'!$B$22+'Control Tower'!$B$25),-PMT('Control Tower'!$B$24/12,'Control Tower'!$B$25,'Control Tower'!$B$23),0)</f>
        <v/>
      </c>
      <c r="S25" s="22">
        <f>IF(AND('Control Tower'!$B$21=1,17&gt;'Control Tower'!$B$22,17&lt;='Control Tower'!$B$22+'Control Tower'!$B$25),-PMT('Control Tower'!$B$24/12,'Control Tower'!$B$25,'Control Tower'!$B$23),0)</f>
        <v/>
      </c>
      <c r="T25" s="22">
        <f>IF(AND('Control Tower'!$B$21=1,18&gt;'Control Tower'!$B$22,18&lt;='Control Tower'!$B$22+'Control Tower'!$B$25),-PMT('Control Tower'!$B$24/12,'Control Tower'!$B$25,'Control Tower'!$B$23),0)</f>
        <v/>
      </c>
      <c r="U25" s="22">
        <f>IF(AND('Control Tower'!$B$21=1,19&gt;'Control Tower'!$B$22,19&lt;='Control Tower'!$B$22+'Control Tower'!$B$25),-PMT('Control Tower'!$B$24/12,'Control Tower'!$B$25,'Control Tower'!$B$23),0)</f>
        <v/>
      </c>
      <c r="V25" s="22">
        <f>IF(AND('Control Tower'!$B$21=1,20&gt;'Control Tower'!$B$22,20&lt;='Control Tower'!$B$22+'Control Tower'!$B$25),-PMT('Control Tower'!$B$24/12,'Control Tower'!$B$25,'Control Tower'!$B$23),0)</f>
        <v/>
      </c>
      <c r="W25" s="22">
        <f>IF(AND('Control Tower'!$B$21=1,21&gt;'Control Tower'!$B$22,21&lt;='Control Tower'!$B$22+'Control Tower'!$B$25),-PMT('Control Tower'!$B$24/12,'Control Tower'!$B$25,'Control Tower'!$B$23),0)</f>
        <v/>
      </c>
      <c r="X25" s="22">
        <f>IF(AND('Control Tower'!$B$21=1,22&gt;'Control Tower'!$B$22,22&lt;='Control Tower'!$B$22+'Control Tower'!$B$25),-PMT('Control Tower'!$B$24/12,'Control Tower'!$B$25,'Control Tower'!$B$23),0)</f>
        <v/>
      </c>
      <c r="Y25" s="22">
        <f>IF(AND('Control Tower'!$B$21=1,23&gt;'Control Tower'!$B$22,23&lt;='Control Tower'!$B$22+'Control Tower'!$B$25),-PMT('Control Tower'!$B$24/12,'Control Tower'!$B$25,'Control Tower'!$B$23),0)</f>
        <v/>
      </c>
      <c r="Z25" s="22">
        <f>IF(AND('Control Tower'!$B$21=1,24&gt;'Control Tower'!$B$22,24&lt;='Control Tower'!$B$22+'Control Tower'!$B$25),-PMT('Control Tower'!$B$24/12,'Control Tower'!$B$25,'Control Tower'!$B$23),0)</f>
        <v/>
      </c>
      <c r="AA25" s="22">
        <f>IF(AND('Control Tower'!$B$21=1,25&gt;'Control Tower'!$B$22,25&lt;='Control Tower'!$B$22+'Control Tower'!$B$25),-PMT('Control Tower'!$B$24/12,'Control Tower'!$B$25,'Control Tower'!$B$23),0)</f>
        <v/>
      </c>
      <c r="AB25" s="22">
        <f>IF(AND('Control Tower'!$B$21=1,26&gt;'Control Tower'!$B$22,26&lt;='Control Tower'!$B$22+'Control Tower'!$B$25),-PMT('Control Tower'!$B$24/12,'Control Tower'!$B$25,'Control Tower'!$B$23),0)</f>
        <v/>
      </c>
      <c r="AC25" s="22">
        <f>IF(AND('Control Tower'!$B$21=1,27&gt;'Control Tower'!$B$22,27&lt;='Control Tower'!$B$22+'Control Tower'!$B$25),-PMT('Control Tower'!$B$24/12,'Control Tower'!$B$25,'Control Tower'!$B$23),0)</f>
        <v/>
      </c>
      <c r="AD25" s="22">
        <f>IF(AND('Control Tower'!$B$21=1,28&gt;'Control Tower'!$B$22,28&lt;='Control Tower'!$B$22+'Control Tower'!$B$25),-PMT('Control Tower'!$B$24/12,'Control Tower'!$B$25,'Control Tower'!$B$23),0)</f>
        <v/>
      </c>
      <c r="AE25" s="22">
        <f>IF(AND('Control Tower'!$B$21=1,29&gt;'Control Tower'!$B$22,29&lt;='Control Tower'!$B$22+'Control Tower'!$B$25),-PMT('Control Tower'!$B$24/12,'Control Tower'!$B$25,'Control Tower'!$B$23),0)</f>
        <v/>
      </c>
      <c r="AF25" s="22">
        <f>IF(AND('Control Tower'!$B$21=1,30&gt;'Control Tower'!$B$22,30&lt;='Control Tower'!$B$22+'Control Tower'!$B$25),-PMT('Control Tower'!$B$24/12,'Control Tower'!$B$25,'Control Tower'!$B$23),0)</f>
        <v/>
      </c>
      <c r="AG25" s="22">
        <f>IF(AND('Control Tower'!$B$21=1,31&gt;'Control Tower'!$B$22,31&lt;='Control Tower'!$B$22+'Control Tower'!$B$25),-PMT('Control Tower'!$B$24/12,'Control Tower'!$B$25,'Control Tower'!$B$23),0)</f>
        <v/>
      </c>
      <c r="AH25" s="22">
        <f>IF(AND('Control Tower'!$B$21=1,32&gt;'Control Tower'!$B$22,32&lt;='Control Tower'!$B$22+'Control Tower'!$B$25),-PMT('Control Tower'!$B$24/12,'Control Tower'!$B$25,'Control Tower'!$B$23),0)</f>
        <v/>
      </c>
      <c r="AI25" s="22">
        <f>IF(AND('Control Tower'!$B$21=1,33&gt;'Control Tower'!$B$22,33&lt;='Control Tower'!$B$22+'Control Tower'!$B$25),-PMT('Control Tower'!$B$24/12,'Control Tower'!$B$25,'Control Tower'!$B$23),0)</f>
        <v/>
      </c>
      <c r="AJ25" s="22">
        <f>IF(AND('Control Tower'!$B$21=1,34&gt;'Control Tower'!$B$22,34&lt;='Control Tower'!$B$22+'Control Tower'!$B$25),-PMT('Control Tower'!$B$24/12,'Control Tower'!$B$25,'Control Tower'!$B$23),0)</f>
        <v/>
      </c>
      <c r="AK25" s="22">
        <f>IF(AND('Control Tower'!$B$21=1,35&gt;'Control Tower'!$B$22,35&lt;='Control Tower'!$B$22+'Control Tower'!$B$25),-PMT('Control Tower'!$B$24/12,'Control Tower'!$B$25,'Control Tower'!$B$23),0)</f>
        <v/>
      </c>
      <c r="AL25" s="22">
        <f>IF(AND('Control Tower'!$B$21=1,36&gt;'Control Tower'!$B$22,36&lt;='Control Tower'!$B$22+'Control Tower'!$B$25),-PMT('Control Tower'!$B$24/12,'Control Tower'!$B$25,'Control Tower'!$B$23),0)</f>
        <v/>
      </c>
    </row>
    <row r="26">
      <c r="A26" s="4" t="inlineStr">
        <is>
          <t>SBA 7(a) - balance (end)</t>
        </is>
      </c>
      <c r="C26" s="22">
        <f>IF(NOT('Control Tower'!$B$21=1),0,IF(1&lt;'Control Tower'!$B$22,0,IF(1='Control Tower'!$B$22,'Control Tower'!$B$23,MAX(0,0*(1+'Control Tower'!$B$24/12)-C25))))</f>
        <v/>
      </c>
      <c r="D26" s="22">
        <f>IF(NOT('Control Tower'!$B$21=1),0,IF(2&lt;'Control Tower'!$B$22,0,IF(2='Control Tower'!$B$22,'Control Tower'!$B$23,MAX(0,C26*(1+'Control Tower'!$B$24/12)-D25))))</f>
        <v/>
      </c>
      <c r="E26" s="22">
        <f>IF(NOT('Control Tower'!$B$21=1),0,IF(3&lt;'Control Tower'!$B$22,0,IF(3='Control Tower'!$B$22,'Control Tower'!$B$23,MAX(0,D26*(1+'Control Tower'!$B$24/12)-E25))))</f>
        <v/>
      </c>
      <c r="F26" s="22">
        <f>IF(NOT('Control Tower'!$B$21=1),0,IF(4&lt;'Control Tower'!$B$22,0,IF(4='Control Tower'!$B$22,'Control Tower'!$B$23,MAX(0,E26*(1+'Control Tower'!$B$24/12)-F25))))</f>
        <v/>
      </c>
      <c r="G26" s="22">
        <f>IF(NOT('Control Tower'!$B$21=1),0,IF(5&lt;'Control Tower'!$B$22,0,IF(5='Control Tower'!$B$22,'Control Tower'!$B$23,MAX(0,F26*(1+'Control Tower'!$B$24/12)-G25))))</f>
        <v/>
      </c>
      <c r="H26" s="22">
        <f>IF(NOT('Control Tower'!$B$21=1),0,IF(6&lt;'Control Tower'!$B$22,0,IF(6='Control Tower'!$B$22,'Control Tower'!$B$23,MAX(0,G26*(1+'Control Tower'!$B$24/12)-H25))))</f>
        <v/>
      </c>
      <c r="I26" s="22">
        <f>IF(NOT('Control Tower'!$B$21=1),0,IF(7&lt;'Control Tower'!$B$22,0,IF(7='Control Tower'!$B$22,'Control Tower'!$B$23,MAX(0,H26*(1+'Control Tower'!$B$24/12)-I25))))</f>
        <v/>
      </c>
      <c r="J26" s="22">
        <f>IF(NOT('Control Tower'!$B$21=1),0,IF(8&lt;'Control Tower'!$B$22,0,IF(8='Control Tower'!$B$22,'Control Tower'!$B$23,MAX(0,I26*(1+'Control Tower'!$B$24/12)-J25))))</f>
        <v/>
      </c>
      <c r="K26" s="22">
        <f>IF(NOT('Control Tower'!$B$21=1),0,IF(9&lt;'Control Tower'!$B$22,0,IF(9='Control Tower'!$B$22,'Control Tower'!$B$23,MAX(0,J26*(1+'Control Tower'!$B$24/12)-K25))))</f>
        <v/>
      </c>
      <c r="L26" s="22">
        <f>IF(NOT('Control Tower'!$B$21=1),0,IF(10&lt;'Control Tower'!$B$22,0,IF(10='Control Tower'!$B$22,'Control Tower'!$B$23,MAX(0,K26*(1+'Control Tower'!$B$24/12)-L25))))</f>
        <v/>
      </c>
      <c r="M26" s="22">
        <f>IF(NOT('Control Tower'!$B$21=1),0,IF(11&lt;'Control Tower'!$B$22,0,IF(11='Control Tower'!$B$22,'Control Tower'!$B$23,MAX(0,L26*(1+'Control Tower'!$B$24/12)-M25))))</f>
        <v/>
      </c>
      <c r="N26" s="22">
        <f>IF(NOT('Control Tower'!$B$21=1),0,IF(12&lt;'Control Tower'!$B$22,0,IF(12='Control Tower'!$B$22,'Control Tower'!$B$23,MAX(0,M26*(1+'Control Tower'!$B$24/12)-N25))))</f>
        <v/>
      </c>
      <c r="O26" s="22">
        <f>IF(NOT('Control Tower'!$B$21=1),0,IF(13&lt;'Control Tower'!$B$22,0,IF(13='Control Tower'!$B$22,'Control Tower'!$B$23,MAX(0,N26*(1+'Control Tower'!$B$24/12)-O25))))</f>
        <v/>
      </c>
      <c r="P26" s="22">
        <f>IF(NOT('Control Tower'!$B$21=1),0,IF(14&lt;'Control Tower'!$B$22,0,IF(14='Control Tower'!$B$22,'Control Tower'!$B$23,MAX(0,O26*(1+'Control Tower'!$B$24/12)-P25))))</f>
        <v/>
      </c>
      <c r="Q26" s="22">
        <f>IF(NOT('Control Tower'!$B$21=1),0,IF(15&lt;'Control Tower'!$B$22,0,IF(15='Control Tower'!$B$22,'Control Tower'!$B$23,MAX(0,P26*(1+'Control Tower'!$B$24/12)-Q25))))</f>
        <v/>
      </c>
      <c r="R26" s="22">
        <f>IF(NOT('Control Tower'!$B$21=1),0,IF(16&lt;'Control Tower'!$B$22,0,IF(16='Control Tower'!$B$22,'Control Tower'!$B$23,MAX(0,Q26*(1+'Control Tower'!$B$24/12)-R25))))</f>
        <v/>
      </c>
      <c r="S26" s="22">
        <f>IF(NOT('Control Tower'!$B$21=1),0,IF(17&lt;'Control Tower'!$B$22,0,IF(17='Control Tower'!$B$22,'Control Tower'!$B$23,MAX(0,R26*(1+'Control Tower'!$B$24/12)-S25))))</f>
        <v/>
      </c>
      <c r="T26" s="22">
        <f>IF(NOT('Control Tower'!$B$21=1),0,IF(18&lt;'Control Tower'!$B$22,0,IF(18='Control Tower'!$B$22,'Control Tower'!$B$23,MAX(0,S26*(1+'Control Tower'!$B$24/12)-T25))))</f>
        <v/>
      </c>
      <c r="U26" s="22">
        <f>IF(NOT('Control Tower'!$B$21=1),0,IF(19&lt;'Control Tower'!$B$22,0,IF(19='Control Tower'!$B$22,'Control Tower'!$B$23,MAX(0,T26*(1+'Control Tower'!$B$24/12)-U25))))</f>
        <v/>
      </c>
      <c r="V26" s="22">
        <f>IF(NOT('Control Tower'!$B$21=1),0,IF(20&lt;'Control Tower'!$B$22,0,IF(20='Control Tower'!$B$22,'Control Tower'!$B$23,MAX(0,U26*(1+'Control Tower'!$B$24/12)-V25))))</f>
        <v/>
      </c>
      <c r="W26" s="22">
        <f>IF(NOT('Control Tower'!$B$21=1),0,IF(21&lt;'Control Tower'!$B$22,0,IF(21='Control Tower'!$B$22,'Control Tower'!$B$23,MAX(0,V26*(1+'Control Tower'!$B$24/12)-W25))))</f>
        <v/>
      </c>
      <c r="X26" s="22">
        <f>IF(NOT('Control Tower'!$B$21=1),0,IF(22&lt;'Control Tower'!$B$22,0,IF(22='Control Tower'!$B$22,'Control Tower'!$B$23,MAX(0,W26*(1+'Control Tower'!$B$24/12)-X25))))</f>
        <v/>
      </c>
      <c r="Y26" s="22">
        <f>IF(NOT('Control Tower'!$B$21=1),0,IF(23&lt;'Control Tower'!$B$22,0,IF(23='Control Tower'!$B$22,'Control Tower'!$B$23,MAX(0,X26*(1+'Control Tower'!$B$24/12)-Y25))))</f>
        <v/>
      </c>
      <c r="Z26" s="22">
        <f>IF(NOT('Control Tower'!$B$21=1),0,IF(24&lt;'Control Tower'!$B$22,0,IF(24='Control Tower'!$B$22,'Control Tower'!$B$23,MAX(0,Y26*(1+'Control Tower'!$B$24/12)-Z25))))</f>
        <v/>
      </c>
      <c r="AA26" s="22">
        <f>IF(NOT('Control Tower'!$B$21=1),0,IF(25&lt;'Control Tower'!$B$22,0,IF(25='Control Tower'!$B$22,'Control Tower'!$B$23,MAX(0,Z26*(1+'Control Tower'!$B$24/12)-AA25))))</f>
        <v/>
      </c>
      <c r="AB26" s="22">
        <f>IF(NOT('Control Tower'!$B$21=1),0,IF(26&lt;'Control Tower'!$B$22,0,IF(26='Control Tower'!$B$22,'Control Tower'!$B$23,MAX(0,AA26*(1+'Control Tower'!$B$24/12)-AB25))))</f>
        <v/>
      </c>
      <c r="AC26" s="22">
        <f>IF(NOT('Control Tower'!$B$21=1),0,IF(27&lt;'Control Tower'!$B$22,0,IF(27='Control Tower'!$B$22,'Control Tower'!$B$23,MAX(0,AB26*(1+'Control Tower'!$B$24/12)-AC25))))</f>
        <v/>
      </c>
      <c r="AD26" s="22">
        <f>IF(NOT('Control Tower'!$B$21=1),0,IF(28&lt;'Control Tower'!$B$22,0,IF(28='Control Tower'!$B$22,'Control Tower'!$B$23,MAX(0,AC26*(1+'Control Tower'!$B$24/12)-AD25))))</f>
        <v/>
      </c>
      <c r="AE26" s="22">
        <f>IF(NOT('Control Tower'!$B$21=1),0,IF(29&lt;'Control Tower'!$B$22,0,IF(29='Control Tower'!$B$22,'Control Tower'!$B$23,MAX(0,AD26*(1+'Control Tower'!$B$24/12)-AE25))))</f>
        <v/>
      </c>
      <c r="AF26" s="22">
        <f>IF(NOT('Control Tower'!$B$21=1),0,IF(30&lt;'Control Tower'!$B$22,0,IF(30='Control Tower'!$B$22,'Control Tower'!$B$23,MAX(0,AE26*(1+'Control Tower'!$B$24/12)-AF25))))</f>
        <v/>
      </c>
      <c r="AG26" s="22">
        <f>IF(NOT('Control Tower'!$B$21=1),0,IF(31&lt;'Control Tower'!$B$22,0,IF(31='Control Tower'!$B$22,'Control Tower'!$B$23,MAX(0,AF26*(1+'Control Tower'!$B$24/12)-AG25))))</f>
        <v/>
      </c>
      <c r="AH26" s="22">
        <f>IF(NOT('Control Tower'!$B$21=1),0,IF(32&lt;'Control Tower'!$B$22,0,IF(32='Control Tower'!$B$22,'Control Tower'!$B$23,MAX(0,AG26*(1+'Control Tower'!$B$24/12)-AH25))))</f>
        <v/>
      </c>
      <c r="AI26" s="22">
        <f>IF(NOT('Control Tower'!$B$21=1),0,IF(33&lt;'Control Tower'!$B$22,0,IF(33='Control Tower'!$B$22,'Control Tower'!$B$23,MAX(0,AH26*(1+'Control Tower'!$B$24/12)-AI25))))</f>
        <v/>
      </c>
      <c r="AJ26" s="22">
        <f>IF(NOT('Control Tower'!$B$21=1),0,IF(34&lt;'Control Tower'!$B$22,0,IF(34='Control Tower'!$B$22,'Control Tower'!$B$23,MAX(0,AI26*(1+'Control Tower'!$B$24/12)-AJ25))))</f>
        <v/>
      </c>
      <c r="AK26" s="22">
        <f>IF(NOT('Control Tower'!$B$21=1),0,IF(35&lt;'Control Tower'!$B$22,0,IF(35='Control Tower'!$B$22,'Control Tower'!$B$23,MAX(0,AJ26*(1+'Control Tower'!$B$24/12)-AK25))))</f>
        <v/>
      </c>
      <c r="AL26" s="22">
        <f>IF(NOT('Control Tower'!$B$21=1),0,IF(36&lt;'Control Tower'!$B$22,0,IF(36='Control Tower'!$B$22,'Control Tower'!$B$23,MAX(0,AK26*(1+'Control Tower'!$B$24/12)-AL25))))</f>
        <v/>
      </c>
    </row>
    <row r="27">
      <c r="A27" s="4" t="inlineStr">
        <is>
          <t>SBA 7(a) - interest</t>
        </is>
      </c>
      <c r="C27" s="22">
        <f>0*'Control Tower'!$B$24/12*(C25&gt;0)</f>
        <v/>
      </c>
      <c r="D27" s="22">
        <f>C26*'Control Tower'!$B$24/12*(D25&gt;0)</f>
        <v/>
      </c>
      <c r="E27" s="22">
        <f>D26*'Control Tower'!$B$24/12*(E25&gt;0)</f>
        <v/>
      </c>
      <c r="F27" s="22">
        <f>E26*'Control Tower'!$B$24/12*(F25&gt;0)</f>
        <v/>
      </c>
      <c r="G27" s="22">
        <f>F26*'Control Tower'!$B$24/12*(G25&gt;0)</f>
        <v/>
      </c>
      <c r="H27" s="22">
        <f>G26*'Control Tower'!$B$24/12*(H25&gt;0)</f>
        <v/>
      </c>
      <c r="I27" s="22">
        <f>H26*'Control Tower'!$B$24/12*(I25&gt;0)</f>
        <v/>
      </c>
      <c r="J27" s="22">
        <f>I26*'Control Tower'!$B$24/12*(J25&gt;0)</f>
        <v/>
      </c>
      <c r="K27" s="22">
        <f>J26*'Control Tower'!$B$24/12*(K25&gt;0)</f>
        <v/>
      </c>
      <c r="L27" s="22">
        <f>K26*'Control Tower'!$B$24/12*(L25&gt;0)</f>
        <v/>
      </c>
      <c r="M27" s="22">
        <f>L26*'Control Tower'!$B$24/12*(M25&gt;0)</f>
        <v/>
      </c>
      <c r="N27" s="22">
        <f>M26*'Control Tower'!$B$24/12*(N25&gt;0)</f>
        <v/>
      </c>
      <c r="O27" s="22">
        <f>N26*'Control Tower'!$B$24/12*(O25&gt;0)</f>
        <v/>
      </c>
      <c r="P27" s="22">
        <f>O26*'Control Tower'!$B$24/12*(P25&gt;0)</f>
        <v/>
      </c>
      <c r="Q27" s="22">
        <f>P26*'Control Tower'!$B$24/12*(Q25&gt;0)</f>
        <v/>
      </c>
      <c r="R27" s="22">
        <f>Q26*'Control Tower'!$B$24/12*(R25&gt;0)</f>
        <v/>
      </c>
      <c r="S27" s="22">
        <f>R26*'Control Tower'!$B$24/12*(S25&gt;0)</f>
        <v/>
      </c>
      <c r="T27" s="22">
        <f>S26*'Control Tower'!$B$24/12*(T25&gt;0)</f>
        <v/>
      </c>
      <c r="U27" s="22">
        <f>T26*'Control Tower'!$B$24/12*(U25&gt;0)</f>
        <v/>
      </c>
      <c r="V27" s="22">
        <f>U26*'Control Tower'!$B$24/12*(V25&gt;0)</f>
        <v/>
      </c>
      <c r="W27" s="22">
        <f>V26*'Control Tower'!$B$24/12*(W25&gt;0)</f>
        <v/>
      </c>
      <c r="X27" s="22">
        <f>W26*'Control Tower'!$B$24/12*(X25&gt;0)</f>
        <v/>
      </c>
      <c r="Y27" s="22">
        <f>X26*'Control Tower'!$B$24/12*(Y25&gt;0)</f>
        <v/>
      </c>
      <c r="Z27" s="22">
        <f>Y26*'Control Tower'!$B$24/12*(Z25&gt;0)</f>
        <v/>
      </c>
      <c r="AA27" s="22">
        <f>Z26*'Control Tower'!$B$24/12*(AA25&gt;0)</f>
        <v/>
      </c>
      <c r="AB27" s="22">
        <f>AA26*'Control Tower'!$B$24/12*(AB25&gt;0)</f>
        <v/>
      </c>
      <c r="AC27" s="22">
        <f>AB26*'Control Tower'!$B$24/12*(AC25&gt;0)</f>
        <v/>
      </c>
      <c r="AD27" s="22">
        <f>AC26*'Control Tower'!$B$24/12*(AD25&gt;0)</f>
        <v/>
      </c>
      <c r="AE27" s="22">
        <f>AD26*'Control Tower'!$B$24/12*(AE25&gt;0)</f>
        <v/>
      </c>
      <c r="AF27" s="22">
        <f>AE26*'Control Tower'!$B$24/12*(AF25&gt;0)</f>
        <v/>
      </c>
      <c r="AG27" s="22">
        <f>AF26*'Control Tower'!$B$24/12*(AG25&gt;0)</f>
        <v/>
      </c>
      <c r="AH27" s="22">
        <f>AG26*'Control Tower'!$B$24/12*(AH25&gt;0)</f>
        <v/>
      </c>
      <c r="AI27" s="22">
        <f>AH26*'Control Tower'!$B$24/12*(AI25&gt;0)</f>
        <v/>
      </c>
      <c r="AJ27" s="22">
        <f>AI26*'Control Tower'!$B$24/12*(AJ25&gt;0)</f>
        <v/>
      </c>
      <c r="AK27" s="22">
        <f>AJ26*'Control Tower'!$B$24/12*(AK25&gt;0)</f>
        <v/>
      </c>
      <c r="AL27" s="22">
        <f>AK26*'Control Tower'!$B$24/12*(AL25&gt;0)</f>
        <v/>
      </c>
    </row>
    <row r="28">
      <c r="A28" s="3" t="inlineStr">
        <is>
          <t>INVESTOR NOTES (10% interest-only quarterly, 3-yr balloon; REAL money only - default $0)</t>
        </is>
      </c>
    </row>
    <row r="29">
      <c r="A29" s="4" t="inlineStr">
        <is>
          <t>Notes balance (end)</t>
        </is>
      </c>
      <c r="C29" s="22">
        <f>IF(1&gt;='Control Tower'!$B$131,'Control Tower'!$B$130,0)</f>
        <v/>
      </c>
      <c r="D29" s="22">
        <f>IF(2&gt;='Control Tower'!$B$131,'Control Tower'!$B$130,0)</f>
        <v/>
      </c>
      <c r="E29" s="22">
        <f>IF(3&gt;='Control Tower'!$B$131,'Control Tower'!$B$130,0)</f>
        <v/>
      </c>
      <c r="F29" s="22">
        <f>IF(4&gt;='Control Tower'!$B$131,'Control Tower'!$B$130,0)</f>
        <v/>
      </c>
      <c r="G29" s="22">
        <f>IF(5&gt;='Control Tower'!$B$131,'Control Tower'!$B$130,0)</f>
        <v/>
      </c>
      <c r="H29" s="22">
        <f>IF(6&gt;='Control Tower'!$B$131,'Control Tower'!$B$130,0)</f>
        <v/>
      </c>
      <c r="I29" s="22">
        <f>IF(7&gt;='Control Tower'!$B$131,'Control Tower'!$B$130,0)</f>
        <v/>
      </c>
      <c r="J29" s="22">
        <f>IF(8&gt;='Control Tower'!$B$131,'Control Tower'!$B$130,0)</f>
        <v/>
      </c>
      <c r="K29" s="22">
        <f>IF(9&gt;='Control Tower'!$B$131,'Control Tower'!$B$130,0)</f>
        <v/>
      </c>
      <c r="L29" s="22">
        <f>IF(10&gt;='Control Tower'!$B$131,'Control Tower'!$B$130,0)</f>
        <v/>
      </c>
      <c r="M29" s="22">
        <f>IF(11&gt;='Control Tower'!$B$131,'Control Tower'!$B$130,0)</f>
        <v/>
      </c>
      <c r="N29" s="22">
        <f>IF(12&gt;='Control Tower'!$B$131,'Control Tower'!$B$130,0)</f>
        <v/>
      </c>
      <c r="O29" s="22">
        <f>IF(13&gt;='Control Tower'!$B$131,'Control Tower'!$B$130,0)</f>
        <v/>
      </c>
      <c r="P29" s="22">
        <f>IF(14&gt;='Control Tower'!$B$131,'Control Tower'!$B$130,0)</f>
        <v/>
      </c>
      <c r="Q29" s="22">
        <f>IF(15&gt;='Control Tower'!$B$131,'Control Tower'!$B$130,0)</f>
        <v/>
      </c>
      <c r="R29" s="22">
        <f>IF(16&gt;='Control Tower'!$B$131,'Control Tower'!$B$130,0)</f>
        <v/>
      </c>
      <c r="S29" s="22">
        <f>IF(17&gt;='Control Tower'!$B$131,'Control Tower'!$B$130,0)</f>
        <v/>
      </c>
      <c r="T29" s="22">
        <f>IF(18&gt;='Control Tower'!$B$131,'Control Tower'!$B$130,0)</f>
        <v/>
      </c>
      <c r="U29" s="22">
        <f>IF(19&gt;='Control Tower'!$B$131,'Control Tower'!$B$130,0)</f>
        <v/>
      </c>
      <c r="V29" s="22">
        <f>IF(20&gt;='Control Tower'!$B$131,'Control Tower'!$B$130,0)</f>
        <v/>
      </c>
      <c r="W29" s="22">
        <f>IF(21&gt;='Control Tower'!$B$131,'Control Tower'!$B$130,0)</f>
        <v/>
      </c>
      <c r="X29" s="22">
        <f>IF(22&gt;='Control Tower'!$B$131,'Control Tower'!$B$130,0)</f>
        <v/>
      </c>
      <c r="Y29" s="22">
        <f>IF(23&gt;='Control Tower'!$B$131,'Control Tower'!$B$130,0)</f>
        <v/>
      </c>
      <c r="Z29" s="22">
        <f>IF(24&gt;='Control Tower'!$B$131,'Control Tower'!$B$130,0)</f>
        <v/>
      </c>
      <c r="AA29" s="22">
        <f>IF(25&gt;='Control Tower'!$B$131,'Control Tower'!$B$130,0)</f>
        <v/>
      </c>
      <c r="AB29" s="22">
        <f>IF(26&gt;='Control Tower'!$B$131,'Control Tower'!$B$130,0)</f>
        <v/>
      </c>
      <c r="AC29" s="22">
        <f>IF(27&gt;='Control Tower'!$B$131,'Control Tower'!$B$130,0)</f>
        <v/>
      </c>
      <c r="AD29" s="22">
        <f>IF(28&gt;='Control Tower'!$B$131,'Control Tower'!$B$130,0)</f>
        <v/>
      </c>
      <c r="AE29" s="22">
        <f>IF(29&gt;='Control Tower'!$B$131,'Control Tower'!$B$130,0)</f>
        <v/>
      </c>
      <c r="AF29" s="22">
        <f>IF(30&gt;='Control Tower'!$B$131,'Control Tower'!$B$130,0)</f>
        <v/>
      </c>
      <c r="AG29" s="22">
        <f>IF(31&gt;='Control Tower'!$B$131,'Control Tower'!$B$130,0)</f>
        <v/>
      </c>
      <c r="AH29" s="22">
        <f>IF(32&gt;='Control Tower'!$B$131,'Control Tower'!$B$130,0)</f>
        <v/>
      </c>
      <c r="AI29" s="22">
        <f>IF(33&gt;='Control Tower'!$B$131,'Control Tower'!$B$130,0)</f>
        <v/>
      </c>
      <c r="AJ29" s="22">
        <f>IF(34&gt;='Control Tower'!$B$131,'Control Tower'!$B$130,0)</f>
        <v/>
      </c>
      <c r="AK29" s="22">
        <f>IF(35&gt;='Control Tower'!$B$131,'Control Tower'!$B$130,0)</f>
        <v/>
      </c>
      <c r="AL29" s="22">
        <f>IF(36&gt;='Control Tower'!$B$131,'Control Tower'!$B$130,0)</f>
        <v/>
      </c>
    </row>
    <row r="30">
      <c r="A30" s="4" t="inlineStr">
        <is>
          <t>Note interest paid (quarterly)</t>
        </is>
      </c>
      <c r="C30" s="22">
        <f>IF(AND(1&gt;'Control Tower'!$B$131,MOD(1-'Control Tower'!$B$131,3)=0),'Control Tower'!$B$130*'Control Tower'!$B$132/4,0)</f>
        <v/>
      </c>
      <c r="D30" s="22">
        <f>IF(AND(2&gt;'Control Tower'!$B$131,MOD(2-'Control Tower'!$B$131,3)=0),'Control Tower'!$B$130*'Control Tower'!$B$132/4,0)</f>
        <v/>
      </c>
      <c r="E30" s="22">
        <f>IF(AND(3&gt;'Control Tower'!$B$131,MOD(3-'Control Tower'!$B$131,3)=0),'Control Tower'!$B$130*'Control Tower'!$B$132/4,0)</f>
        <v/>
      </c>
      <c r="F30" s="22">
        <f>IF(AND(4&gt;'Control Tower'!$B$131,MOD(4-'Control Tower'!$B$131,3)=0),'Control Tower'!$B$130*'Control Tower'!$B$132/4,0)</f>
        <v/>
      </c>
      <c r="G30" s="22">
        <f>IF(AND(5&gt;'Control Tower'!$B$131,MOD(5-'Control Tower'!$B$131,3)=0),'Control Tower'!$B$130*'Control Tower'!$B$132/4,0)</f>
        <v/>
      </c>
      <c r="H30" s="22">
        <f>IF(AND(6&gt;'Control Tower'!$B$131,MOD(6-'Control Tower'!$B$131,3)=0),'Control Tower'!$B$130*'Control Tower'!$B$132/4,0)</f>
        <v/>
      </c>
      <c r="I30" s="22">
        <f>IF(AND(7&gt;'Control Tower'!$B$131,MOD(7-'Control Tower'!$B$131,3)=0),'Control Tower'!$B$130*'Control Tower'!$B$132/4,0)</f>
        <v/>
      </c>
      <c r="J30" s="22">
        <f>IF(AND(8&gt;'Control Tower'!$B$131,MOD(8-'Control Tower'!$B$131,3)=0),'Control Tower'!$B$130*'Control Tower'!$B$132/4,0)</f>
        <v/>
      </c>
      <c r="K30" s="22">
        <f>IF(AND(9&gt;'Control Tower'!$B$131,MOD(9-'Control Tower'!$B$131,3)=0),'Control Tower'!$B$130*'Control Tower'!$B$132/4,0)</f>
        <v/>
      </c>
      <c r="L30" s="22">
        <f>IF(AND(10&gt;'Control Tower'!$B$131,MOD(10-'Control Tower'!$B$131,3)=0),'Control Tower'!$B$130*'Control Tower'!$B$132/4,0)</f>
        <v/>
      </c>
      <c r="M30" s="22">
        <f>IF(AND(11&gt;'Control Tower'!$B$131,MOD(11-'Control Tower'!$B$131,3)=0),'Control Tower'!$B$130*'Control Tower'!$B$132/4,0)</f>
        <v/>
      </c>
      <c r="N30" s="22">
        <f>IF(AND(12&gt;'Control Tower'!$B$131,MOD(12-'Control Tower'!$B$131,3)=0),'Control Tower'!$B$130*'Control Tower'!$B$132/4,0)</f>
        <v/>
      </c>
      <c r="O30" s="22">
        <f>IF(AND(13&gt;'Control Tower'!$B$131,MOD(13-'Control Tower'!$B$131,3)=0),'Control Tower'!$B$130*'Control Tower'!$B$132/4,0)</f>
        <v/>
      </c>
      <c r="P30" s="22">
        <f>IF(AND(14&gt;'Control Tower'!$B$131,MOD(14-'Control Tower'!$B$131,3)=0),'Control Tower'!$B$130*'Control Tower'!$B$132/4,0)</f>
        <v/>
      </c>
      <c r="Q30" s="22">
        <f>IF(AND(15&gt;'Control Tower'!$B$131,MOD(15-'Control Tower'!$B$131,3)=0),'Control Tower'!$B$130*'Control Tower'!$B$132/4,0)</f>
        <v/>
      </c>
      <c r="R30" s="22">
        <f>IF(AND(16&gt;'Control Tower'!$B$131,MOD(16-'Control Tower'!$B$131,3)=0),'Control Tower'!$B$130*'Control Tower'!$B$132/4,0)</f>
        <v/>
      </c>
      <c r="S30" s="22">
        <f>IF(AND(17&gt;'Control Tower'!$B$131,MOD(17-'Control Tower'!$B$131,3)=0),'Control Tower'!$B$130*'Control Tower'!$B$132/4,0)</f>
        <v/>
      </c>
      <c r="T30" s="22">
        <f>IF(AND(18&gt;'Control Tower'!$B$131,MOD(18-'Control Tower'!$B$131,3)=0),'Control Tower'!$B$130*'Control Tower'!$B$132/4,0)</f>
        <v/>
      </c>
      <c r="U30" s="22">
        <f>IF(AND(19&gt;'Control Tower'!$B$131,MOD(19-'Control Tower'!$B$131,3)=0),'Control Tower'!$B$130*'Control Tower'!$B$132/4,0)</f>
        <v/>
      </c>
      <c r="V30" s="22">
        <f>IF(AND(20&gt;'Control Tower'!$B$131,MOD(20-'Control Tower'!$B$131,3)=0),'Control Tower'!$B$130*'Control Tower'!$B$132/4,0)</f>
        <v/>
      </c>
      <c r="W30" s="22">
        <f>IF(AND(21&gt;'Control Tower'!$B$131,MOD(21-'Control Tower'!$B$131,3)=0),'Control Tower'!$B$130*'Control Tower'!$B$132/4,0)</f>
        <v/>
      </c>
      <c r="X30" s="22">
        <f>IF(AND(22&gt;'Control Tower'!$B$131,MOD(22-'Control Tower'!$B$131,3)=0),'Control Tower'!$B$130*'Control Tower'!$B$132/4,0)</f>
        <v/>
      </c>
      <c r="Y30" s="22">
        <f>IF(AND(23&gt;'Control Tower'!$B$131,MOD(23-'Control Tower'!$B$131,3)=0),'Control Tower'!$B$130*'Control Tower'!$B$132/4,0)</f>
        <v/>
      </c>
      <c r="Z30" s="22">
        <f>IF(AND(24&gt;'Control Tower'!$B$131,MOD(24-'Control Tower'!$B$131,3)=0),'Control Tower'!$B$130*'Control Tower'!$B$132/4,0)</f>
        <v/>
      </c>
      <c r="AA30" s="22">
        <f>IF(AND(25&gt;'Control Tower'!$B$131,MOD(25-'Control Tower'!$B$131,3)=0),'Control Tower'!$B$130*'Control Tower'!$B$132/4,0)</f>
        <v/>
      </c>
      <c r="AB30" s="22">
        <f>IF(AND(26&gt;'Control Tower'!$B$131,MOD(26-'Control Tower'!$B$131,3)=0),'Control Tower'!$B$130*'Control Tower'!$B$132/4,0)</f>
        <v/>
      </c>
      <c r="AC30" s="22">
        <f>IF(AND(27&gt;'Control Tower'!$B$131,MOD(27-'Control Tower'!$B$131,3)=0),'Control Tower'!$B$130*'Control Tower'!$B$132/4,0)</f>
        <v/>
      </c>
      <c r="AD30" s="22">
        <f>IF(AND(28&gt;'Control Tower'!$B$131,MOD(28-'Control Tower'!$B$131,3)=0),'Control Tower'!$B$130*'Control Tower'!$B$132/4,0)</f>
        <v/>
      </c>
      <c r="AE30" s="22">
        <f>IF(AND(29&gt;'Control Tower'!$B$131,MOD(29-'Control Tower'!$B$131,3)=0),'Control Tower'!$B$130*'Control Tower'!$B$132/4,0)</f>
        <v/>
      </c>
      <c r="AF30" s="22">
        <f>IF(AND(30&gt;'Control Tower'!$B$131,MOD(30-'Control Tower'!$B$131,3)=0),'Control Tower'!$B$130*'Control Tower'!$B$132/4,0)</f>
        <v/>
      </c>
      <c r="AG30" s="22">
        <f>IF(AND(31&gt;'Control Tower'!$B$131,MOD(31-'Control Tower'!$B$131,3)=0),'Control Tower'!$B$130*'Control Tower'!$B$132/4,0)</f>
        <v/>
      </c>
      <c r="AH30" s="22">
        <f>IF(AND(32&gt;'Control Tower'!$B$131,MOD(32-'Control Tower'!$B$131,3)=0),'Control Tower'!$B$130*'Control Tower'!$B$132/4,0)</f>
        <v/>
      </c>
      <c r="AI30" s="22">
        <f>IF(AND(33&gt;'Control Tower'!$B$131,MOD(33-'Control Tower'!$B$131,3)=0),'Control Tower'!$B$130*'Control Tower'!$B$132/4,0)</f>
        <v/>
      </c>
      <c r="AJ30" s="22">
        <f>IF(AND(34&gt;'Control Tower'!$B$131,MOD(34-'Control Tower'!$B$131,3)=0),'Control Tower'!$B$130*'Control Tower'!$B$132/4,0)</f>
        <v/>
      </c>
      <c r="AK30" s="22">
        <f>IF(AND(35&gt;'Control Tower'!$B$131,MOD(35-'Control Tower'!$B$131,3)=0),'Control Tower'!$B$130*'Control Tower'!$B$132/4,0)</f>
        <v/>
      </c>
      <c r="AL30" s="22">
        <f>IF(AND(36&gt;'Control Tower'!$B$131,MOD(36-'Control Tower'!$B$131,3)=0),'Control Tower'!$B$130*'Control Tower'!$B$132/4,0)</f>
        <v/>
      </c>
    </row>
    <row r="31">
      <c r="A31" s="3" t="inlineStr">
        <is>
          <t>NET INCOME (after interest &amp; TX margin tax)</t>
        </is>
      </c>
    </row>
    <row r="32">
      <c r="A32" s="4" t="inlineStr">
        <is>
          <t>Pre-tax income</t>
        </is>
      </c>
      <c r="C32" s="22">
        <f>'P&amp;L'!C23-'P&amp;L'!C26-C13-C21-C24-C27-C30</f>
        <v/>
      </c>
      <c r="D32" s="22">
        <f>'P&amp;L'!D23-'P&amp;L'!D26-D13-D21-D24-D27-D30</f>
        <v/>
      </c>
      <c r="E32" s="22">
        <f>'P&amp;L'!E23-'P&amp;L'!E26-E13-E21-E24-E27-E30</f>
        <v/>
      </c>
      <c r="F32" s="22">
        <f>'P&amp;L'!F23-'P&amp;L'!F26-F13-F21-F24-F27-F30</f>
        <v/>
      </c>
      <c r="G32" s="22">
        <f>'P&amp;L'!G23-'P&amp;L'!G26-G13-G21-G24-G27-G30</f>
        <v/>
      </c>
      <c r="H32" s="22">
        <f>'P&amp;L'!H23-'P&amp;L'!H26-H13-H21-H24-H27-H30</f>
        <v/>
      </c>
      <c r="I32" s="22">
        <f>'P&amp;L'!I23-'P&amp;L'!I26-I13-I21-I24-I27-I30</f>
        <v/>
      </c>
      <c r="J32" s="22">
        <f>'P&amp;L'!J23-'P&amp;L'!J26-J13-J21-J24-J27-J30</f>
        <v/>
      </c>
      <c r="K32" s="22">
        <f>'P&amp;L'!K23-'P&amp;L'!K26-K13-K21-K24-K27-K30</f>
        <v/>
      </c>
      <c r="L32" s="22">
        <f>'P&amp;L'!L23-'P&amp;L'!L26-L13-L21-L24-L27-L30</f>
        <v/>
      </c>
      <c r="M32" s="22">
        <f>'P&amp;L'!M23-'P&amp;L'!M26-M13-M21-M24-M27-M30</f>
        <v/>
      </c>
      <c r="N32" s="22">
        <f>'P&amp;L'!N23-'P&amp;L'!N26-N13-N21-N24-N27-N30</f>
        <v/>
      </c>
      <c r="O32" s="22">
        <f>'P&amp;L'!O23-'P&amp;L'!O26-O13-O21-O24-O27-O30</f>
        <v/>
      </c>
      <c r="P32" s="22">
        <f>'P&amp;L'!P23-'P&amp;L'!P26-P13-P21-P24-P27-P30</f>
        <v/>
      </c>
      <c r="Q32" s="22">
        <f>'P&amp;L'!Q23-'P&amp;L'!Q26-Q13-Q21-Q24-Q27-Q30</f>
        <v/>
      </c>
      <c r="R32" s="22">
        <f>'P&amp;L'!R23-'P&amp;L'!R26-R13-R21-R24-R27-R30</f>
        <v/>
      </c>
      <c r="S32" s="22">
        <f>'P&amp;L'!S23-'P&amp;L'!S26-S13-S21-S24-S27-S30</f>
        <v/>
      </c>
      <c r="T32" s="22">
        <f>'P&amp;L'!T23-'P&amp;L'!T26-T13-T21-T24-T27-T30</f>
        <v/>
      </c>
      <c r="U32" s="22">
        <f>'P&amp;L'!U23-'P&amp;L'!U26-U13-U21-U24-U27-U30</f>
        <v/>
      </c>
      <c r="V32" s="22">
        <f>'P&amp;L'!V23-'P&amp;L'!V26-V13-V21-V24-V27-V30</f>
        <v/>
      </c>
      <c r="W32" s="22">
        <f>'P&amp;L'!W23-'P&amp;L'!W26-W13-W21-W24-W27-W30</f>
        <v/>
      </c>
      <c r="X32" s="22">
        <f>'P&amp;L'!X23-'P&amp;L'!X26-X13-X21-X24-X27-X30</f>
        <v/>
      </c>
      <c r="Y32" s="22">
        <f>'P&amp;L'!Y23-'P&amp;L'!Y26-Y13-Y21-Y24-Y27-Y30</f>
        <v/>
      </c>
      <c r="Z32" s="22">
        <f>'P&amp;L'!Z23-'P&amp;L'!Z26-Z13-Z21-Z24-Z27-Z30</f>
        <v/>
      </c>
      <c r="AA32" s="22">
        <f>'P&amp;L'!AA23-'P&amp;L'!AA26-AA13-AA21-AA24-AA27-AA30</f>
        <v/>
      </c>
      <c r="AB32" s="22">
        <f>'P&amp;L'!AB23-'P&amp;L'!AB26-AB13-AB21-AB24-AB27-AB30</f>
        <v/>
      </c>
      <c r="AC32" s="22">
        <f>'P&amp;L'!AC23-'P&amp;L'!AC26-AC13-AC21-AC24-AC27-AC30</f>
        <v/>
      </c>
      <c r="AD32" s="22">
        <f>'P&amp;L'!AD23-'P&amp;L'!AD26-AD13-AD21-AD24-AD27-AD30</f>
        <v/>
      </c>
      <c r="AE32" s="22">
        <f>'P&amp;L'!AE23-'P&amp;L'!AE26-AE13-AE21-AE24-AE27-AE30</f>
        <v/>
      </c>
      <c r="AF32" s="22">
        <f>'P&amp;L'!AF23-'P&amp;L'!AF26-AF13-AF21-AF24-AF27-AF30</f>
        <v/>
      </c>
      <c r="AG32" s="22">
        <f>'P&amp;L'!AG23-'P&amp;L'!AG26-AG13-AG21-AG24-AG27-AG30</f>
        <v/>
      </c>
      <c r="AH32" s="22">
        <f>'P&amp;L'!AH23-'P&amp;L'!AH26-AH13-AH21-AH24-AH27-AH30</f>
        <v/>
      </c>
      <c r="AI32" s="22">
        <f>'P&amp;L'!AI23-'P&amp;L'!AI26-AI13-AI21-AI24-AI27-AI30</f>
        <v/>
      </c>
      <c r="AJ32" s="22">
        <f>'P&amp;L'!AJ23-'P&amp;L'!AJ26-AJ13-AJ21-AJ24-AJ27-AJ30</f>
        <v/>
      </c>
      <c r="AK32" s="22">
        <f>'P&amp;L'!AK23-'P&amp;L'!AK26-AK13-AK21-AK24-AK27-AK30</f>
        <v/>
      </c>
      <c r="AL32" s="22">
        <f>'P&amp;L'!AL23-'P&amp;L'!AL26-AL13-AL21-AL24-AL27-AL30</f>
        <v/>
      </c>
    </row>
    <row r="33">
      <c r="A33" s="4" t="inlineStr">
        <is>
          <t>TX margin tax</t>
        </is>
      </c>
      <c r="C33" s="22">
        <f>IF(C32&gt;0,C8*'Control Tower'!$B$134,0)</f>
        <v/>
      </c>
      <c r="D33" s="22">
        <f>IF(D32&gt;0,D8*'Control Tower'!$B$134,0)</f>
        <v/>
      </c>
      <c r="E33" s="22">
        <f>IF(E32&gt;0,E8*'Control Tower'!$B$134,0)</f>
        <v/>
      </c>
      <c r="F33" s="22">
        <f>IF(F32&gt;0,F8*'Control Tower'!$B$134,0)</f>
        <v/>
      </c>
      <c r="G33" s="22">
        <f>IF(G32&gt;0,G8*'Control Tower'!$B$134,0)</f>
        <v/>
      </c>
      <c r="H33" s="22">
        <f>IF(H32&gt;0,H8*'Control Tower'!$B$134,0)</f>
        <v/>
      </c>
      <c r="I33" s="22">
        <f>IF(I32&gt;0,I8*'Control Tower'!$B$134,0)</f>
        <v/>
      </c>
      <c r="J33" s="22">
        <f>IF(J32&gt;0,J8*'Control Tower'!$B$134,0)</f>
        <v/>
      </c>
      <c r="K33" s="22">
        <f>IF(K32&gt;0,K8*'Control Tower'!$B$134,0)</f>
        <v/>
      </c>
      <c r="L33" s="22">
        <f>IF(L32&gt;0,L8*'Control Tower'!$B$134,0)</f>
        <v/>
      </c>
      <c r="M33" s="22">
        <f>IF(M32&gt;0,M8*'Control Tower'!$B$134,0)</f>
        <v/>
      </c>
      <c r="N33" s="22">
        <f>IF(N32&gt;0,N8*'Control Tower'!$B$134,0)</f>
        <v/>
      </c>
      <c r="O33" s="22">
        <f>IF(O32&gt;0,O8*'Control Tower'!$B$134,0)</f>
        <v/>
      </c>
      <c r="P33" s="22">
        <f>IF(P32&gt;0,P8*'Control Tower'!$B$134,0)</f>
        <v/>
      </c>
      <c r="Q33" s="22">
        <f>IF(Q32&gt;0,Q8*'Control Tower'!$B$134,0)</f>
        <v/>
      </c>
      <c r="R33" s="22">
        <f>IF(R32&gt;0,R8*'Control Tower'!$B$134,0)</f>
        <v/>
      </c>
      <c r="S33" s="22">
        <f>IF(S32&gt;0,S8*'Control Tower'!$B$134,0)</f>
        <v/>
      </c>
      <c r="T33" s="22">
        <f>IF(T32&gt;0,T8*'Control Tower'!$B$134,0)</f>
        <v/>
      </c>
      <c r="U33" s="22">
        <f>IF(U32&gt;0,U8*'Control Tower'!$B$134,0)</f>
        <v/>
      </c>
      <c r="V33" s="22">
        <f>IF(V32&gt;0,V8*'Control Tower'!$B$134,0)</f>
        <v/>
      </c>
      <c r="W33" s="22">
        <f>IF(W32&gt;0,W8*'Control Tower'!$B$134,0)</f>
        <v/>
      </c>
      <c r="X33" s="22">
        <f>IF(X32&gt;0,X8*'Control Tower'!$B$134,0)</f>
        <v/>
      </c>
      <c r="Y33" s="22">
        <f>IF(Y32&gt;0,Y8*'Control Tower'!$B$134,0)</f>
        <v/>
      </c>
      <c r="Z33" s="22">
        <f>IF(Z32&gt;0,Z8*'Control Tower'!$B$134,0)</f>
        <v/>
      </c>
      <c r="AA33" s="22">
        <f>IF(AA32&gt;0,AA8*'Control Tower'!$B$134,0)</f>
        <v/>
      </c>
      <c r="AB33" s="22">
        <f>IF(AB32&gt;0,AB8*'Control Tower'!$B$134,0)</f>
        <v/>
      </c>
      <c r="AC33" s="22">
        <f>IF(AC32&gt;0,AC8*'Control Tower'!$B$134,0)</f>
        <v/>
      </c>
      <c r="AD33" s="22">
        <f>IF(AD32&gt;0,AD8*'Control Tower'!$B$134,0)</f>
        <v/>
      </c>
      <c r="AE33" s="22">
        <f>IF(AE32&gt;0,AE8*'Control Tower'!$B$134,0)</f>
        <v/>
      </c>
      <c r="AF33" s="22">
        <f>IF(AF32&gt;0,AF8*'Control Tower'!$B$134,0)</f>
        <v/>
      </c>
      <c r="AG33" s="22">
        <f>IF(AG32&gt;0,AG8*'Control Tower'!$B$134,0)</f>
        <v/>
      </c>
      <c r="AH33" s="22">
        <f>IF(AH32&gt;0,AH8*'Control Tower'!$B$134,0)</f>
        <v/>
      </c>
      <c r="AI33" s="22">
        <f>IF(AI32&gt;0,AI8*'Control Tower'!$B$134,0)</f>
        <v/>
      </c>
      <c r="AJ33" s="22">
        <f>IF(AJ32&gt;0,AJ8*'Control Tower'!$B$134,0)</f>
        <v/>
      </c>
      <c r="AK33" s="22">
        <f>IF(AK32&gt;0,AK8*'Control Tower'!$B$134,0)</f>
        <v/>
      </c>
      <c r="AL33" s="22">
        <f>IF(AL32&gt;0,AL8*'Control Tower'!$B$134,0)</f>
        <v/>
      </c>
    </row>
    <row r="34">
      <c r="A34" s="10" t="inlineStr">
        <is>
          <t>NET INCOME</t>
        </is>
      </c>
      <c r="C34" s="23">
        <f>C32-C33</f>
        <v/>
      </c>
      <c r="D34" s="23">
        <f>D32-D33</f>
        <v/>
      </c>
      <c r="E34" s="23">
        <f>E32-E33</f>
        <v/>
      </c>
      <c r="F34" s="23">
        <f>F32-F33</f>
        <v/>
      </c>
      <c r="G34" s="23">
        <f>G32-G33</f>
        <v/>
      </c>
      <c r="H34" s="23">
        <f>H32-H33</f>
        <v/>
      </c>
      <c r="I34" s="23">
        <f>I32-I33</f>
        <v/>
      </c>
      <c r="J34" s="23">
        <f>J32-J33</f>
        <v/>
      </c>
      <c r="K34" s="23">
        <f>K32-K33</f>
        <v/>
      </c>
      <c r="L34" s="23">
        <f>L32-L33</f>
        <v/>
      </c>
      <c r="M34" s="23">
        <f>M32-M33</f>
        <v/>
      </c>
      <c r="N34" s="23">
        <f>N32-N33</f>
        <v/>
      </c>
      <c r="O34" s="23">
        <f>O32-O33</f>
        <v/>
      </c>
      <c r="P34" s="23">
        <f>P32-P33</f>
        <v/>
      </c>
      <c r="Q34" s="23">
        <f>Q32-Q33</f>
        <v/>
      </c>
      <c r="R34" s="23">
        <f>R32-R33</f>
        <v/>
      </c>
      <c r="S34" s="23">
        <f>S32-S33</f>
        <v/>
      </c>
      <c r="T34" s="23">
        <f>T32-T33</f>
        <v/>
      </c>
      <c r="U34" s="23">
        <f>U32-U33</f>
        <v/>
      </c>
      <c r="V34" s="23">
        <f>V32-V33</f>
        <v/>
      </c>
      <c r="W34" s="23">
        <f>W32-W33</f>
        <v/>
      </c>
      <c r="X34" s="23">
        <f>X32-X33</f>
        <v/>
      </c>
      <c r="Y34" s="23">
        <f>Y32-Y33</f>
        <v/>
      </c>
      <c r="Z34" s="23">
        <f>Z32-Z33</f>
        <v/>
      </c>
      <c r="AA34" s="23">
        <f>AA32-AA33</f>
        <v/>
      </c>
      <c r="AB34" s="23">
        <f>AB32-AB33</f>
        <v/>
      </c>
      <c r="AC34" s="23">
        <f>AC32-AC33</f>
        <v/>
      </c>
      <c r="AD34" s="23">
        <f>AD32-AD33</f>
        <v/>
      </c>
      <c r="AE34" s="23">
        <f>AE32-AE33</f>
        <v/>
      </c>
      <c r="AF34" s="23">
        <f>AF32-AF33</f>
        <v/>
      </c>
      <c r="AG34" s="23">
        <f>AG32-AG33</f>
        <v/>
      </c>
      <c r="AH34" s="23">
        <f>AH32-AH33</f>
        <v/>
      </c>
      <c r="AI34" s="23">
        <f>AI32-AI33</f>
        <v/>
      </c>
      <c r="AJ34" s="23">
        <f>AJ32-AJ33</f>
        <v/>
      </c>
      <c r="AK34" s="23">
        <f>AK32-AK33</f>
        <v/>
      </c>
      <c r="AL34" s="23">
        <f>AL32-AL33</f>
        <v/>
      </c>
    </row>
    <row r="35">
      <c r="A35" s="3" t="inlineStr">
        <is>
          <t>CASH (direct method; no revolving facility assumed)</t>
        </is>
      </c>
    </row>
    <row r="36">
      <c r="A36" s="4" t="inlineStr">
        <is>
          <t>Cash collections</t>
        </is>
      </c>
      <c r="C36" s="27">
        <f>C9</f>
        <v/>
      </c>
      <c r="D36" s="27">
        <f>D9</f>
        <v/>
      </c>
      <c r="E36" s="27">
        <f>E9</f>
        <v/>
      </c>
      <c r="F36" s="27">
        <f>F9</f>
        <v/>
      </c>
      <c r="G36" s="27">
        <f>G9</f>
        <v/>
      </c>
      <c r="H36" s="27">
        <f>H9</f>
        <v/>
      </c>
      <c r="I36" s="27">
        <f>I9</f>
        <v/>
      </c>
      <c r="J36" s="27">
        <f>J9</f>
        <v/>
      </c>
      <c r="K36" s="27">
        <f>K9</f>
        <v/>
      </c>
      <c r="L36" s="27">
        <f>L9</f>
        <v/>
      </c>
      <c r="M36" s="27">
        <f>M9</f>
        <v/>
      </c>
      <c r="N36" s="27">
        <f>N9</f>
        <v/>
      </c>
      <c r="O36" s="27">
        <f>O9</f>
        <v/>
      </c>
      <c r="P36" s="27">
        <f>P9</f>
        <v/>
      </c>
      <c r="Q36" s="27">
        <f>Q9</f>
        <v/>
      </c>
      <c r="R36" s="27">
        <f>R9</f>
        <v/>
      </c>
      <c r="S36" s="27">
        <f>S9</f>
        <v/>
      </c>
      <c r="T36" s="27">
        <f>T9</f>
        <v/>
      </c>
      <c r="U36" s="27">
        <f>U9</f>
        <v/>
      </c>
      <c r="V36" s="27">
        <f>V9</f>
        <v/>
      </c>
      <c r="W36" s="27">
        <f>W9</f>
        <v/>
      </c>
      <c r="X36" s="27">
        <f>X9</f>
        <v/>
      </c>
      <c r="Y36" s="27">
        <f>Y9</f>
        <v/>
      </c>
      <c r="Z36" s="27">
        <f>Z9</f>
        <v/>
      </c>
      <c r="AA36" s="27">
        <f>AA9</f>
        <v/>
      </c>
      <c r="AB36" s="27">
        <f>AB9</f>
        <v/>
      </c>
      <c r="AC36" s="27">
        <f>AC9</f>
        <v/>
      </c>
      <c r="AD36" s="27">
        <f>AD9</f>
        <v/>
      </c>
      <c r="AE36" s="27">
        <f>AE9</f>
        <v/>
      </c>
      <c r="AF36" s="27">
        <f>AF9</f>
        <v/>
      </c>
      <c r="AG36" s="27">
        <f>AG9</f>
        <v/>
      </c>
      <c r="AH36" s="27">
        <f>AH9</f>
        <v/>
      </c>
      <c r="AI36" s="27">
        <f>AI9</f>
        <v/>
      </c>
      <c r="AJ36" s="27">
        <f>AJ9</f>
        <v/>
      </c>
      <c r="AK36" s="27">
        <f>AK9</f>
        <v/>
      </c>
      <c r="AL36" s="27">
        <f>AL9</f>
        <v/>
      </c>
    </row>
    <row r="37">
      <c r="A37" s="4" t="inlineStr">
        <is>
          <t>Payroll + contract labor (net of owner deferral / incl. repayment)</t>
        </is>
      </c>
      <c r="C37" s="22">
        <f>-'Staffing'!C39+'Staffing'!C42-'Staffing'!C43-'Staffing'!C23-'Staffing'!C24-'Staffing'!C21</f>
        <v/>
      </c>
      <c r="D37" s="22">
        <f>-'Staffing'!D39+'Staffing'!D42-'Staffing'!D43-'Staffing'!D23-'Staffing'!D24-'Staffing'!D21</f>
        <v/>
      </c>
      <c r="E37" s="22">
        <f>-'Staffing'!E39+'Staffing'!E42-'Staffing'!E43-'Staffing'!E23-'Staffing'!E24-'Staffing'!E21</f>
        <v/>
      </c>
      <c r="F37" s="22">
        <f>-'Staffing'!F39+'Staffing'!F42-'Staffing'!F43-'Staffing'!F23-'Staffing'!F24-'Staffing'!F21</f>
        <v/>
      </c>
      <c r="G37" s="22">
        <f>-'Staffing'!G39+'Staffing'!G42-'Staffing'!G43-'Staffing'!G23-'Staffing'!G24-'Staffing'!G21</f>
        <v/>
      </c>
      <c r="H37" s="22">
        <f>-'Staffing'!H39+'Staffing'!H42-'Staffing'!H43-'Staffing'!H23-'Staffing'!H24-'Staffing'!H21</f>
        <v/>
      </c>
      <c r="I37" s="22">
        <f>-'Staffing'!I39+'Staffing'!I42-'Staffing'!I43-'Staffing'!I23-'Staffing'!I24-'Staffing'!I21</f>
        <v/>
      </c>
      <c r="J37" s="22">
        <f>-'Staffing'!J39+'Staffing'!J42-'Staffing'!J43-'Staffing'!J23-'Staffing'!J24-'Staffing'!J21</f>
        <v/>
      </c>
      <c r="K37" s="22">
        <f>-'Staffing'!K39+'Staffing'!K42-'Staffing'!K43-'Staffing'!K23-'Staffing'!K24-'Staffing'!K21</f>
        <v/>
      </c>
      <c r="L37" s="22">
        <f>-'Staffing'!L39+'Staffing'!L42-'Staffing'!L43-'Staffing'!L23-'Staffing'!L24-'Staffing'!L21</f>
        <v/>
      </c>
      <c r="M37" s="22">
        <f>-'Staffing'!M39+'Staffing'!M42-'Staffing'!M43-'Staffing'!M23-'Staffing'!M24-'Staffing'!M21</f>
        <v/>
      </c>
      <c r="N37" s="22">
        <f>-'Staffing'!N39+'Staffing'!N42-'Staffing'!N43-'Staffing'!N23-'Staffing'!N24-'Staffing'!N21</f>
        <v/>
      </c>
      <c r="O37" s="22">
        <f>-'Staffing'!O39+'Staffing'!O42-'Staffing'!O43-'Staffing'!O23-'Staffing'!O24-'Staffing'!O21</f>
        <v/>
      </c>
      <c r="P37" s="22">
        <f>-'Staffing'!P39+'Staffing'!P42-'Staffing'!P43-'Staffing'!P23-'Staffing'!P24-'Staffing'!P21</f>
        <v/>
      </c>
      <c r="Q37" s="22">
        <f>-'Staffing'!Q39+'Staffing'!Q42-'Staffing'!Q43-'Staffing'!Q23-'Staffing'!Q24-'Staffing'!Q21</f>
        <v/>
      </c>
      <c r="R37" s="22">
        <f>-'Staffing'!R39+'Staffing'!R42-'Staffing'!R43-'Staffing'!R23-'Staffing'!R24-'Staffing'!R21</f>
        <v/>
      </c>
      <c r="S37" s="22">
        <f>-'Staffing'!S39+'Staffing'!S42-'Staffing'!S43-'Staffing'!S23-'Staffing'!S24-'Staffing'!S21</f>
        <v/>
      </c>
      <c r="T37" s="22">
        <f>-'Staffing'!T39+'Staffing'!T42-'Staffing'!T43-'Staffing'!T23-'Staffing'!T24-'Staffing'!T21</f>
        <v/>
      </c>
      <c r="U37" s="22">
        <f>-'Staffing'!U39+'Staffing'!U42-'Staffing'!U43-'Staffing'!U23-'Staffing'!U24-'Staffing'!U21</f>
        <v/>
      </c>
      <c r="V37" s="22">
        <f>-'Staffing'!V39+'Staffing'!V42-'Staffing'!V43-'Staffing'!V23-'Staffing'!V24-'Staffing'!V21</f>
        <v/>
      </c>
      <c r="W37" s="22">
        <f>-'Staffing'!W39+'Staffing'!W42-'Staffing'!W43-'Staffing'!W23-'Staffing'!W24-'Staffing'!W21</f>
        <v/>
      </c>
      <c r="X37" s="22">
        <f>-'Staffing'!X39+'Staffing'!X42-'Staffing'!X43-'Staffing'!X23-'Staffing'!X24-'Staffing'!X21</f>
        <v/>
      </c>
      <c r="Y37" s="22">
        <f>-'Staffing'!Y39+'Staffing'!Y42-'Staffing'!Y43-'Staffing'!Y23-'Staffing'!Y24-'Staffing'!Y21</f>
        <v/>
      </c>
      <c r="Z37" s="22">
        <f>-'Staffing'!Z39+'Staffing'!Z42-'Staffing'!Z43-'Staffing'!Z23-'Staffing'!Z24-'Staffing'!Z21</f>
        <v/>
      </c>
      <c r="AA37" s="22">
        <f>-'Staffing'!AA39+'Staffing'!AA42-'Staffing'!AA43-'Staffing'!AA23-'Staffing'!AA24-'Staffing'!AA21</f>
        <v/>
      </c>
      <c r="AB37" s="22">
        <f>-'Staffing'!AB39+'Staffing'!AB42-'Staffing'!AB43-'Staffing'!AB23-'Staffing'!AB24-'Staffing'!AB21</f>
        <v/>
      </c>
      <c r="AC37" s="22">
        <f>-'Staffing'!AC39+'Staffing'!AC42-'Staffing'!AC43-'Staffing'!AC23-'Staffing'!AC24-'Staffing'!AC21</f>
        <v/>
      </c>
      <c r="AD37" s="22">
        <f>-'Staffing'!AD39+'Staffing'!AD42-'Staffing'!AD43-'Staffing'!AD23-'Staffing'!AD24-'Staffing'!AD21</f>
        <v/>
      </c>
      <c r="AE37" s="22">
        <f>-'Staffing'!AE39+'Staffing'!AE42-'Staffing'!AE43-'Staffing'!AE23-'Staffing'!AE24-'Staffing'!AE21</f>
        <v/>
      </c>
      <c r="AF37" s="22">
        <f>-'Staffing'!AF39+'Staffing'!AF42-'Staffing'!AF43-'Staffing'!AF23-'Staffing'!AF24-'Staffing'!AF21</f>
        <v/>
      </c>
      <c r="AG37" s="22">
        <f>-'Staffing'!AG39+'Staffing'!AG42-'Staffing'!AG43-'Staffing'!AG23-'Staffing'!AG24-'Staffing'!AG21</f>
        <v/>
      </c>
      <c r="AH37" s="22">
        <f>-'Staffing'!AH39+'Staffing'!AH42-'Staffing'!AH43-'Staffing'!AH23-'Staffing'!AH24-'Staffing'!AH21</f>
        <v/>
      </c>
      <c r="AI37" s="22">
        <f>-'Staffing'!AI39+'Staffing'!AI42-'Staffing'!AI43-'Staffing'!AI23-'Staffing'!AI24-'Staffing'!AI21</f>
        <v/>
      </c>
      <c r="AJ37" s="22">
        <f>-'Staffing'!AJ39+'Staffing'!AJ42-'Staffing'!AJ43-'Staffing'!AJ23-'Staffing'!AJ24-'Staffing'!AJ21</f>
        <v/>
      </c>
      <c r="AK37" s="22">
        <f>-'Staffing'!AK39+'Staffing'!AK42-'Staffing'!AK43-'Staffing'!AK23-'Staffing'!AK24-'Staffing'!AK21</f>
        <v/>
      </c>
      <c r="AL37" s="22">
        <f>-'Staffing'!AL39+'Staffing'!AL42-'Staffing'!AL43-'Staffing'!AL23-'Staffing'!AL24-'Staffing'!AL21</f>
        <v/>
      </c>
    </row>
    <row r="38">
      <c r="A38" s="4" t="inlineStr">
        <is>
          <t>Direct patient care (net-30: prior month)</t>
        </is>
      </c>
      <c r="C38" s="22">
        <f>-0</f>
        <v/>
      </c>
      <c r="D38" s="22">
        <f>-'Operating Budget'!C12</f>
        <v/>
      </c>
      <c r="E38" s="22">
        <f>-'Operating Budget'!D12</f>
        <v/>
      </c>
      <c r="F38" s="22">
        <f>-'Operating Budget'!E12</f>
        <v/>
      </c>
      <c r="G38" s="22">
        <f>-'Operating Budget'!F12</f>
        <v/>
      </c>
      <c r="H38" s="22">
        <f>-'Operating Budget'!G12</f>
        <v/>
      </c>
      <c r="I38" s="22">
        <f>-'Operating Budget'!H12</f>
        <v/>
      </c>
      <c r="J38" s="22">
        <f>-'Operating Budget'!I12</f>
        <v/>
      </c>
      <c r="K38" s="22">
        <f>-'Operating Budget'!J12</f>
        <v/>
      </c>
      <c r="L38" s="22">
        <f>-'Operating Budget'!K12</f>
        <v/>
      </c>
      <c r="M38" s="22">
        <f>-'Operating Budget'!L12</f>
        <v/>
      </c>
      <c r="N38" s="22">
        <f>-'Operating Budget'!M12</f>
        <v/>
      </c>
      <c r="O38" s="22">
        <f>-'Operating Budget'!N12</f>
        <v/>
      </c>
      <c r="P38" s="22">
        <f>-'Operating Budget'!O12</f>
        <v/>
      </c>
      <c r="Q38" s="22">
        <f>-'Operating Budget'!P12</f>
        <v/>
      </c>
      <c r="R38" s="22">
        <f>-'Operating Budget'!Q12</f>
        <v/>
      </c>
      <c r="S38" s="22">
        <f>-'Operating Budget'!R12</f>
        <v/>
      </c>
      <c r="T38" s="22">
        <f>-'Operating Budget'!S12</f>
        <v/>
      </c>
      <c r="U38" s="22">
        <f>-'Operating Budget'!T12</f>
        <v/>
      </c>
      <c r="V38" s="22">
        <f>-'Operating Budget'!U12</f>
        <v/>
      </c>
      <c r="W38" s="22">
        <f>-'Operating Budget'!V12</f>
        <v/>
      </c>
      <c r="X38" s="22">
        <f>-'Operating Budget'!W12</f>
        <v/>
      </c>
      <c r="Y38" s="22">
        <f>-'Operating Budget'!X12</f>
        <v/>
      </c>
      <c r="Z38" s="22">
        <f>-'Operating Budget'!Y12</f>
        <v/>
      </c>
      <c r="AA38" s="22">
        <f>-'Operating Budget'!Z12</f>
        <v/>
      </c>
      <c r="AB38" s="22">
        <f>-'Operating Budget'!AA12</f>
        <v/>
      </c>
      <c r="AC38" s="22">
        <f>-'Operating Budget'!AB12</f>
        <v/>
      </c>
      <c r="AD38" s="22">
        <f>-'Operating Budget'!AC12</f>
        <v/>
      </c>
      <c r="AE38" s="22">
        <f>-'Operating Budget'!AD12</f>
        <v/>
      </c>
      <c r="AF38" s="22">
        <f>-'Operating Budget'!AE12</f>
        <v/>
      </c>
      <c r="AG38" s="22">
        <f>-'Operating Budget'!AF12</f>
        <v/>
      </c>
      <c r="AH38" s="22">
        <f>-'Operating Budget'!AG12</f>
        <v/>
      </c>
      <c r="AI38" s="22">
        <f>-'Operating Budget'!AH12</f>
        <v/>
      </c>
      <c r="AJ38" s="22">
        <f>-'Operating Budget'!AI12</f>
        <v/>
      </c>
      <c r="AK38" s="22">
        <f>-'Operating Budget'!AJ12</f>
        <v/>
      </c>
      <c r="AL38" s="22">
        <f>-'Operating Budget'!AK12</f>
        <v/>
      </c>
    </row>
    <row r="39">
      <c r="A39" s="4" t="inlineStr">
        <is>
          <t>Facility + G&amp;A + contingency (in month)</t>
        </is>
      </c>
      <c r="C39" s="22">
        <f>-'Operating Budget'!C18-'Operating Budget'!C31-'Operating Budget'!C32</f>
        <v/>
      </c>
      <c r="D39" s="22">
        <f>-'Operating Budget'!D18-'Operating Budget'!D31-'Operating Budget'!D32</f>
        <v/>
      </c>
      <c r="E39" s="22">
        <f>-'Operating Budget'!E18-'Operating Budget'!E31-'Operating Budget'!E32</f>
        <v/>
      </c>
      <c r="F39" s="22">
        <f>-'Operating Budget'!F18-'Operating Budget'!F31-'Operating Budget'!F32</f>
        <v/>
      </c>
      <c r="G39" s="22">
        <f>-'Operating Budget'!G18-'Operating Budget'!G31-'Operating Budget'!G32</f>
        <v/>
      </c>
      <c r="H39" s="22">
        <f>-'Operating Budget'!H18-'Operating Budget'!H31-'Operating Budget'!H32</f>
        <v/>
      </c>
      <c r="I39" s="22">
        <f>-'Operating Budget'!I18-'Operating Budget'!I31-'Operating Budget'!I32</f>
        <v/>
      </c>
      <c r="J39" s="22">
        <f>-'Operating Budget'!J18-'Operating Budget'!J31-'Operating Budget'!J32</f>
        <v/>
      </c>
      <c r="K39" s="22">
        <f>-'Operating Budget'!K18-'Operating Budget'!K31-'Operating Budget'!K32</f>
        <v/>
      </c>
      <c r="L39" s="22">
        <f>-'Operating Budget'!L18-'Operating Budget'!L31-'Operating Budget'!L32</f>
        <v/>
      </c>
      <c r="M39" s="22">
        <f>-'Operating Budget'!M18-'Operating Budget'!M31-'Operating Budget'!M32</f>
        <v/>
      </c>
      <c r="N39" s="22">
        <f>-'Operating Budget'!N18-'Operating Budget'!N31-'Operating Budget'!N32</f>
        <v/>
      </c>
      <c r="O39" s="22">
        <f>-'Operating Budget'!O18-'Operating Budget'!O31-'Operating Budget'!O32</f>
        <v/>
      </c>
      <c r="P39" s="22">
        <f>-'Operating Budget'!P18-'Operating Budget'!P31-'Operating Budget'!P32</f>
        <v/>
      </c>
      <c r="Q39" s="22">
        <f>-'Operating Budget'!Q18-'Operating Budget'!Q31-'Operating Budget'!Q32</f>
        <v/>
      </c>
      <c r="R39" s="22">
        <f>-'Operating Budget'!R18-'Operating Budget'!R31-'Operating Budget'!R32</f>
        <v/>
      </c>
      <c r="S39" s="22">
        <f>-'Operating Budget'!S18-'Operating Budget'!S31-'Operating Budget'!S32</f>
        <v/>
      </c>
      <c r="T39" s="22">
        <f>-'Operating Budget'!T18-'Operating Budget'!T31-'Operating Budget'!T32</f>
        <v/>
      </c>
      <c r="U39" s="22">
        <f>-'Operating Budget'!U18-'Operating Budget'!U31-'Operating Budget'!U32</f>
        <v/>
      </c>
      <c r="V39" s="22">
        <f>-'Operating Budget'!V18-'Operating Budget'!V31-'Operating Budget'!V32</f>
        <v/>
      </c>
      <c r="W39" s="22">
        <f>-'Operating Budget'!W18-'Operating Budget'!W31-'Operating Budget'!W32</f>
        <v/>
      </c>
      <c r="X39" s="22">
        <f>-'Operating Budget'!X18-'Operating Budget'!X31-'Operating Budget'!X32</f>
        <v/>
      </c>
      <c r="Y39" s="22">
        <f>-'Operating Budget'!Y18-'Operating Budget'!Y31-'Operating Budget'!Y32</f>
        <v/>
      </c>
      <c r="Z39" s="22">
        <f>-'Operating Budget'!Z18-'Operating Budget'!Z31-'Operating Budget'!Z32</f>
        <v/>
      </c>
      <c r="AA39" s="22">
        <f>-'Operating Budget'!AA18-'Operating Budget'!AA31-'Operating Budget'!AA32</f>
        <v/>
      </c>
      <c r="AB39" s="22">
        <f>-'Operating Budget'!AB18-'Operating Budget'!AB31-'Operating Budget'!AB32</f>
        <v/>
      </c>
      <c r="AC39" s="22">
        <f>-'Operating Budget'!AC18-'Operating Budget'!AC31-'Operating Budget'!AC32</f>
        <v/>
      </c>
      <c r="AD39" s="22">
        <f>-'Operating Budget'!AD18-'Operating Budget'!AD31-'Operating Budget'!AD32</f>
        <v/>
      </c>
      <c r="AE39" s="22">
        <f>-'Operating Budget'!AE18-'Operating Budget'!AE31-'Operating Budget'!AE32</f>
        <v/>
      </c>
      <c r="AF39" s="22">
        <f>-'Operating Budget'!AF18-'Operating Budget'!AF31-'Operating Budget'!AF32</f>
        <v/>
      </c>
      <c r="AG39" s="22">
        <f>-'Operating Budget'!AG18-'Operating Budget'!AG31-'Operating Budget'!AG32</f>
        <v/>
      </c>
      <c r="AH39" s="22">
        <f>-'Operating Budget'!AH18-'Operating Budget'!AH31-'Operating Budget'!AH32</f>
        <v/>
      </c>
      <c r="AI39" s="22">
        <f>-'Operating Budget'!AI18-'Operating Budget'!AI31-'Operating Budget'!AI32</f>
        <v/>
      </c>
      <c r="AJ39" s="22">
        <f>-'Operating Budget'!AJ18-'Operating Budget'!AJ31-'Operating Budget'!AJ32</f>
        <v/>
      </c>
      <c r="AK39" s="22">
        <f>-'Operating Budget'!AK18-'Operating Budget'!AK31-'Operating Budget'!AK32</f>
        <v/>
      </c>
      <c r="AL39" s="22">
        <f>-'Operating Budget'!AL18-'Operating Budget'!AL31-'Operating Budget'!AL32</f>
        <v/>
      </c>
    </row>
    <row r="40">
      <c r="A40" s="4" t="inlineStr">
        <is>
          <t>Tax paid</t>
        </is>
      </c>
      <c r="C40" s="22">
        <f>-C33</f>
        <v/>
      </c>
      <c r="D40" s="22">
        <f>-D33</f>
        <v/>
      </c>
      <c r="E40" s="22">
        <f>-E33</f>
        <v/>
      </c>
      <c r="F40" s="22">
        <f>-F33</f>
        <v/>
      </c>
      <c r="G40" s="22">
        <f>-G33</f>
        <v/>
      </c>
      <c r="H40" s="22">
        <f>-H33</f>
        <v/>
      </c>
      <c r="I40" s="22">
        <f>-I33</f>
        <v/>
      </c>
      <c r="J40" s="22">
        <f>-J33</f>
        <v/>
      </c>
      <c r="K40" s="22">
        <f>-K33</f>
        <v/>
      </c>
      <c r="L40" s="22">
        <f>-L33</f>
        <v/>
      </c>
      <c r="M40" s="22">
        <f>-M33</f>
        <v/>
      </c>
      <c r="N40" s="22">
        <f>-N33</f>
        <v/>
      </c>
      <c r="O40" s="22">
        <f>-O33</f>
        <v/>
      </c>
      <c r="P40" s="22">
        <f>-P33</f>
        <v/>
      </c>
      <c r="Q40" s="22">
        <f>-Q33</f>
        <v/>
      </c>
      <c r="R40" s="22">
        <f>-R33</f>
        <v/>
      </c>
      <c r="S40" s="22">
        <f>-S33</f>
        <v/>
      </c>
      <c r="T40" s="22">
        <f>-T33</f>
        <v/>
      </c>
      <c r="U40" s="22">
        <f>-U33</f>
        <v/>
      </c>
      <c r="V40" s="22">
        <f>-V33</f>
        <v/>
      </c>
      <c r="W40" s="22">
        <f>-W33</f>
        <v/>
      </c>
      <c r="X40" s="22">
        <f>-X33</f>
        <v/>
      </c>
      <c r="Y40" s="22">
        <f>-Y33</f>
        <v/>
      </c>
      <c r="Z40" s="22">
        <f>-Z33</f>
        <v/>
      </c>
      <c r="AA40" s="22">
        <f>-AA33</f>
        <v/>
      </c>
      <c r="AB40" s="22">
        <f>-AB33</f>
        <v/>
      </c>
      <c r="AC40" s="22">
        <f>-AC33</f>
        <v/>
      </c>
      <c r="AD40" s="22">
        <f>-AD33</f>
        <v/>
      </c>
      <c r="AE40" s="22">
        <f>-AE33</f>
        <v/>
      </c>
      <c r="AF40" s="22">
        <f>-AF33</f>
        <v/>
      </c>
      <c r="AG40" s="22">
        <f>-AG33</f>
        <v/>
      </c>
      <c r="AH40" s="22">
        <f>-AH33</f>
        <v/>
      </c>
      <c r="AI40" s="22">
        <f>-AI33</f>
        <v/>
      </c>
      <c r="AJ40" s="22">
        <f>-AJ33</f>
        <v/>
      </c>
      <c r="AK40" s="22">
        <f>-AK33</f>
        <v/>
      </c>
      <c r="AL40" s="22">
        <f>-AL33</f>
        <v/>
      </c>
    </row>
    <row r="41">
      <c r="A41" s="4" t="inlineStr">
        <is>
          <t>Seller payments (incl. down M1 + payoff interest)</t>
        </is>
      </c>
      <c r="C41" s="22">
        <f>-C14-C15-'Control Tower'!$B$8</f>
        <v/>
      </c>
      <c r="D41" s="22">
        <f>-D14-D15</f>
        <v/>
      </c>
      <c r="E41" s="22">
        <f>-E14-E15</f>
        <v/>
      </c>
      <c r="F41" s="22">
        <f>-F14-F15</f>
        <v/>
      </c>
      <c r="G41" s="22">
        <f>-G14-G15</f>
        <v/>
      </c>
      <c r="H41" s="22">
        <f>-H14-H15</f>
        <v/>
      </c>
      <c r="I41" s="22">
        <f>-I14-I15</f>
        <v/>
      </c>
      <c r="J41" s="22">
        <f>-J14-J15</f>
        <v/>
      </c>
      <c r="K41" s="22">
        <f>-K14-K15</f>
        <v/>
      </c>
      <c r="L41" s="22">
        <f>-L14-L15</f>
        <v/>
      </c>
      <c r="M41" s="22">
        <f>-M14-M15</f>
        <v/>
      </c>
      <c r="N41" s="22">
        <f>-N14-N15</f>
        <v/>
      </c>
      <c r="O41" s="22">
        <f>-O14-O15</f>
        <v/>
      </c>
      <c r="P41" s="22">
        <f>-P14-P15</f>
        <v/>
      </c>
      <c r="Q41" s="22">
        <f>-Q14-Q15</f>
        <v/>
      </c>
      <c r="R41" s="22">
        <f>-R14-R15</f>
        <v/>
      </c>
      <c r="S41" s="22">
        <f>-S14-S15</f>
        <v/>
      </c>
      <c r="T41" s="22">
        <f>-T14-T15</f>
        <v/>
      </c>
      <c r="U41" s="22">
        <f>-U14-U15</f>
        <v/>
      </c>
      <c r="V41" s="22">
        <f>-V14-V15</f>
        <v/>
      </c>
      <c r="W41" s="22">
        <f>-W14-W15</f>
        <v/>
      </c>
      <c r="X41" s="22">
        <f>-X14-X15</f>
        <v/>
      </c>
      <c r="Y41" s="22">
        <f>-Y14-Y15</f>
        <v/>
      </c>
      <c r="Z41" s="22">
        <f>-Z14-Z15</f>
        <v/>
      </c>
      <c r="AA41" s="22">
        <f>-AA14-AA15</f>
        <v/>
      </c>
      <c r="AB41" s="22">
        <f>-AB14-AB15</f>
        <v/>
      </c>
      <c r="AC41" s="22">
        <f>-AC14-AC15</f>
        <v/>
      </c>
      <c r="AD41" s="22">
        <f>-AD14-AD15</f>
        <v/>
      </c>
      <c r="AE41" s="22">
        <f>-AE14-AE15</f>
        <v/>
      </c>
      <c r="AF41" s="22">
        <f>-AF14-AF15</f>
        <v/>
      </c>
      <c r="AG41" s="22">
        <f>-AG14-AG15</f>
        <v/>
      </c>
      <c r="AH41" s="22">
        <f>-AH14-AH15</f>
        <v/>
      </c>
      <c r="AI41" s="22">
        <f>-AI14-AI15</f>
        <v/>
      </c>
      <c r="AJ41" s="22">
        <f>-AJ14-AJ15</f>
        <v/>
      </c>
      <c r="AK41" s="22">
        <f>-AK14-AK15</f>
        <v/>
      </c>
      <c r="AL41" s="22">
        <f>-AL14-AL15</f>
        <v/>
      </c>
    </row>
    <row r="42">
      <c r="A42" s="4" t="inlineStr">
        <is>
          <t>Financing proceeds - payments (balloon refi / bank refi / SBA / notes)</t>
        </is>
      </c>
      <c r="C42" s="22">
        <f>IF(AND('Control Tower'!$B$16=0,1='Control Tower'!$B$13),$B$18,0)+IF(AND('Control Tower'!$B$16=1,1='Control Tower'!$B$17),'Control Tower'!$B$18,0)+IF(AND('Control Tower'!$B$21=1,1='Control Tower'!$B$22),'Control Tower'!$B$23,0)-IF(AND('Control Tower'!$B$21=1,'Control Tower'!$B$16=1,1='Control Tower'!$B$22),0,0)+IF(1='Control Tower'!$B$131,'Control Tower'!$B$130,0)-C19-C22-C25-C30</f>
        <v/>
      </c>
      <c r="D42" s="22">
        <f>IF(AND('Control Tower'!$B$16=0,2='Control Tower'!$B$13),$B$18,0)+IF(AND('Control Tower'!$B$16=1,2='Control Tower'!$B$17),'Control Tower'!$B$18,0)+IF(AND('Control Tower'!$B$21=1,2='Control Tower'!$B$22),'Control Tower'!$B$23,0)-IF(AND('Control Tower'!$B$21=1,'Control Tower'!$B$16=1,2='Control Tower'!$B$22),C23,0)+IF(2='Control Tower'!$B$131,'Control Tower'!$B$130,0)-D19-D22-D25-D30</f>
        <v/>
      </c>
      <c r="E42" s="22">
        <f>IF(AND('Control Tower'!$B$16=0,3='Control Tower'!$B$13),$B$18,0)+IF(AND('Control Tower'!$B$16=1,3='Control Tower'!$B$17),'Control Tower'!$B$18,0)+IF(AND('Control Tower'!$B$21=1,3='Control Tower'!$B$22),'Control Tower'!$B$23,0)-IF(AND('Control Tower'!$B$21=1,'Control Tower'!$B$16=1,3='Control Tower'!$B$22),D23,0)+IF(3='Control Tower'!$B$131,'Control Tower'!$B$130,0)-E19-E22-E25-E30</f>
        <v/>
      </c>
      <c r="F42" s="22">
        <f>IF(AND('Control Tower'!$B$16=0,4='Control Tower'!$B$13),$B$18,0)+IF(AND('Control Tower'!$B$16=1,4='Control Tower'!$B$17),'Control Tower'!$B$18,0)+IF(AND('Control Tower'!$B$21=1,4='Control Tower'!$B$22),'Control Tower'!$B$23,0)-IF(AND('Control Tower'!$B$21=1,'Control Tower'!$B$16=1,4='Control Tower'!$B$22),E23,0)+IF(4='Control Tower'!$B$131,'Control Tower'!$B$130,0)-F19-F22-F25-F30</f>
        <v/>
      </c>
      <c r="G42" s="22">
        <f>IF(AND('Control Tower'!$B$16=0,5='Control Tower'!$B$13),$B$18,0)+IF(AND('Control Tower'!$B$16=1,5='Control Tower'!$B$17),'Control Tower'!$B$18,0)+IF(AND('Control Tower'!$B$21=1,5='Control Tower'!$B$22),'Control Tower'!$B$23,0)-IF(AND('Control Tower'!$B$21=1,'Control Tower'!$B$16=1,5='Control Tower'!$B$22),F23,0)+IF(5='Control Tower'!$B$131,'Control Tower'!$B$130,0)-G19-G22-G25-G30</f>
        <v/>
      </c>
      <c r="H42" s="22">
        <f>IF(AND('Control Tower'!$B$16=0,6='Control Tower'!$B$13),$B$18,0)+IF(AND('Control Tower'!$B$16=1,6='Control Tower'!$B$17),'Control Tower'!$B$18,0)+IF(AND('Control Tower'!$B$21=1,6='Control Tower'!$B$22),'Control Tower'!$B$23,0)-IF(AND('Control Tower'!$B$21=1,'Control Tower'!$B$16=1,6='Control Tower'!$B$22),G23,0)+IF(6='Control Tower'!$B$131,'Control Tower'!$B$130,0)-H19-H22-H25-H30</f>
        <v/>
      </c>
      <c r="I42" s="22">
        <f>IF(AND('Control Tower'!$B$16=0,7='Control Tower'!$B$13),$B$18,0)+IF(AND('Control Tower'!$B$16=1,7='Control Tower'!$B$17),'Control Tower'!$B$18,0)+IF(AND('Control Tower'!$B$21=1,7='Control Tower'!$B$22),'Control Tower'!$B$23,0)-IF(AND('Control Tower'!$B$21=1,'Control Tower'!$B$16=1,7='Control Tower'!$B$22),H23,0)+IF(7='Control Tower'!$B$131,'Control Tower'!$B$130,0)-I19-I22-I25-I30</f>
        <v/>
      </c>
      <c r="J42" s="22">
        <f>IF(AND('Control Tower'!$B$16=0,8='Control Tower'!$B$13),$B$18,0)+IF(AND('Control Tower'!$B$16=1,8='Control Tower'!$B$17),'Control Tower'!$B$18,0)+IF(AND('Control Tower'!$B$21=1,8='Control Tower'!$B$22),'Control Tower'!$B$23,0)-IF(AND('Control Tower'!$B$21=1,'Control Tower'!$B$16=1,8='Control Tower'!$B$22),I23,0)+IF(8='Control Tower'!$B$131,'Control Tower'!$B$130,0)-J19-J22-J25-J30</f>
        <v/>
      </c>
      <c r="K42" s="22">
        <f>IF(AND('Control Tower'!$B$16=0,9='Control Tower'!$B$13),$B$18,0)+IF(AND('Control Tower'!$B$16=1,9='Control Tower'!$B$17),'Control Tower'!$B$18,0)+IF(AND('Control Tower'!$B$21=1,9='Control Tower'!$B$22),'Control Tower'!$B$23,0)-IF(AND('Control Tower'!$B$21=1,'Control Tower'!$B$16=1,9='Control Tower'!$B$22),J23,0)+IF(9='Control Tower'!$B$131,'Control Tower'!$B$130,0)-K19-K22-K25-K30</f>
        <v/>
      </c>
      <c r="L42" s="22">
        <f>IF(AND('Control Tower'!$B$16=0,10='Control Tower'!$B$13),$B$18,0)+IF(AND('Control Tower'!$B$16=1,10='Control Tower'!$B$17),'Control Tower'!$B$18,0)+IF(AND('Control Tower'!$B$21=1,10='Control Tower'!$B$22),'Control Tower'!$B$23,0)-IF(AND('Control Tower'!$B$21=1,'Control Tower'!$B$16=1,10='Control Tower'!$B$22),K23,0)+IF(10='Control Tower'!$B$131,'Control Tower'!$B$130,0)-L19-L22-L25-L30</f>
        <v/>
      </c>
      <c r="M42" s="22">
        <f>IF(AND('Control Tower'!$B$16=0,11='Control Tower'!$B$13),$B$18,0)+IF(AND('Control Tower'!$B$16=1,11='Control Tower'!$B$17),'Control Tower'!$B$18,0)+IF(AND('Control Tower'!$B$21=1,11='Control Tower'!$B$22),'Control Tower'!$B$23,0)-IF(AND('Control Tower'!$B$21=1,'Control Tower'!$B$16=1,11='Control Tower'!$B$22),L23,0)+IF(11='Control Tower'!$B$131,'Control Tower'!$B$130,0)-M19-M22-M25-M30</f>
        <v/>
      </c>
      <c r="N42" s="22">
        <f>IF(AND('Control Tower'!$B$16=0,12='Control Tower'!$B$13),$B$18,0)+IF(AND('Control Tower'!$B$16=1,12='Control Tower'!$B$17),'Control Tower'!$B$18,0)+IF(AND('Control Tower'!$B$21=1,12='Control Tower'!$B$22),'Control Tower'!$B$23,0)-IF(AND('Control Tower'!$B$21=1,'Control Tower'!$B$16=1,12='Control Tower'!$B$22),M23,0)+IF(12='Control Tower'!$B$131,'Control Tower'!$B$130,0)-N19-N22-N25-N30</f>
        <v/>
      </c>
      <c r="O42" s="22">
        <f>IF(AND('Control Tower'!$B$16=0,13='Control Tower'!$B$13),$B$18,0)+IF(AND('Control Tower'!$B$16=1,13='Control Tower'!$B$17),'Control Tower'!$B$18,0)+IF(AND('Control Tower'!$B$21=1,13='Control Tower'!$B$22),'Control Tower'!$B$23,0)-IF(AND('Control Tower'!$B$21=1,'Control Tower'!$B$16=1,13='Control Tower'!$B$22),N23,0)+IF(13='Control Tower'!$B$131,'Control Tower'!$B$130,0)-O19-O22-O25-O30</f>
        <v/>
      </c>
      <c r="P42" s="22">
        <f>IF(AND('Control Tower'!$B$16=0,14='Control Tower'!$B$13),$B$18,0)+IF(AND('Control Tower'!$B$16=1,14='Control Tower'!$B$17),'Control Tower'!$B$18,0)+IF(AND('Control Tower'!$B$21=1,14='Control Tower'!$B$22),'Control Tower'!$B$23,0)-IF(AND('Control Tower'!$B$21=1,'Control Tower'!$B$16=1,14='Control Tower'!$B$22),O23,0)+IF(14='Control Tower'!$B$131,'Control Tower'!$B$130,0)-P19-P22-P25-P30</f>
        <v/>
      </c>
      <c r="Q42" s="22">
        <f>IF(AND('Control Tower'!$B$16=0,15='Control Tower'!$B$13),$B$18,0)+IF(AND('Control Tower'!$B$16=1,15='Control Tower'!$B$17),'Control Tower'!$B$18,0)+IF(AND('Control Tower'!$B$21=1,15='Control Tower'!$B$22),'Control Tower'!$B$23,0)-IF(AND('Control Tower'!$B$21=1,'Control Tower'!$B$16=1,15='Control Tower'!$B$22),P23,0)+IF(15='Control Tower'!$B$131,'Control Tower'!$B$130,0)-Q19-Q22-Q25-Q30</f>
        <v/>
      </c>
      <c r="R42" s="22">
        <f>IF(AND('Control Tower'!$B$16=0,16='Control Tower'!$B$13),$B$18,0)+IF(AND('Control Tower'!$B$16=1,16='Control Tower'!$B$17),'Control Tower'!$B$18,0)+IF(AND('Control Tower'!$B$21=1,16='Control Tower'!$B$22),'Control Tower'!$B$23,0)-IF(AND('Control Tower'!$B$21=1,'Control Tower'!$B$16=1,16='Control Tower'!$B$22),Q23,0)+IF(16='Control Tower'!$B$131,'Control Tower'!$B$130,0)-R19-R22-R25-R30</f>
        <v/>
      </c>
      <c r="S42" s="22">
        <f>IF(AND('Control Tower'!$B$16=0,17='Control Tower'!$B$13),$B$18,0)+IF(AND('Control Tower'!$B$16=1,17='Control Tower'!$B$17),'Control Tower'!$B$18,0)+IF(AND('Control Tower'!$B$21=1,17='Control Tower'!$B$22),'Control Tower'!$B$23,0)-IF(AND('Control Tower'!$B$21=1,'Control Tower'!$B$16=1,17='Control Tower'!$B$22),R23,0)+IF(17='Control Tower'!$B$131,'Control Tower'!$B$130,0)-S19-S22-S25-S30</f>
        <v/>
      </c>
      <c r="T42" s="22">
        <f>IF(AND('Control Tower'!$B$16=0,18='Control Tower'!$B$13),$B$18,0)+IF(AND('Control Tower'!$B$16=1,18='Control Tower'!$B$17),'Control Tower'!$B$18,0)+IF(AND('Control Tower'!$B$21=1,18='Control Tower'!$B$22),'Control Tower'!$B$23,0)-IF(AND('Control Tower'!$B$21=1,'Control Tower'!$B$16=1,18='Control Tower'!$B$22),S23,0)+IF(18='Control Tower'!$B$131,'Control Tower'!$B$130,0)-T19-T22-T25-T30</f>
        <v/>
      </c>
      <c r="U42" s="22">
        <f>IF(AND('Control Tower'!$B$16=0,19='Control Tower'!$B$13),$B$18,0)+IF(AND('Control Tower'!$B$16=1,19='Control Tower'!$B$17),'Control Tower'!$B$18,0)+IF(AND('Control Tower'!$B$21=1,19='Control Tower'!$B$22),'Control Tower'!$B$23,0)-IF(AND('Control Tower'!$B$21=1,'Control Tower'!$B$16=1,19='Control Tower'!$B$22),T23,0)+IF(19='Control Tower'!$B$131,'Control Tower'!$B$130,0)-U19-U22-U25-U30</f>
        <v/>
      </c>
      <c r="V42" s="22">
        <f>IF(AND('Control Tower'!$B$16=0,20='Control Tower'!$B$13),$B$18,0)+IF(AND('Control Tower'!$B$16=1,20='Control Tower'!$B$17),'Control Tower'!$B$18,0)+IF(AND('Control Tower'!$B$21=1,20='Control Tower'!$B$22),'Control Tower'!$B$23,0)-IF(AND('Control Tower'!$B$21=1,'Control Tower'!$B$16=1,20='Control Tower'!$B$22),U23,0)+IF(20='Control Tower'!$B$131,'Control Tower'!$B$130,0)-V19-V22-V25-V30</f>
        <v/>
      </c>
      <c r="W42" s="22">
        <f>IF(AND('Control Tower'!$B$16=0,21='Control Tower'!$B$13),$B$18,0)+IF(AND('Control Tower'!$B$16=1,21='Control Tower'!$B$17),'Control Tower'!$B$18,0)+IF(AND('Control Tower'!$B$21=1,21='Control Tower'!$B$22),'Control Tower'!$B$23,0)-IF(AND('Control Tower'!$B$21=1,'Control Tower'!$B$16=1,21='Control Tower'!$B$22),V23,0)+IF(21='Control Tower'!$B$131,'Control Tower'!$B$130,0)-W19-W22-W25-W30</f>
        <v/>
      </c>
      <c r="X42" s="22">
        <f>IF(AND('Control Tower'!$B$16=0,22='Control Tower'!$B$13),$B$18,0)+IF(AND('Control Tower'!$B$16=1,22='Control Tower'!$B$17),'Control Tower'!$B$18,0)+IF(AND('Control Tower'!$B$21=1,22='Control Tower'!$B$22),'Control Tower'!$B$23,0)-IF(AND('Control Tower'!$B$21=1,'Control Tower'!$B$16=1,22='Control Tower'!$B$22),W23,0)+IF(22='Control Tower'!$B$131,'Control Tower'!$B$130,0)-X19-X22-X25-X30</f>
        <v/>
      </c>
      <c r="Y42" s="22">
        <f>IF(AND('Control Tower'!$B$16=0,23='Control Tower'!$B$13),$B$18,0)+IF(AND('Control Tower'!$B$16=1,23='Control Tower'!$B$17),'Control Tower'!$B$18,0)+IF(AND('Control Tower'!$B$21=1,23='Control Tower'!$B$22),'Control Tower'!$B$23,0)-IF(AND('Control Tower'!$B$21=1,'Control Tower'!$B$16=1,23='Control Tower'!$B$22),X23,0)+IF(23='Control Tower'!$B$131,'Control Tower'!$B$130,0)-Y19-Y22-Y25-Y30</f>
        <v/>
      </c>
      <c r="Z42" s="22">
        <f>IF(AND('Control Tower'!$B$16=0,24='Control Tower'!$B$13),$B$18,0)+IF(AND('Control Tower'!$B$16=1,24='Control Tower'!$B$17),'Control Tower'!$B$18,0)+IF(AND('Control Tower'!$B$21=1,24='Control Tower'!$B$22),'Control Tower'!$B$23,0)-IF(AND('Control Tower'!$B$21=1,'Control Tower'!$B$16=1,24='Control Tower'!$B$22),Y23,0)+IF(24='Control Tower'!$B$131,'Control Tower'!$B$130,0)-Z19-Z22-Z25-Z30</f>
        <v/>
      </c>
      <c r="AA42" s="22">
        <f>IF(AND('Control Tower'!$B$16=0,25='Control Tower'!$B$13),$B$18,0)+IF(AND('Control Tower'!$B$16=1,25='Control Tower'!$B$17),'Control Tower'!$B$18,0)+IF(AND('Control Tower'!$B$21=1,25='Control Tower'!$B$22),'Control Tower'!$B$23,0)-IF(AND('Control Tower'!$B$21=1,'Control Tower'!$B$16=1,25='Control Tower'!$B$22),Z23,0)+IF(25='Control Tower'!$B$131,'Control Tower'!$B$130,0)-AA19-AA22-AA25-AA30</f>
        <v/>
      </c>
      <c r="AB42" s="22">
        <f>IF(AND('Control Tower'!$B$16=0,26='Control Tower'!$B$13),$B$18,0)+IF(AND('Control Tower'!$B$16=1,26='Control Tower'!$B$17),'Control Tower'!$B$18,0)+IF(AND('Control Tower'!$B$21=1,26='Control Tower'!$B$22),'Control Tower'!$B$23,0)-IF(AND('Control Tower'!$B$21=1,'Control Tower'!$B$16=1,26='Control Tower'!$B$22),AA23,0)+IF(26='Control Tower'!$B$131,'Control Tower'!$B$130,0)-AB19-AB22-AB25-AB30</f>
        <v/>
      </c>
      <c r="AC42" s="22">
        <f>IF(AND('Control Tower'!$B$16=0,27='Control Tower'!$B$13),$B$18,0)+IF(AND('Control Tower'!$B$16=1,27='Control Tower'!$B$17),'Control Tower'!$B$18,0)+IF(AND('Control Tower'!$B$21=1,27='Control Tower'!$B$22),'Control Tower'!$B$23,0)-IF(AND('Control Tower'!$B$21=1,'Control Tower'!$B$16=1,27='Control Tower'!$B$22),AB23,0)+IF(27='Control Tower'!$B$131,'Control Tower'!$B$130,0)-AC19-AC22-AC25-AC30</f>
        <v/>
      </c>
      <c r="AD42" s="22">
        <f>IF(AND('Control Tower'!$B$16=0,28='Control Tower'!$B$13),$B$18,0)+IF(AND('Control Tower'!$B$16=1,28='Control Tower'!$B$17),'Control Tower'!$B$18,0)+IF(AND('Control Tower'!$B$21=1,28='Control Tower'!$B$22),'Control Tower'!$B$23,0)-IF(AND('Control Tower'!$B$21=1,'Control Tower'!$B$16=1,28='Control Tower'!$B$22),AC23,0)+IF(28='Control Tower'!$B$131,'Control Tower'!$B$130,0)-AD19-AD22-AD25-AD30</f>
        <v/>
      </c>
      <c r="AE42" s="22">
        <f>IF(AND('Control Tower'!$B$16=0,29='Control Tower'!$B$13),$B$18,0)+IF(AND('Control Tower'!$B$16=1,29='Control Tower'!$B$17),'Control Tower'!$B$18,0)+IF(AND('Control Tower'!$B$21=1,29='Control Tower'!$B$22),'Control Tower'!$B$23,0)-IF(AND('Control Tower'!$B$21=1,'Control Tower'!$B$16=1,29='Control Tower'!$B$22),AD23,0)+IF(29='Control Tower'!$B$131,'Control Tower'!$B$130,0)-AE19-AE22-AE25-AE30</f>
        <v/>
      </c>
      <c r="AF42" s="22">
        <f>IF(AND('Control Tower'!$B$16=0,30='Control Tower'!$B$13),$B$18,0)+IF(AND('Control Tower'!$B$16=1,30='Control Tower'!$B$17),'Control Tower'!$B$18,0)+IF(AND('Control Tower'!$B$21=1,30='Control Tower'!$B$22),'Control Tower'!$B$23,0)-IF(AND('Control Tower'!$B$21=1,'Control Tower'!$B$16=1,30='Control Tower'!$B$22),AE23,0)+IF(30='Control Tower'!$B$131,'Control Tower'!$B$130,0)-AF19-AF22-AF25-AF30</f>
        <v/>
      </c>
      <c r="AG42" s="22">
        <f>IF(AND('Control Tower'!$B$16=0,31='Control Tower'!$B$13),$B$18,0)+IF(AND('Control Tower'!$B$16=1,31='Control Tower'!$B$17),'Control Tower'!$B$18,0)+IF(AND('Control Tower'!$B$21=1,31='Control Tower'!$B$22),'Control Tower'!$B$23,0)-IF(AND('Control Tower'!$B$21=1,'Control Tower'!$B$16=1,31='Control Tower'!$B$22),AF23,0)+IF(31='Control Tower'!$B$131,'Control Tower'!$B$130,0)-AG19-AG22-AG25-AG30</f>
        <v/>
      </c>
      <c r="AH42" s="22">
        <f>IF(AND('Control Tower'!$B$16=0,32='Control Tower'!$B$13),$B$18,0)+IF(AND('Control Tower'!$B$16=1,32='Control Tower'!$B$17),'Control Tower'!$B$18,0)+IF(AND('Control Tower'!$B$21=1,32='Control Tower'!$B$22),'Control Tower'!$B$23,0)-IF(AND('Control Tower'!$B$21=1,'Control Tower'!$B$16=1,32='Control Tower'!$B$22),AG23,0)+IF(32='Control Tower'!$B$131,'Control Tower'!$B$130,0)-AH19-AH22-AH25-AH30</f>
        <v/>
      </c>
      <c r="AI42" s="22">
        <f>IF(AND('Control Tower'!$B$16=0,33='Control Tower'!$B$13),$B$18,0)+IF(AND('Control Tower'!$B$16=1,33='Control Tower'!$B$17),'Control Tower'!$B$18,0)+IF(AND('Control Tower'!$B$21=1,33='Control Tower'!$B$22),'Control Tower'!$B$23,0)-IF(AND('Control Tower'!$B$21=1,'Control Tower'!$B$16=1,33='Control Tower'!$B$22),AH23,0)+IF(33='Control Tower'!$B$131,'Control Tower'!$B$130,0)-AI19-AI22-AI25-AI30</f>
        <v/>
      </c>
      <c r="AJ42" s="22">
        <f>IF(AND('Control Tower'!$B$16=0,34='Control Tower'!$B$13),$B$18,0)+IF(AND('Control Tower'!$B$16=1,34='Control Tower'!$B$17),'Control Tower'!$B$18,0)+IF(AND('Control Tower'!$B$21=1,34='Control Tower'!$B$22),'Control Tower'!$B$23,0)-IF(AND('Control Tower'!$B$21=1,'Control Tower'!$B$16=1,34='Control Tower'!$B$22),AI23,0)+IF(34='Control Tower'!$B$131,'Control Tower'!$B$130,0)-AJ19-AJ22-AJ25-AJ30</f>
        <v/>
      </c>
      <c r="AK42" s="22">
        <f>IF(AND('Control Tower'!$B$16=0,35='Control Tower'!$B$13),$B$18,0)+IF(AND('Control Tower'!$B$16=1,35='Control Tower'!$B$17),'Control Tower'!$B$18,0)+IF(AND('Control Tower'!$B$21=1,35='Control Tower'!$B$22),'Control Tower'!$B$23,0)-IF(AND('Control Tower'!$B$21=1,'Control Tower'!$B$16=1,35='Control Tower'!$B$22),AJ23,0)+IF(35='Control Tower'!$B$131,'Control Tower'!$B$130,0)-AK19-AK22-AK25-AK30</f>
        <v/>
      </c>
      <c r="AL42" s="22">
        <f>IF(AND('Control Tower'!$B$16=0,36='Control Tower'!$B$13),$B$18,0)+IF(AND('Control Tower'!$B$16=1,36='Control Tower'!$B$17),'Control Tower'!$B$18,0)+IF(AND('Control Tower'!$B$21=1,36='Control Tower'!$B$22),'Control Tower'!$B$23,0)-IF(AND('Control Tower'!$B$21=1,'Control Tower'!$B$16=1,36='Control Tower'!$B$22),AK23,0)+IF(36='Control Tower'!$B$131,'Control Tower'!$B$130,0)-AL19-AL22-AL25-AL30</f>
        <v/>
      </c>
    </row>
    <row r="43">
      <c r="A43" s="10" t="inlineStr">
        <is>
          <t>ENDING CASH</t>
        </is>
      </c>
      <c r="C43" s="24">
        <f>'Control Tower'!$B$5-'Control Tower'!$B$6+C36+C37+C38+C39+C40+C41+C42</f>
        <v/>
      </c>
      <c r="D43" s="24">
        <f>C43+D36+D37+D38+D39+D40+D41+D42</f>
        <v/>
      </c>
      <c r="E43" s="24">
        <f>D43+E36+E37+E38+E39+E40+E41+E42</f>
        <v/>
      </c>
      <c r="F43" s="24">
        <f>E43+F36+F37+F38+F39+F40+F41+F42</f>
        <v/>
      </c>
      <c r="G43" s="24">
        <f>F43+G36+G37+G38+G39+G40+G41+G42</f>
        <v/>
      </c>
      <c r="H43" s="24">
        <f>G43+H36+H37+H38+H39+H40+H41+H42</f>
        <v/>
      </c>
      <c r="I43" s="24">
        <f>H43+I36+I37+I38+I39+I40+I41+I42</f>
        <v/>
      </c>
      <c r="J43" s="24">
        <f>I43+J36+J37+J38+J39+J40+J41+J42</f>
        <v/>
      </c>
      <c r="K43" s="24">
        <f>J43+K36+K37+K38+K39+K40+K41+K42</f>
        <v/>
      </c>
      <c r="L43" s="24">
        <f>K43+L36+L37+L38+L39+L40+L41+L42</f>
        <v/>
      </c>
      <c r="M43" s="24">
        <f>L43+M36+M37+M38+M39+M40+M41+M42</f>
        <v/>
      </c>
      <c r="N43" s="24">
        <f>M43+N36+N37+N38+N39+N40+N41+N42</f>
        <v/>
      </c>
      <c r="O43" s="24">
        <f>N43+O36+O37+O38+O39+O40+O41+O42</f>
        <v/>
      </c>
      <c r="P43" s="24">
        <f>O43+P36+P37+P38+P39+P40+P41+P42</f>
        <v/>
      </c>
      <c r="Q43" s="24">
        <f>P43+Q36+Q37+Q38+Q39+Q40+Q41+Q42</f>
        <v/>
      </c>
      <c r="R43" s="24">
        <f>Q43+R36+R37+R38+R39+R40+R41+R42</f>
        <v/>
      </c>
      <c r="S43" s="24">
        <f>R43+S36+S37+S38+S39+S40+S41+S42</f>
        <v/>
      </c>
      <c r="T43" s="24">
        <f>S43+T36+T37+T38+T39+T40+T41+T42</f>
        <v/>
      </c>
      <c r="U43" s="24">
        <f>T43+U36+U37+U38+U39+U40+U41+U42</f>
        <v/>
      </c>
      <c r="V43" s="24">
        <f>U43+V36+V37+V38+V39+V40+V41+V42</f>
        <v/>
      </c>
      <c r="W43" s="24">
        <f>V43+W36+W37+W38+W39+W40+W41+W42</f>
        <v/>
      </c>
      <c r="X43" s="24">
        <f>W43+X36+X37+X38+X39+X40+X41+X42</f>
        <v/>
      </c>
      <c r="Y43" s="24">
        <f>X43+Y36+Y37+Y38+Y39+Y40+Y41+Y42</f>
        <v/>
      </c>
      <c r="Z43" s="24">
        <f>Y43+Z36+Z37+Z38+Z39+Z40+Z41+Z42</f>
        <v/>
      </c>
      <c r="AA43" s="24">
        <f>Z43+AA36+AA37+AA38+AA39+AA40+AA41+AA42</f>
        <v/>
      </c>
      <c r="AB43" s="24">
        <f>AA43+AB36+AB37+AB38+AB39+AB40+AB41+AB42</f>
        <v/>
      </c>
      <c r="AC43" s="24">
        <f>AB43+AC36+AC37+AC38+AC39+AC40+AC41+AC42</f>
        <v/>
      </c>
      <c r="AD43" s="24">
        <f>AC43+AD36+AD37+AD38+AD39+AD40+AD41+AD42</f>
        <v/>
      </c>
      <c r="AE43" s="24">
        <f>AD43+AE36+AE37+AE38+AE39+AE40+AE41+AE42</f>
        <v/>
      </c>
      <c r="AF43" s="24">
        <f>AE43+AF36+AF37+AF38+AF39+AF40+AF41+AF42</f>
        <v/>
      </c>
      <c r="AG43" s="24">
        <f>AF43+AG36+AG37+AG38+AG39+AG40+AG41+AG42</f>
        <v/>
      </c>
      <c r="AH43" s="24">
        <f>AG43+AH36+AH37+AH38+AH39+AH40+AH41+AH42</f>
        <v/>
      </c>
      <c r="AI43" s="24">
        <f>AH43+AI36+AI37+AI38+AI39+AI40+AI41+AI42</f>
        <v/>
      </c>
      <c r="AJ43" s="24">
        <f>AI43+AJ36+AJ37+AJ38+AJ39+AJ40+AJ41+AJ42</f>
        <v/>
      </c>
      <c r="AK43" s="24">
        <f>AJ43+AK36+AK37+AK38+AK39+AK40+AK41+AK42</f>
        <v/>
      </c>
      <c r="AL43" s="24">
        <f>AK43+AL36+AL37+AL38+AL39+AL40+AL41+AL42</f>
        <v/>
      </c>
    </row>
    <row r="44">
      <c r="A44" s="10" t="inlineStr">
        <is>
          <t>ADDITIONAL FUNDING REQUIREMENT (amount by which cash is below zero)</t>
        </is>
      </c>
      <c r="C44" s="23">
        <f>MAX(0,-C43)</f>
        <v/>
      </c>
      <c r="D44" s="23">
        <f>MAX(0,-D43)</f>
        <v/>
      </c>
      <c r="E44" s="23">
        <f>MAX(0,-E43)</f>
        <v/>
      </c>
      <c r="F44" s="23">
        <f>MAX(0,-F43)</f>
        <v/>
      </c>
      <c r="G44" s="23">
        <f>MAX(0,-G43)</f>
        <v/>
      </c>
      <c r="H44" s="23">
        <f>MAX(0,-H43)</f>
        <v/>
      </c>
      <c r="I44" s="23">
        <f>MAX(0,-I43)</f>
        <v/>
      </c>
      <c r="J44" s="23">
        <f>MAX(0,-J43)</f>
        <v/>
      </c>
      <c r="K44" s="23">
        <f>MAX(0,-K43)</f>
        <v/>
      </c>
      <c r="L44" s="23">
        <f>MAX(0,-L43)</f>
        <v/>
      </c>
      <c r="M44" s="23">
        <f>MAX(0,-M43)</f>
        <v/>
      </c>
      <c r="N44" s="23">
        <f>MAX(0,-N43)</f>
        <v/>
      </c>
      <c r="O44" s="23">
        <f>MAX(0,-O43)</f>
        <v/>
      </c>
      <c r="P44" s="23">
        <f>MAX(0,-P43)</f>
        <v/>
      </c>
      <c r="Q44" s="23">
        <f>MAX(0,-Q43)</f>
        <v/>
      </c>
      <c r="R44" s="23">
        <f>MAX(0,-R43)</f>
        <v/>
      </c>
      <c r="S44" s="23">
        <f>MAX(0,-S43)</f>
        <v/>
      </c>
      <c r="T44" s="23">
        <f>MAX(0,-T43)</f>
        <v/>
      </c>
      <c r="U44" s="23">
        <f>MAX(0,-U43)</f>
        <v/>
      </c>
      <c r="V44" s="23">
        <f>MAX(0,-V43)</f>
        <v/>
      </c>
      <c r="W44" s="23">
        <f>MAX(0,-W43)</f>
        <v/>
      </c>
      <c r="X44" s="23">
        <f>MAX(0,-X43)</f>
        <v/>
      </c>
      <c r="Y44" s="23">
        <f>MAX(0,-Y43)</f>
        <v/>
      </c>
      <c r="Z44" s="23">
        <f>MAX(0,-Z43)</f>
        <v/>
      </c>
      <c r="AA44" s="23">
        <f>MAX(0,-AA43)</f>
        <v/>
      </c>
      <c r="AB44" s="23">
        <f>MAX(0,-AB43)</f>
        <v/>
      </c>
      <c r="AC44" s="23">
        <f>MAX(0,-AC43)</f>
        <v/>
      </c>
      <c r="AD44" s="23">
        <f>MAX(0,-AD43)</f>
        <v/>
      </c>
      <c r="AE44" s="23">
        <f>MAX(0,-AE43)</f>
        <v/>
      </c>
      <c r="AF44" s="23">
        <f>MAX(0,-AF43)</f>
        <v/>
      </c>
      <c r="AG44" s="23">
        <f>MAX(0,-AG43)</f>
        <v/>
      </c>
      <c r="AH44" s="23">
        <f>MAX(0,-AH43)</f>
        <v/>
      </c>
      <c r="AI44" s="23">
        <f>MAX(0,-AI43)</f>
        <v/>
      </c>
      <c r="AJ44" s="23">
        <f>MAX(0,-AJ43)</f>
        <v/>
      </c>
      <c r="AK44" s="23">
        <f>MAX(0,-AK43)</f>
        <v/>
      </c>
      <c r="AL44" s="23">
        <f>MAX(0,-AL43)</f>
        <v/>
      </c>
    </row>
    <row r="45">
      <c r="A45" s="4" t="inlineStr">
        <is>
          <t>DSCR (EBITDA / recurring debt service)</t>
        </is>
      </c>
      <c r="C45" s="29">
        <f>IF((C19+C22+C25+IF(AND(1&gt;='Control Tower'!$B$10,1&lt;='Control Tower'!$B$11,'Control Tower'!$B$16=0),'Control Tower'!$B$9,0))&gt;0,'P&amp;L'!C24/(C19+C22+C25+IF(AND(1&gt;='Control Tower'!$B$10,1&lt;='Control Tower'!$B$11,'Control Tower'!$B$16=0),'Control Tower'!$B$9,0)),"-")</f>
        <v/>
      </c>
      <c r="D45" s="29">
        <f>IF((D19+D22+D25+IF(AND(2&gt;='Control Tower'!$B$10,2&lt;='Control Tower'!$B$11,'Control Tower'!$B$16=0),'Control Tower'!$B$9,0))&gt;0,'P&amp;L'!D24/(D19+D22+D25+IF(AND(2&gt;='Control Tower'!$B$10,2&lt;='Control Tower'!$B$11,'Control Tower'!$B$16=0),'Control Tower'!$B$9,0)),"-")</f>
        <v/>
      </c>
      <c r="E45" s="29">
        <f>IF((E19+E22+E25+IF(AND(3&gt;='Control Tower'!$B$10,3&lt;='Control Tower'!$B$11,'Control Tower'!$B$16=0),'Control Tower'!$B$9,0))&gt;0,'P&amp;L'!E24/(E19+E22+E25+IF(AND(3&gt;='Control Tower'!$B$10,3&lt;='Control Tower'!$B$11,'Control Tower'!$B$16=0),'Control Tower'!$B$9,0)),"-")</f>
        <v/>
      </c>
      <c r="F45" s="29">
        <f>IF((F19+F22+F25+IF(AND(4&gt;='Control Tower'!$B$10,4&lt;='Control Tower'!$B$11,'Control Tower'!$B$16=0),'Control Tower'!$B$9,0))&gt;0,'P&amp;L'!F24/(F19+F22+F25+IF(AND(4&gt;='Control Tower'!$B$10,4&lt;='Control Tower'!$B$11,'Control Tower'!$B$16=0),'Control Tower'!$B$9,0)),"-")</f>
        <v/>
      </c>
      <c r="G45" s="29">
        <f>IF((G19+G22+G25+IF(AND(5&gt;='Control Tower'!$B$10,5&lt;='Control Tower'!$B$11,'Control Tower'!$B$16=0),'Control Tower'!$B$9,0))&gt;0,'P&amp;L'!G24/(G19+G22+G25+IF(AND(5&gt;='Control Tower'!$B$10,5&lt;='Control Tower'!$B$11,'Control Tower'!$B$16=0),'Control Tower'!$B$9,0)),"-")</f>
        <v/>
      </c>
      <c r="H45" s="29">
        <f>IF((H19+H22+H25+IF(AND(6&gt;='Control Tower'!$B$10,6&lt;='Control Tower'!$B$11,'Control Tower'!$B$16=0),'Control Tower'!$B$9,0))&gt;0,'P&amp;L'!H24/(H19+H22+H25+IF(AND(6&gt;='Control Tower'!$B$10,6&lt;='Control Tower'!$B$11,'Control Tower'!$B$16=0),'Control Tower'!$B$9,0)),"-")</f>
        <v/>
      </c>
      <c r="I45" s="29">
        <f>IF((I19+I22+I25+IF(AND(7&gt;='Control Tower'!$B$10,7&lt;='Control Tower'!$B$11,'Control Tower'!$B$16=0),'Control Tower'!$B$9,0))&gt;0,'P&amp;L'!I24/(I19+I22+I25+IF(AND(7&gt;='Control Tower'!$B$10,7&lt;='Control Tower'!$B$11,'Control Tower'!$B$16=0),'Control Tower'!$B$9,0)),"-")</f>
        <v/>
      </c>
      <c r="J45" s="29">
        <f>IF((J19+J22+J25+IF(AND(8&gt;='Control Tower'!$B$10,8&lt;='Control Tower'!$B$11,'Control Tower'!$B$16=0),'Control Tower'!$B$9,0))&gt;0,'P&amp;L'!J24/(J19+J22+J25+IF(AND(8&gt;='Control Tower'!$B$10,8&lt;='Control Tower'!$B$11,'Control Tower'!$B$16=0),'Control Tower'!$B$9,0)),"-")</f>
        <v/>
      </c>
      <c r="K45" s="29">
        <f>IF((K19+K22+K25+IF(AND(9&gt;='Control Tower'!$B$10,9&lt;='Control Tower'!$B$11,'Control Tower'!$B$16=0),'Control Tower'!$B$9,0))&gt;0,'P&amp;L'!K24/(K19+K22+K25+IF(AND(9&gt;='Control Tower'!$B$10,9&lt;='Control Tower'!$B$11,'Control Tower'!$B$16=0),'Control Tower'!$B$9,0)),"-")</f>
        <v/>
      </c>
      <c r="L45" s="29">
        <f>IF((L19+L22+L25+IF(AND(10&gt;='Control Tower'!$B$10,10&lt;='Control Tower'!$B$11,'Control Tower'!$B$16=0),'Control Tower'!$B$9,0))&gt;0,'P&amp;L'!L24/(L19+L22+L25+IF(AND(10&gt;='Control Tower'!$B$10,10&lt;='Control Tower'!$B$11,'Control Tower'!$B$16=0),'Control Tower'!$B$9,0)),"-")</f>
        <v/>
      </c>
      <c r="M45" s="29">
        <f>IF((M19+M22+M25+IF(AND(11&gt;='Control Tower'!$B$10,11&lt;='Control Tower'!$B$11,'Control Tower'!$B$16=0),'Control Tower'!$B$9,0))&gt;0,'P&amp;L'!M24/(M19+M22+M25+IF(AND(11&gt;='Control Tower'!$B$10,11&lt;='Control Tower'!$B$11,'Control Tower'!$B$16=0),'Control Tower'!$B$9,0)),"-")</f>
        <v/>
      </c>
      <c r="N45" s="29">
        <f>IF((N19+N22+N25+IF(AND(12&gt;='Control Tower'!$B$10,12&lt;='Control Tower'!$B$11,'Control Tower'!$B$16=0),'Control Tower'!$B$9,0))&gt;0,'P&amp;L'!N24/(N19+N22+N25+IF(AND(12&gt;='Control Tower'!$B$10,12&lt;='Control Tower'!$B$11,'Control Tower'!$B$16=0),'Control Tower'!$B$9,0)),"-")</f>
        <v/>
      </c>
      <c r="O45" s="29">
        <f>IF((O19+O22+O25+IF(AND(13&gt;='Control Tower'!$B$10,13&lt;='Control Tower'!$B$11,'Control Tower'!$B$16=0),'Control Tower'!$B$9,0))&gt;0,'P&amp;L'!O24/(O19+O22+O25+IF(AND(13&gt;='Control Tower'!$B$10,13&lt;='Control Tower'!$B$11,'Control Tower'!$B$16=0),'Control Tower'!$B$9,0)),"-")</f>
        <v/>
      </c>
      <c r="P45" s="29">
        <f>IF((P19+P22+P25+IF(AND(14&gt;='Control Tower'!$B$10,14&lt;='Control Tower'!$B$11,'Control Tower'!$B$16=0),'Control Tower'!$B$9,0))&gt;0,'P&amp;L'!P24/(P19+P22+P25+IF(AND(14&gt;='Control Tower'!$B$10,14&lt;='Control Tower'!$B$11,'Control Tower'!$B$16=0),'Control Tower'!$B$9,0)),"-")</f>
        <v/>
      </c>
      <c r="Q45" s="29">
        <f>IF((Q19+Q22+Q25+IF(AND(15&gt;='Control Tower'!$B$10,15&lt;='Control Tower'!$B$11,'Control Tower'!$B$16=0),'Control Tower'!$B$9,0))&gt;0,'P&amp;L'!Q24/(Q19+Q22+Q25+IF(AND(15&gt;='Control Tower'!$B$10,15&lt;='Control Tower'!$B$11,'Control Tower'!$B$16=0),'Control Tower'!$B$9,0)),"-")</f>
        <v/>
      </c>
      <c r="R45" s="29">
        <f>IF((R19+R22+R25+IF(AND(16&gt;='Control Tower'!$B$10,16&lt;='Control Tower'!$B$11,'Control Tower'!$B$16=0),'Control Tower'!$B$9,0))&gt;0,'P&amp;L'!R24/(R19+R22+R25+IF(AND(16&gt;='Control Tower'!$B$10,16&lt;='Control Tower'!$B$11,'Control Tower'!$B$16=0),'Control Tower'!$B$9,0)),"-")</f>
        <v/>
      </c>
      <c r="S45" s="29">
        <f>IF((S19+S22+S25+IF(AND(17&gt;='Control Tower'!$B$10,17&lt;='Control Tower'!$B$11,'Control Tower'!$B$16=0),'Control Tower'!$B$9,0))&gt;0,'P&amp;L'!S24/(S19+S22+S25+IF(AND(17&gt;='Control Tower'!$B$10,17&lt;='Control Tower'!$B$11,'Control Tower'!$B$16=0),'Control Tower'!$B$9,0)),"-")</f>
        <v/>
      </c>
      <c r="T45" s="29">
        <f>IF((T19+T22+T25+IF(AND(18&gt;='Control Tower'!$B$10,18&lt;='Control Tower'!$B$11,'Control Tower'!$B$16=0),'Control Tower'!$B$9,0))&gt;0,'P&amp;L'!T24/(T19+T22+T25+IF(AND(18&gt;='Control Tower'!$B$10,18&lt;='Control Tower'!$B$11,'Control Tower'!$B$16=0),'Control Tower'!$B$9,0)),"-")</f>
        <v/>
      </c>
      <c r="U45" s="29">
        <f>IF((U19+U22+U25+IF(AND(19&gt;='Control Tower'!$B$10,19&lt;='Control Tower'!$B$11,'Control Tower'!$B$16=0),'Control Tower'!$B$9,0))&gt;0,'P&amp;L'!U24/(U19+U22+U25+IF(AND(19&gt;='Control Tower'!$B$10,19&lt;='Control Tower'!$B$11,'Control Tower'!$B$16=0),'Control Tower'!$B$9,0)),"-")</f>
        <v/>
      </c>
      <c r="V45" s="29">
        <f>IF((V19+V22+V25+IF(AND(20&gt;='Control Tower'!$B$10,20&lt;='Control Tower'!$B$11,'Control Tower'!$B$16=0),'Control Tower'!$B$9,0))&gt;0,'P&amp;L'!V24/(V19+V22+V25+IF(AND(20&gt;='Control Tower'!$B$10,20&lt;='Control Tower'!$B$11,'Control Tower'!$B$16=0),'Control Tower'!$B$9,0)),"-")</f>
        <v/>
      </c>
      <c r="W45" s="29">
        <f>IF((W19+W22+W25+IF(AND(21&gt;='Control Tower'!$B$10,21&lt;='Control Tower'!$B$11,'Control Tower'!$B$16=0),'Control Tower'!$B$9,0))&gt;0,'P&amp;L'!W24/(W19+W22+W25+IF(AND(21&gt;='Control Tower'!$B$10,21&lt;='Control Tower'!$B$11,'Control Tower'!$B$16=0),'Control Tower'!$B$9,0)),"-")</f>
        <v/>
      </c>
      <c r="X45" s="29">
        <f>IF((X19+X22+X25+IF(AND(22&gt;='Control Tower'!$B$10,22&lt;='Control Tower'!$B$11,'Control Tower'!$B$16=0),'Control Tower'!$B$9,0))&gt;0,'P&amp;L'!X24/(X19+X22+X25+IF(AND(22&gt;='Control Tower'!$B$10,22&lt;='Control Tower'!$B$11,'Control Tower'!$B$16=0),'Control Tower'!$B$9,0)),"-")</f>
        <v/>
      </c>
      <c r="Y45" s="29">
        <f>IF((Y19+Y22+Y25+IF(AND(23&gt;='Control Tower'!$B$10,23&lt;='Control Tower'!$B$11,'Control Tower'!$B$16=0),'Control Tower'!$B$9,0))&gt;0,'P&amp;L'!Y24/(Y19+Y22+Y25+IF(AND(23&gt;='Control Tower'!$B$10,23&lt;='Control Tower'!$B$11,'Control Tower'!$B$16=0),'Control Tower'!$B$9,0)),"-")</f>
        <v/>
      </c>
      <c r="Z45" s="29">
        <f>IF((Z19+Z22+Z25+IF(AND(24&gt;='Control Tower'!$B$10,24&lt;='Control Tower'!$B$11,'Control Tower'!$B$16=0),'Control Tower'!$B$9,0))&gt;0,'P&amp;L'!Z24/(Z19+Z22+Z25+IF(AND(24&gt;='Control Tower'!$B$10,24&lt;='Control Tower'!$B$11,'Control Tower'!$B$16=0),'Control Tower'!$B$9,0)),"-")</f>
        <v/>
      </c>
      <c r="AA45" s="29">
        <f>IF((AA19+AA22+AA25+IF(AND(25&gt;='Control Tower'!$B$10,25&lt;='Control Tower'!$B$11,'Control Tower'!$B$16=0),'Control Tower'!$B$9,0))&gt;0,'P&amp;L'!AA24/(AA19+AA22+AA25+IF(AND(25&gt;='Control Tower'!$B$10,25&lt;='Control Tower'!$B$11,'Control Tower'!$B$16=0),'Control Tower'!$B$9,0)),"-")</f>
        <v/>
      </c>
      <c r="AB45" s="29">
        <f>IF((AB19+AB22+AB25+IF(AND(26&gt;='Control Tower'!$B$10,26&lt;='Control Tower'!$B$11,'Control Tower'!$B$16=0),'Control Tower'!$B$9,0))&gt;0,'P&amp;L'!AB24/(AB19+AB22+AB25+IF(AND(26&gt;='Control Tower'!$B$10,26&lt;='Control Tower'!$B$11,'Control Tower'!$B$16=0),'Control Tower'!$B$9,0)),"-")</f>
        <v/>
      </c>
      <c r="AC45" s="29">
        <f>IF((AC19+AC22+AC25+IF(AND(27&gt;='Control Tower'!$B$10,27&lt;='Control Tower'!$B$11,'Control Tower'!$B$16=0),'Control Tower'!$B$9,0))&gt;0,'P&amp;L'!AC24/(AC19+AC22+AC25+IF(AND(27&gt;='Control Tower'!$B$10,27&lt;='Control Tower'!$B$11,'Control Tower'!$B$16=0),'Control Tower'!$B$9,0)),"-")</f>
        <v/>
      </c>
      <c r="AD45" s="29">
        <f>IF((AD19+AD22+AD25+IF(AND(28&gt;='Control Tower'!$B$10,28&lt;='Control Tower'!$B$11,'Control Tower'!$B$16=0),'Control Tower'!$B$9,0))&gt;0,'P&amp;L'!AD24/(AD19+AD22+AD25+IF(AND(28&gt;='Control Tower'!$B$10,28&lt;='Control Tower'!$B$11,'Control Tower'!$B$16=0),'Control Tower'!$B$9,0)),"-")</f>
        <v/>
      </c>
      <c r="AE45" s="29">
        <f>IF((AE19+AE22+AE25+IF(AND(29&gt;='Control Tower'!$B$10,29&lt;='Control Tower'!$B$11,'Control Tower'!$B$16=0),'Control Tower'!$B$9,0))&gt;0,'P&amp;L'!AE24/(AE19+AE22+AE25+IF(AND(29&gt;='Control Tower'!$B$10,29&lt;='Control Tower'!$B$11,'Control Tower'!$B$16=0),'Control Tower'!$B$9,0)),"-")</f>
        <v/>
      </c>
      <c r="AF45" s="29">
        <f>IF((AF19+AF22+AF25+IF(AND(30&gt;='Control Tower'!$B$10,30&lt;='Control Tower'!$B$11,'Control Tower'!$B$16=0),'Control Tower'!$B$9,0))&gt;0,'P&amp;L'!AF24/(AF19+AF22+AF25+IF(AND(30&gt;='Control Tower'!$B$10,30&lt;='Control Tower'!$B$11,'Control Tower'!$B$16=0),'Control Tower'!$B$9,0)),"-")</f>
        <v/>
      </c>
      <c r="AG45" s="29">
        <f>IF((AG19+AG22+AG25+IF(AND(31&gt;='Control Tower'!$B$10,31&lt;='Control Tower'!$B$11,'Control Tower'!$B$16=0),'Control Tower'!$B$9,0))&gt;0,'P&amp;L'!AG24/(AG19+AG22+AG25+IF(AND(31&gt;='Control Tower'!$B$10,31&lt;='Control Tower'!$B$11,'Control Tower'!$B$16=0),'Control Tower'!$B$9,0)),"-")</f>
        <v/>
      </c>
      <c r="AH45" s="29">
        <f>IF((AH19+AH22+AH25+IF(AND(32&gt;='Control Tower'!$B$10,32&lt;='Control Tower'!$B$11,'Control Tower'!$B$16=0),'Control Tower'!$B$9,0))&gt;0,'P&amp;L'!AH24/(AH19+AH22+AH25+IF(AND(32&gt;='Control Tower'!$B$10,32&lt;='Control Tower'!$B$11,'Control Tower'!$B$16=0),'Control Tower'!$B$9,0)),"-")</f>
        <v/>
      </c>
      <c r="AI45" s="29">
        <f>IF((AI19+AI22+AI25+IF(AND(33&gt;='Control Tower'!$B$10,33&lt;='Control Tower'!$B$11,'Control Tower'!$B$16=0),'Control Tower'!$B$9,0))&gt;0,'P&amp;L'!AI24/(AI19+AI22+AI25+IF(AND(33&gt;='Control Tower'!$B$10,33&lt;='Control Tower'!$B$11,'Control Tower'!$B$16=0),'Control Tower'!$B$9,0)),"-")</f>
        <v/>
      </c>
      <c r="AJ45" s="29">
        <f>IF((AJ19+AJ22+AJ25+IF(AND(34&gt;='Control Tower'!$B$10,34&lt;='Control Tower'!$B$11,'Control Tower'!$B$16=0),'Control Tower'!$B$9,0))&gt;0,'P&amp;L'!AJ24/(AJ19+AJ22+AJ25+IF(AND(34&gt;='Control Tower'!$B$10,34&lt;='Control Tower'!$B$11,'Control Tower'!$B$16=0),'Control Tower'!$B$9,0)),"-")</f>
        <v/>
      </c>
      <c r="AK45" s="29">
        <f>IF((AK19+AK22+AK25+IF(AND(35&gt;='Control Tower'!$B$10,35&lt;='Control Tower'!$B$11,'Control Tower'!$B$16=0),'Control Tower'!$B$9,0))&gt;0,'P&amp;L'!AK24/(AK19+AK22+AK25+IF(AND(35&gt;='Control Tower'!$B$10,35&lt;='Control Tower'!$B$11,'Control Tower'!$B$16=0),'Control Tower'!$B$9,0)),"-")</f>
        <v/>
      </c>
      <c r="AL45" s="29">
        <f>IF((AL19+AL22+AL25+IF(AND(36&gt;='Control Tower'!$B$10,36&lt;='Control Tower'!$B$11,'Control Tower'!$B$16=0),'Control Tower'!$B$9,0))&gt;0,'P&amp;L'!AL24/(AL19+AL22+AL25+IF(AND(36&gt;='Control Tower'!$B$10,36&lt;='Control Tower'!$B$11,'Control Tower'!$B$16=0),'Control Tower'!$B$9,0)),"-")</f>
        <v/>
      </c>
    </row>
    <row r="46">
      <c r="A46" s="10" t="inlineStr">
        <is>
          <t>Minimum cash (36 months)</t>
        </is>
      </c>
      <c r="B46" s="23">
        <f>MIN(C43:AL43)</f>
        <v/>
      </c>
    </row>
    <row r="47">
      <c r="A47" s="10" t="inlineStr">
        <is>
          <t>PEAK ADDITIONAL FUNDING REQUIREMENT ($0 = fully funded)</t>
        </is>
      </c>
      <c r="B47" s="24">
        <f>MAX(C44:AL44)</f>
        <v/>
      </c>
    </row>
  </sheetData>
  <mergeCells count="8">
    <mergeCell ref="A17:N17"/>
    <mergeCell ref="A31:N31"/>
    <mergeCell ref="A6:N6"/>
    <mergeCell ref="A35:N35"/>
    <mergeCell ref="A2:N2"/>
    <mergeCell ref="A11:N11"/>
    <mergeCell ref="A28:N28"/>
    <mergeCell ref="A1:N1"/>
  </mergeCells>
  <conditionalFormatting sqref="C43:AL43">
    <cfRule type="cellIs" priority="1" operator="lessThan" dxfId="0">
      <formula>0</formula>
    </cfRule>
  </conditionalFormatting>
  <pageMargins left="0.75" right="0.75" top="1" bottom="1" header="0.5" footer="0.5"/>
  <pageSetup orientation="landscape" fitToHeight="0" fitToWidth="1"/>
  <headerFooter>
    <oddHeader/>
    <oddFooter>&amp;L&amp;8 Azalea Hospice - Proforma Rev 4.10&amp;C&amp;8 Confidential&amp;R&amp;8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AL22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BALANCE SHEET - fully articulated (no balancing entries); the check row equals zero in every month.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Cash</t>
        </is>
      </c>
      <c r="C6" s="22">
        <f>'Cash Flow &amp; Runway'!C43</f>
        <v/>
      </c>
      <c r="D6" s="22">
        <f>'Cash Flow &amp; Runway'!D43</f>
        <v/>
      </c>
      <c r="E6" s="22">
        <f>'Cash Flow &amp; Runway'!E43</f>
        <v/>
      </c>
      <c r="F6" s="22">
        <f>'Cash Flow &amp; Runway'!F43</f>
        <v/>
      </c>
      <c r="G6" s="22">
        <f>'Cash Flow &amp; Runway'!G43</f>
        <v/>
      </c>
      <c r="H6" s="22">
        <f>'Cash Flow &amp; Runway'!H43</f>
        <v/>
      </c>
      <c r="I6" s="22">
        <f>'Cash Flow &amp; Runway'!I43</f>
        <v/>
      </c>
      <c r="J6" s="22">
        <f>'Cash Flow &amp; Runway'!J43</f>
        <v/>
      </c>
      <c r="K6" s="22">
        <f>'Cash Flow &amp; Runway'!K43</f>
        <v/>
      </c>
      <c r="L6" s="22">
        <f>'Cash Flow &amp; Runway'!L43</f>
        <v/>
      </c>
      <c r="M6" s="22">
        <f>'Cash Flow &amp; Runway'!M43</f>
        <v/>
      </c>
      <c r="N6" s="22">
        <f>'Cash Flow &amp; Runway'!N43</f>
        <v/>
      </c>
      <c r="O6" s="22">
        <f>'Cash Flow &amp; Runway'!O43</f>
        <v/>
      </c>
      <c r="P6" s="22">
        <f>'Cash Flow &amp; Runway'!P43</f>
        <v/>
      </c>
      <c r="Q6" s="22">
        <f>'Cash Flow &amp; Runway'!Q43</f>
        <v/>
      </c>
      <c r="R6" s="22">
        <f>'Cash Flow &amp; Runway'!R43</f>
        <v/>
      </c>
      <c r="S6" s="22">
        <f>'Cash Flow &amp; Runway'!S43</f>
        <v/>
      </c>
      <c r="T6" s="22">
        <f>'Cash Flow &amp; Runway'!T43</f>
        <v/>
      </c>
      <c r="U6" s="22">
        <f>'Cash Flow &amp; Runway'!U43</f>
        <v/>
      </c>
      <c r="V6" s="22">
        <f>'Cash Flow &amp; Runway'!V43</f>
        <v/>
      </c>
      <c r="W6" s="22">
        <f>'Cash Flow &amp; Runway'!W43</f>
        <v/>
      </c>
      <c r="X6" s="22">
        <f>'Cash Flow &amp; Runway'!X43</f>
        <v/>
      </c>
      <c r="Y6" s="22">
        <f>'Cash Flow &amp; Runway'!Y43</f>
        <v/>
      </c>
      <c r="Z6" s="22">
        <f>'Cash Flow &amp; Runway'!Z43</f>
        <v/>
      </c>
      <c r="AA6" s="22">
        <f>'Cash Flow &amp; Runway'!AA43</f>
        <v/>
      </c>
      <c r="AB6" s="22">
        <f>'Cash Flow &amp; Runway'!AB43</f>
        <v/>
      </c>
      <c r="AC6" s="22">
        <f>'Cash Flow &amp; Runway'!AC43</f>
        <v/>
      </c>
      <c r="AD6" s="22">
        <f>'Cash Flow &amp; Runway'!AD43</f>
        <v/>
      </c>
      <c r="AE6" s="22">
        <f>'Cash Flow &amp; Runway'!AE43</f>
        <v/>
      </c>
      <c r="AF6" s="22">
        <f>'Cash Flow &amp; Runway'!AF43</f>
        <v/>
      </c>
      <c r="AG6" s="22">
        <f>'Cash Flow &amp; Runway'!AG43</f>
        <v/>
      </c>
      <c r="AH6" s="22">
        <f>'Cash Flow &amp; Runway'!AH43</f>
        <v/>
      </c>
      <c r="AI6" s="22">
        <f>'Cash Flow &amp; Runway'!AI43</f>
        <v/>
      </c>
      <c r="AJ6" s="22">
        <f>'Cash Flow &amp; Runway'!AJ43</f>
        <v/>
      </c>
      <c r="AK6" s="22">
        <f>'Cash Flow &amp; Runway'!AK43</f>
        <v/>
      </c>
      <c r="AL6" s="22">
        <f>'Cash Flow &amp; Runway'!AL43</f>
        <v/>
      </c>
    </row>
    <row r="7">
      <c r="A7" s="4" t="inlineStr">
        <is>
          <t>Accounts receivable</t>
        </is>
      </c>
      <c r="C7" s="22">
        <f>'Cash Flow &amp; Runway'!C10</f>
        <v/>
      </c>
      <c r="D7" s="22">
        <f>'Cash Flow &amp; Runway'!D10</f>
        <v/>
      </c>
      <c r="E7" s="22">
        <f>'Cash Flow &amp; Runway'!E10</f>
        <v/>
      </c>
      <c r="F7" s="22">
        <f>'Cash Flow &amp; Runway'!F10</f>
        <v/>
      </c>
      <c r="G7" s="22">
        <f>'Cash Flow &amp; Runway'!G10</f>
        <v/>
      </c>
      <c r="H7" s="22">
        <f>'Cash Flow &amp; Runway'!H10</f>
        <v/>
      </c>
      <c r="I7" s="22">
        <f>'Cash Flow &amp; Runway'!I10</f>
        <v/>
      </c>
      <c r="J7" s="22">
        <f>'Cash Flow &amp; Runway'!J10</f>
        <v/>
      </c>
      <c r="K7" s="22">
        <f>'Cash Flow &amp; Runway'!K10</f>
        <v/>
      </c>
      <c r="L7" s="22">
        <f>'Cash Flow &amp; Runway'!L10</f>
        <v/>
      </c>
      <c r="M7" s="22">
        <f>'Cash Flow &amp; Runway'!M10</f>
        <v/>
      </c>
      <c r="N7" s="22">
        <f>'Cash Flow &amp; Runway'!N10</f>
        <v/>
      </c>
      <c r="O7" s="22">
        <f>'Cash Flow &amp; Runway'!O10</f>
        <v/>
      </c>
      <c r="P7" s="22">
        <f>'Cash Flow &amp; Runway'!P10</f>
        <v/>
      </c>
      <c r="Q7" s="22">
        <f>'Cash Flow &amp; Runway'!Q10</f>
        <v/>
      </c>
      <c r="R7" s="22">
        <f>'Cash Flow &amp; Runway'!R10</f>
        <v/>
      </c>
      <c r="S7" s="22">
        <f>'Cash Flow &amp; Runway'!S10</f>
        <v/>
      </c>
      <c r="T7" s="22">
        <f>'Cash Flow &amp; Runway'!T10</f>
        <v/>
      </c>
      <c r="U7" s="22">
        <f>'Cash Flow &amp; Runway'!U10</f>
        <v/>
      </c>
      <c r="V7" s="22">
        <f>'Cash Flow &amp; Runway'!V10</f>
        <v/>
      </c>
      <c r="W7" s="22">
        <f>'Cash Flow &amp; Runway'!W10</f>
        <v/>
      </c>
      <c r="X7" s="22">
        <f>'Cash Flow &amp; Runway'!X10</f>
        <v/>
      </c>
      <c r="Y7" s="22">
        <f>'Cash Flow &amp; Runway'!Y10</f>
        <v/>
      </c>
      <c r="Z7" s="22">
        <f>'Cash Flow &amp; Runway'!Z10</f>
        <v/>
      </c>
      <c r="AA7" s="22">
        <f>'Cash Flow &amp; Runway'!AA10</f>
        <v/>
      </c>
      <c r="AB7" s="22">
        <f>'Cash Flow &amp; Runway'!AB10</f>
        <v/>
      </c>
      <c r="AC7" s="22">
        <f>'Cash Flow &amp; Runway'!AC10</f>
        <v/>
      </c>
      <c r="AD7" s="22">
        <f>'Cash Flow &amp; Runway'!AD10</f>
        <v/>
      </c>
      <c r="AE7" s="22">
        <f>'Cash Flow &amp; Runway'!AE10</f>
        <v/>
      </c>
      <c r="AF7" s="22">
        <f>'Cash Flow &amp; Runway'!AF10</f>
        <v/>
      </c>
      <c r="AG7" s="22">
        <f>'Cash Flow &amp; Runway'!AG10</f>
        <v/>
      </c>
      <c r="AH7" s="22">
        <f>'Cash Flow &amp; Runway'!AH10</f>
        <v/>
      </c>
      <c r="AI7" s="22">
        <f>'Cash Flow &amp; Runway'!AI10</f>
        <v/>
      </c>
      <c r="AJ7" s="22">
        <f>'Cash Flow &amp; Runway'!AJ10</f>
        <v/>
      </c>
      <c r="AK7" s="22">
        <f>'Cash Flow &amp; Runway'!AK10</f>
        <v/>
      </c>
      <c r="AL7" s="22">
        <f>'Cash Flow &amp; Runway'!AL10</f>
        <v/>
      </c>
    </row>
    <row r="8">
      <c r="A8" s="4" t="inlineStr">
        <is>
          <t>License intangible - gross (1980)</t>
        </is>
      </c>
      <c r="C8" s="22">
        <f>IF(1&gt;='Control Tower'!$B$27,'Control Tower'!$B$7,0)</f>
        <v/>
      </c>
      <c r="D8" s="22">
        <f>IF(2&gt;='Control Tower'!$B$27,'Control Tower'!$B$7,0)</f>
        <v/>
      </c>
      <c r="E8" s="22">
        <f>IF(3&gt;='Control Tower'!$B$27,'Control Tower'!$B$7,0)</f>
        <v/>
      </c>
      <c r="F8" s="22">
        <f>IF(4&gt;='Control Tower'!$B$27,'Control Tower'!$B$7,0)</f>
        <v/>
      </c>
      <c r="G8" s="22">
        <f>IF(5&gt;='Control Tower'!$B$27,'Control Tower'!$B$7,0)</f>
        <v/>
      </c>
      <c r="H8" s="22">
        <f>IF(6&gt;='Control Tower'!$B$27,'Control Tower'!$B$7,0)</f>
        <v/>
      </c>
      <c r="I8" s="22">
        <f>IF(7&gt;='Control Tower'!$B$27,'Control Tower'!$B$7,0)</f>
        <v/>
      </c>
      <c r="J8" s="22">
        <f>IF(8&gt;='Control Tower'!$B$27,'Control Tower'!$B$7,0)</f>
        <v/>
      </c>
      <c r="K8" s="22">
        <f>IF(9&gt;='Control Tower'!$B$27,'Control Tower'!$B$7,0)</f>
        <v/>
      </c>
      <c r="L8" s="22">
        <f>IF(10&gt;='Control Tower'!$B$27,'Control Tower'!$B$7,0)</f>
        <v/>
      </c>
      <c r="M8" s="22">
        <f>IF(11&gt;='Control Tower'!$B$27,'Control Tower'!$B$7,0)</f>
        <v/>
      </c>
      <c r="N8" s="22">
        <f>IF(12&gt;='Control Tower'!$B$27,'Control Tower'!$B$7,0)</f>
        <v/>
      </c>
      <c r="O8" s="22">
        <f>IF(13&gt;='Control Tower'!$B$27,'Control Tower'!$B$7,0)</f>
        <v/>
      </c>
      <c r="P8" s="22">
        <f>IF(14&gt;='Control Tower'!$B$27,'Control Tower'!$B$7,0)</f>
        <v/>
      </c>
      <c r="Q8" s="22">
        <f>IF(15&gt;='Control Tower'!$B$27,'Control Tower'!$B$7,0)</f>
        <v/>
      </c>
      <c r="R8" s="22">
        <f>IF(16&gt;='Control Tower'!$B$27,'Control Tower'!$B$7,0)</f>
        <v/>
      </c>
      <c r="S8" s="22">
        <f>IF(17&gt;='Control Tower'!$B$27,'Control Tower'!$B$7,0)</f>
        <v/>
      </c>
      <c r="T8" s="22">
        <f>IF(18&gt;='Control Tower'!$B$27,'Control Tower'!$B$7,0)</f>
        <v/>
      </c>
      <c r="U8" s="22">
        <f>IF(19&gt;='Control Tower'!$B$27,'Control Tower'!$B$7,0)</f>
        <v/>
      </c>
      <c r="V8" s="22">
        <f>IF(20&gt;='Control Tower'!$B$27,'Control Tower'!$B$7,0)</f>
        <v/>
      </c>
      <c r="W8" s="22">
        <f>IF(21&gt;='Control Tower'!$B$27,'Control Tower'!$B$7,0)</f>
        <v/>
      </c>
      <c r="X8" s="22">
        <f>IF(22&gt;='Control Tower'!$B$27,'Control Tower'!$B$7,0)</f>
        <v/>
      </c>
      <c r="Y8" s="22">
        <f>IF(23&gt;='Control Tower'!$B$27,'Control Tower'!$B$7,0)</f>
        <v/>
      </c>
      <c r="Z8" s="22">
        <f>IF(24&gt;='Control Tower'!$B$27,'Control Tower'!$B$7,0)</f>
        <v/>
      </c>
      <c r="AA8" s="22">
        <f>IF(25&gt;='Control Tower'!$B$27,'Control Tower'!$B$7,0)</f>
        <v/>
      </c>
      <c r="AB8" s="22">
        <f>IF(26&gt;='Control Tower'!$B$27,'Control Tower'!$B$7,0)</f>
        <v/>
      </c>
      <c r="AC8" s="22">
        <f>IF(27&gt;='Control Tower'!$B$27,'Control Tower'!$B$7,0)</f>
        <v/>
      </c>
      <c r="AD8" s="22">
        <f>IF(28&gt;='Control Tower'!$B$27,'Control Tower'!$B$7,0)</f>
        <v/>
      </c>
      <c r="AE8" s="22">
        <f>IF(29&gt;='Control Tower'!$B$27,'Control Tower'!$B$7,0)</f>
        <v/>
      </c>
      <c r="AF8" s="22">
        <f>IF(30&gt;='Control Tower'!$B$27,'Control Tower'!$B$7,0)</f>
        <v/>
      </c>
      <c r="AG8" s="22">
        <f>IF(31&gt;='Control Tower'!$B$27,'Control Tower'!$B$7,0)</f>
        <v/>
      </c>
      <c r="AH8" s="22">
        <f>IF(32&gt;='Control Tower'!$B$27,'Control Tower'!$B$7,0)</f>
        <v/>
      </c>
      <c r="AI8" s="22">
        <f>IF(33&gt;='Control Tower'!$B$27,'Control Tower'!$B$7,0)</f>
        <v/>
      </c>
      <c r="AJ8" s="22">
        <f>IF(34&gt;='Control Tower'!$B$27,'Control Tower'!$B$7,0)</f>
        <v/>
      </c>
      <c r="AK8" s="22">
        <f>IF(35&gt;='Control Tower'!$B$27,'Control Tower'!$B$7,0)</f>
        <v/>
      </c>
      <c r="AL8" s="22">
        <f>IF(36&gt;='Control Tower'!$B$27,'Control Tower'!$B$7,0)</f>
        <v/>
      </c>
    </row>
    <row r="9">
      <c r="A9" s="4" t="inlineStr">
        <is>
          <t>Less: accumulated amortization</t>
        </is>
      </c>
      <c r="C9" s="22">
        <f>-SUM('P&amp;L'!$C$21:C21)</f>
        <v/>
      </c>
      <c r="D9" s="22">
        <f>-SUM('P&amp;L'!$C$21:D21)</f>
        <v/>
      </c>
      <c r="E9" s="22">
        <f>-SUM('P&amp;L'!$C$21:E21)</f>
        <v/>
      </c>
      <c r="F9" s="22">
        <f>-SUM('P&amp;L'!$C$21:F21)</f>
        <v/>
      </c>
      <c r="G9" s="22">
        <f>-SUM('P&amp;L'!$C$21:G21)</f>
        <v/>
      </c>
      <c r="H9" s="22">
        <f>-SUM('P&amp;L'!$C$21:H21)</f>
        <v/>
      </c>
      <c r="I9" s="22">
        <f>-SUM('P&amp;L'!$C$21:I21)</f>
        <v/>
      </c>
      <c r="J9" s="22">
        <f>-SUM('P&amp;L'!$C$21:J21)</f>
        <v/>
      </c>
      <c r="K9" s="22">
        <f>-SUM('P&amp;L'!$C$21:K21)</f>
        <v/>
      </c>
      <c r="L9" s="22">
        <f>-SUM('P&amp;L'!$C$21:L21)</f>
        <v/>
      </c>
      <c r="M9" s="22">
        <f>-SUM('P&amp;L'!$C$21:M21)</f>
        <v/>
      </c>
      <c r="N9" s="22">
        <f>-SUM('P&amp;L'!$C$21:N21)</f>
        <v/>
      </c>
      <c r="O9" s="22">
        <f>-SUM('P&amp;L'!$C$21:O21)</f>
        <v/>
      </c>
      <c r="P9" s="22">
        <f>-SUM('P&amp;L'!$C$21:P21)</f>
        <v/>
      </c>
      <c r="Q9" s="22">
        <f>-SUM('P&amp;L'!$C$21:Q21)</f>
        <v/>
      </c>
      <c r="R9" s="22">
        <f>-SUM('P&amp;L'!$C$21:R21)</f>
        <v/>
      </c>
      <c r="S9" s="22">
        <f>-SUM('P&amp;L'!$C$21:S21)</f>
        <v/>
      </c>
      <c r="T9" s="22">
        <f>-SUM('P&amp;L'!$C$21:T21)</f>
        <v/>
      </c>
      <c r="U9" s="22">
        <f>-SUM('P&amp;L'!$C$21:U21)</f>
        <v/>
      </c>
      <c r="V9" s="22">
        <f>-SUM('P&amp;L'!$C$21:V21)</f>
        <v/>
      </c>
      <c r="W9" s="22">
        <f>-SUM('P&amp;L'!$C$21:W21)</f>
        <v/>
      </c>
      <c r="X9" s="22">
        <f>-SUM('P&amp;L'!$C$21:X21)</f>
        <v/>
      </c>
      <c r="Y9" s="22">
        <f>-SUM('P&amp;L'!$C$21:Y21)</f>
        <v/>
      </c>
      <c r="Z9" s="22">
        <f>-SUM('P&amp;L'!$C$21:Z21)</f>
        <v/>
      </c>
      <c r="AA9" s="22">
        <f>-SUM('P&amp;L'!$C$21:AA21)</f>
        <v/>
      </c>
      <c r="AB9" s="22">
        <f>-SUM('P&amp;L'!$C$21:AB21)</f>
        <v/>
      </c>
      <c r="AC9" s="22">
        <f>-SUM('P&amp;L'!$C$21:AC21)</f>
        <v/>
      </c>
      <c r="AD9" s="22">
        <f>-SUM('P&amp;L'!$C$21:AD21)</f>
        <v/>
      </c>
      <c r="AE9" s="22">
        <f>-SUM('P&amp;L'!$C$21:AE21)</f>
        <v/>
      </c>
      <c r="AF9" s="22">
        <f>-SUM('P&amp;L'!$C$21:AF21)</f>
        <v/>
      </c>
      <c r="AG9" s="22">
        <f>-SUM('P&amp;L'!$C$21:AG21)</f>
        <v/>
      </c>
      <c r="AH9" s="22">
        <f>-SUM('P&amp;L'!$C$21:AH21)</f>
        <v/>
      </c>
      <c r="AI9" s="22">
        <f>-SUM('P&amp;L'!$C$21:AI21)</f>
        <v/>
      </c>
      <c r="AJ9" s="22">
        <f>-SUM('P&amp;L'!$C$21:AJ21)</f>
        <v/>
      </c>
      <c r="AK9" s="22">
        <f>-SUM('P&amp;L'!$C$21:AK21)</f>
        <v/>
      </c>
      <c r="AL9" s="22">
        <f>-SUM('P&amp;L'!$C$21:AL21)</f>
        <v/>
      </c>
    </row>
    <row r="10">
      <c r="A10" s="10" t="inlineStr">
        <is>
          <t>TOTAL ASSETS</t>
        </is>
      </c>
      <c r="C10" s="23">
        <f>C6+C7+C8+C9</f>
        <v/>
      </c>
      <c r="D10" s="23">
        <f>D6+D7+D8+D9</f>
        <v/>
      </c>
      <c r="E10" s="23">
        <f>E6+E7+E8+E9</f>
        <v/>
      </c>
      <c r="F10" s="23">
        <f>F6+F7+F8+F9</f>
        <v/>
      </c>
      <c r="G10" s="23">
        <f>G6+G7+G8+G9</f>
        <v/>
      </c>
      <c r="H10" s="23">
        <f>H6+H7+H8+H9</f>
        <v/>
      </c>
      <c r="I10" s="23">
        <f>I6+I7+I8+I9</f>
        <v/>
      </c>
      <c r="J10" s="23">
        <f>J6+J7+J8+J9</f>
        <v/>
      </c>
      <c r="K10" s="23">
        <f>K6+K7+K8+K9</f>
        <v/>
      </c>
      <c r="L10" s="23">
        <f>L6+L7+L8+L9</f>
        <v/>
      </c>
      <c r="M10" s="23">
        <f>M6+M7+M8+M9</f>
        <v/>
      </c>
      <c r="N10" s="23">
        <f>N6+N7+N8+N9</f>
        <v/>
      </c>
      <c r="O10" s="23">
        <f>O6+O7+O8+O9</f>
        <v/>
      </c>
      <c r="P10" s="23">
        <f>P6+P7+P8+P9</f>
        <v/>
      </c>
      <c r="Q10" s="23">
        <f>Q6+Q7+Q8+Q9</f>
        <v/>
      </c>
      <c r="R10" s="23">
        <f>R6+R7+R8+R9</f>
        <v/>
      </c>
      <c r="S10" s="23">
        <f>S6+S7+S8+S9</f>
        <v/>
      </c>
      <c r="T10" s="23">
        <f>T6+T7+T8+T9</f>
        <v/>
      </c>
      <c r="U10" s="23">
        <f>U6+U7+U8+U9</f>
        <v/>
      </c>
      <c r="V10" s="23">
        <f>V6+V7+V8+V9</f>
        <v/>
      </c>
      <c r="W10" s="23">
        <f>W6+W7+W8+W9</f>
        <v/>
      </c>
      <c r="X10" s="23">
        <f>X6+X7+X8+X9</f>
        <v/>
      </c>
      <c r="Y10" s="23">
        <f>Y6+Y7+Y8+Y9</f>
        <v/>
      </c>
      <c r="Z10" s="23">
        <f>Z6+Z7+Z8+Z9</f>
        <v/>
      </c>
      <c r="AA10" s="23">
        <f>AA6+AA7+AA8+AA9</f>
        <v/>
      </c>
      <c r="AB10" s="23">
        <f>AB6+AB7+AB8+AB9</f>
        <v/>
      </c>
      <c r="AC10" s="23">
        <f>AC6+AC7+AC8+AC9</f>
        <v/>
      </c>
      <c r="AD10" s="23">
        <f>AD6+AD7+AD8+AD9</f>
        <v/>
      </c>
      <c r="AE10" s="23">
        <f>AE6+AE7+AE8+AE9</f>
        <v/>
      </c>
      <c r="AF10" s="23">
        <f>AF6+AF7+AF8+AF9</f>
        <v/>
      </c>
      <c r="AG10" s="23">
        <f>AG6+AG7+AG8+AG9</f>
        <v/>
      </c>
      <c r="AH10" s="23">
        <f>AH6+AH7+AH8+AH9</f>
        <v/>
      </c>
      <c r="AI10" s="23">
        <f>AI6+AI7+AI8+AI9</f>
        <v/>
      </c>
      <c r="AJ10" s="23">
        <f>AJ6+AJ7+AJ8+AJ9</f>
        <v/>
      </c>
      <c r="AK10" s="23">
        <f>AK6+AK7+AK8+AK9</f>
        <v/>
      </c>
      <c r="AL10" s="23">
        <f>AL6+AL7+AL8+AL9</f>
        <v/>
      </c>
    </row>
    <row r="11">
      <c r="A11" s="4" t="inlineStr">
        <is>
          <t>A/P - direct patient care (net-30)</t>
        </is>
      </c>
      <c r="C11" s="22">
        <f>'Operating Budget'!C12</f>
        <v/>
      </c>
      <c r="D11" s="22">
        <f>'Operating Budget'!D12</f>
        <v/>
      </c>
      <c r="E11" s="22">
        <f>'Operating Budget'!E12</f>
        <v/>
      </c>
      <c r="F11" s="22">
        <f>'Operating Budget'!F12</f>
        <v/>
      </c>
      <c r="G11" s="22">
        <f>'Operating Budget'!G12</f>
        <v/>
      </c>
      <c r="H11" s="22">
        <f>'Operating Budget'!H12</f>
        <v/>
      </c>
      <c r="I11" s="22">
        <f>'Operating Budget'!I12</f>
        <v/>
      </c>
      <c r="J11" s="22">
        <f>'Operating Budget'!J12</f>
        <v/>
      </c>
      <c r="K11" s="22">
        <f>'Operating Budget'!K12</f>
        <v/>
      </c>
      <c r="L11" s="22">
        <f>'Operating Budget'!L12</f>
        <v/>
      </c>
      <c r="M11" s="22">
        <f>'Operating Budget'!M12</f>
        <v/>
      </c>
      <c r="N11" s="22">
        <f>'Operating Budget'!N12</f>
        <v/>
      </c>
      <c r="O11" s="22">
        <f>'Operating Budget'!O12</f>
        <v/>
      </c>
      <c r="P11" s="22">
        <f>'Operating Budget'!P12</f>
        <v/>
      </c>
      <c r="Q11" s="22">
        <f>'Operating Budget'!Q12</f>
        <v/>
      </c>
      <c r="R11" s="22">
        <f>'Operating Budget'!R12</f>
        <v/>
      </c>
      <c r="S11" s="22">
        <f>'Operating Budget'!S12</f>
        <v/>
      </c>
      <c r="T11" s="22">
        <f>'Operating Budget'!T12</f>
        <v/>
      </c>
      <c r="U11" s="22">
        <f>'Operating Budget'!U12</f>
        <v/>
      </c>
      <c r="V11" s="22">
        <f>'Operating Budget'!V12</f>
        <v/>
      </c>
      <c r="W11" s="22">
        <f>'Operating Budget'!W12</f>
        <v/>
      </c>
      <c r="X11" s="22">
        <f>'Operating Budget'!X12</f>
        <v/>
      </c>
      <c r="Y11" s="22">
        <f>'Operating Budget'!Y12</f>
        <v/>
      </c>
      <c r="Z11" s="22">
        <f>'Operating Budget'!Z12</f>
        <v/>
      </c>
      <c r="AA11" s="22">
        <f>'Operating Budget'!AA12</f>
        <v/>
      </c>
      <c r="AB11" s="22">
        <f>'Operating Budget'!AB12</f>
        <v/>
      </c>
      <c r="AC11" s="22">
        <f>'Operating Budget'!AC12</f>
        <v/>
      </c>
      <c r="AD11" s="22">
        <f>'Operating Budget'!AD12</f>
        <v/>
      </c>
      <c r="AE11" s="22">
        <f>'Operating Budget'!AE12</f>
        <v/>
      </c>
      <c r="AF11" s="22">
        <f>'Operating Budget'!AF12</f>
        <v/>
      </c>
      <c r="AG11" s="22">
        <f>'Operating Budget'!AG12</f>
        <v/>
      </c>
      <c r="AH11" s="22">
        <f>'Operating Budget'!AH12</f>
        <v/>
      </c>
      <c r="AI11" s="22">
        <f>'Operating Budget'!AI12</f>
        <v/>
      </c>
      <c r="AJ11" s="22">
        <f>'Operating Budget'!AJ12</f>
        <v/>
      </c>
      <c r="AK11" s="22">
        <f>'Operating Budget'!AK12</f>
        <v/>
      </c>
      <c r="AL11" s="22">
        <f>'Operating Budget'!AL12</f>
        <v/>
      </c>
    </row>
    <row r="12">
      <c r="A12" s="4" t="inlineStr">
        <is>
          <t>Seller note payable + accrued interest</t>
        </is>
      </c>
      <c r="C12" s="22">
        <f>'Cash Flow &amp; Runway'!C16+SUM('Cash Flow &amp; Runway'!$C$13:C13)-SUM('Cash Flow &amp; Runway'!$C$15:C15)</f>
        <v/>
      </c>
      <c r="D12" s="22">
        <f>'Cash Flow &amp; Runway'!D16+SUM('Cash Flow &amp; Runway'!$C$13:D13)-SUM('Cash Flow &amp; Runway'!$C$15:D15)</f>
        <v/>
      </c>
      <c r="E12" s="22">
        <f>'Cash Flow &amp; Runway'!E16+SUM('Cash Flow &amp; Runway'!$C$13:E13)-SUM('Cash Flow &amp; Runway'!$C$15:E15)</f>
        <v/>
      </c>
      <c r="F12" s="22">
        <f>'Cash Flow &amp; Runway'!F16+SUM('Cash Flow &amp; Runway'!$C$13:F13)-SUM('Cash Flow &amp; Runway'!$C$15:F15)</f>
        <v/>
      </c>
      <c r="G12" s="22">
        <f>'Cash Flow &amp; Runway'!G16+SUM('Cash Flow &amp; Runway'!$C$13:G13)-SUM('Cash Flow &amp; Runway'!$C$15:G15)</f>
        <v/>
      </c>
      <c r="H12" s="22">
        <f>'Cash Flow &amp; Runway'!H16+SUM('Cash Flow &amp; Runway'!$C$13:H13)-SUM('Cash Flow &amp; Runway'!$C$15:H15)</f>
        <v/>
      </c>
      <c r="I12" s="22">
        <f>'Cash Flow &amp; Runway'!I16+SUM('Cash Flow &amp; Runway'!$C$13:I13)-SUM('Cash Flow &amp; Runway'!$C$15:I15)</f>
        <v/>
      </c>
      <c r="J12" s="22">
        <f>'Cash Flow &amp; Runway'!J16+SUM('Cash Flow &amp; Runway'!$C$13:J13)-SUM('Cash Flow &amp; Runway'!$C$15:J15)</f>
        <v/>
      </c>
      <c r="K12" s="22">
        <f>'Cash Flow &amp; Runway'!K16+SUM('Cash Flow &amp; Runway'!$C$13:K13)-SUM('Cash Flow &amp; Runway'!$C$15:K15)</f>
        <v/>
      </c>
      <c r="L12" s="22">
        <f>'Cash Flow &amp; Runway'!L16+SUM('Cash Flow &amp; Runway'!$C$13:L13)-SUM('Cash Flow &amp; Runway'!$C$15:L15)</f>
        <v/>
      </c>
      <c r="M12" s="22">
        <f>'Cash Flow &amp; Runway'!M16+SUM('Cash Flow &amp; Runway'!$C$13:M13)-SUM('Cash Flow &amp; Runway'!$C$15:M15)</f>
        <v/>
      </c>
      <c r="N12" s="22">
        <f>'Cash Flow &amp; Runway'!N16+SUM('Cash Flow &amp; Runway'!$C$13:N13)-SUM('Cash Flow &amp; Runway'!$C$15:N15)</f>
        <v/>
      </c>
      <c r="O12" s="22">
        <f>'Cash Flow &amp; Runway'!O16+SUM('Cash Flow &amp; Runway'!$C$13:O13)-SUM('Cash Flow &amp; Runway'!$C$15:O15)</f>
        <v/>
      </c>
      <c r="P12" s="22">
        <f>'Cash Flow &amp; Runway'!P16+SUM('Cash Flow &amp; Runway'!$C$13:P13)-SUM('Cash Flow &amp; Runway'!$C$15:P15)</f>
        <v/>
      </c>
      <c r="Q12" s="22">
        <f>'Cash Flow &amp; Runway'!Q16+SUM('Cash Flow &amp; Runway'!$C$13:Q13)-SUM('Cash Flow &amp; Runway'!$C$15:Q15)</f>
        <v/>
      </c>
      <c r="R12" s="22">
        <f>'Cash Flow &amp; Runway'!R16+SUM('Cash Flow &amp; Runway'!$C$13:R13)-SUM('Cash Flow &amp; Runway'!$C$15:R15)</f>
        <v/>
      </c>
      <c r="S12" s="22">
        <f>'Cash Flow &amp; Runway'!S16+SUM('Cash Flow &amp; Runway'!$C$13:S13)-SUM('Cash Flow &amp; Runway'!$C$15:S15)</f>
        <v/>
      </c>
      <c r="T12" s="22">
        <f>'Cash Flow &amp; Runway'!T16+SUM('Cash Flow &amp; Runway'!$C$13:T13)-SUM('Cash Flow &amp; Runway'!$C$15:T15)</f>
        <v/>
      </c>
      <c r="U12" s="22">
        <f>'Cash Flow &amp; Runway'!U16+SUM('Cash Flow &amp; Runway'!$C$13:U13)-SUM('Cash Flow &amp; Runway'!$C$15:U15)</f>
        <v/>
      </c>
      <c r="V12" s="22">
        <f>'Cash Flow &amp; Runway'!V16+SUM('Cash Flow &amp; Runway'!$C$13:V13)-SUM('Cash Flow &amp; Runway'!$C$15:V15)</f>
        <v/>
      </c>
      <c r="W12" s="22">
        <f>'Cash Flow &amp; Runway'!W16+SUM('Cash Flow &amp; Runway'!$C$13:W13)-SUM('Cash Flow &amp; Runway'!$C$15:W15)</f>
        <v/>
      </c>
      <c r="X12" s="22">
        <f>'Cash Flow &amp; Runway'!X16+SUM('Cash Flow &amp; Runway'!$C$13:X13)-SUM('Cash Flow &amp; Runway'!$C$15:X15)</f>
        <v/>
      </c>
      <c r="Y12" s="22">
        <f>'Cash Flow &amp; Runway'!Y16+SUM('Cash Flow &amp; Runway'!$C$13:Y13)-SUM('Cash Flow &amp; Runway'!$C$15:Y15)</f>
        <v/>
      </c>
      <c r="Z12" s="22">
        <f>'Cash Flow &amp; Runway'!Z16+SUM('Cash Flow &amp; Runway'!$C$13:Z13)-SUM('Cash Flow &amp; Runway'!$C$15:Z15)</f>
        <v/>
      </c>
      <c r="AA12" s="22">
        <f>'Cash Flow &amp; Runway'!AA16+SUM('Cash Flow &amp; Runway'!$C$13:AA13)-SUM('Cash Flow &amp; Runway'!$C$15:AA15)</f>
        <v/>
      </c>
      <c r="AB12" s="22">
        <f>'Cash Flow &amp; Runway'!AB16+SUM('Cash Flow &amp; Runway'!$C$13:AB13)-SUM('Cash Flow &amp; Runway'!$C$15:AB15)</f>
        <v/>
      </c>
      <c r="AC12" s="22">
        <f>'Cash Flow &amp; Runway'!AC16+SUM('Cash Flow &amp; Runway'!$C$13:AC13)-SUM('Cash Flow &amp; Runway'!$C$15:AC15)</f>
        <v/>
      </c>
      <c r="AD12" s="22">
        <f>'Cash Flow &amp; Runway'!AD16+SUM('Cash Flow &amp; Runway'!$C$13:AD13)-SUM('Cash Flow &amp; Runway'!$C$15:AD15)</f>
        <v/>
      </c>
      <c r="AE12" s="22">
        <f>'Cash Flow &amp; Runway'!AE16+SUM('Cash Flow &amp; Runway'!$C$13:AE13)-SUM('Cash Flow &amp; Runway'!$C$15:AE15)</f>
        <v/>
      </c>
      <c r="AF12" s="22">
        <f>'Cash Flow &amp; Runway'!AF16+SUM('Cash Flow &amp; Runway'!$C$13:AF13)-SUM('Cash Flow &amp; Runway'!$C$15:AF15)</f>
        <v/>
      </c>
      <c r="AG12" s="22">
        <f>'Cash Flow &amp; Runway'!AG16+SUM('Cash Flow &amp; Runway'!$C$13:AG13)-SUM('Cash Flow &amp; Runway'!$C$15:AG15)</f>
        <v/>
      </c>
      <c r="AH12" s="22">
        <f>'Cash Flow &amp; Runway'!AH16+SUM('Cash Flow &amp; Runway'!$C$13:AH13)-SUM('Cash Flow &amp; Runway'!$C$15:AH15)</f>
        <v/>
      </c>
      <c r="AI12" s="22">
        <f>'Cash Flow &amp; Runway'!AI16+SUM('Cash Flow &amp; Runway'!$C$13:AI13)-SUM('Cash Flow &amp; Runway'!$C$15:AI15)</f>
        <v/>
      </c>
      <c r="AJ12" s="22">
        <f>'Cash Flow &amp; Runway'!AJ16+SUM('Cash Flow &amp; Runway'!$C$13:AJ13)-SUM('Cash Flow &amp; Runway'!$C$15:AJ15)</f>
        <v/>
      </c>
      <c r="AK12" s="22">
        <f>'Cash Flow &amp; Runway'!AK16+SUM('Cash Flow &amp; Runway'!$C$13:AK13)-SUM('Cash Flow &amp; Runway'!$C$15:AK15)</f>
        <v/>
      </c>
      <c r="AL12" s="22">
        <f>'Cash Flow &amp; Runway'!AL16+SUM('Cash Flow &amp; Runway'!$C$13:AL13)-SUM('Cash Flow &amp; Runway'!$C$15:AL15)</f>
        <v/>
      </c>
    </row>
    <row r="13">
      <c r="A13" s="4" t="inlineStr">
        <is>
          <t>Balloon refi payable</t>
        </is>
      </c>
      <c r="C13" s="22">
        <f>'Cash Flow &amp; Runway'!C20</f>
        <v/>
      </c>
      <c r="D13" s="22">
        <f>'Cash Flow &amp; Runway'!D20</f>
        <v/>
      </c>
      <c r="E13" s="22">
        <f>'Cash Flow &amp; Runway'!E20</f>
        <v/>
      </c>
      <c r="F13" s="22">
        <f>'Cash Flow &amp; Runway'!F20</f>
        <v/>
      </c>
      <c r="G13" s="22">
        <f>'Cash Flow &amp; Runway'!G20</f>
        <v/>
      </c>
      <c r="H13" s="22">
        <f>'Cash Flow &amp; Runway'!H20</f>
        <v/>
      </c>
      <c r="I13" s="22">
        <f>'Cash Flow &amp; Runway'!I20</f>
        <v/>
      </c>
      <c r="J13" s="22">
        <f>'Cash Flow &amp; Runway'!J20</f>
        <v/>
      </c>
      <c r="K13" s="22">
        <f>'Cash Flow &amp; Runway'!K20</f>
        <v/>
      </c>
      <c r="L13" s="22">
        <f>'Cash Flow &amp; Runway'!L20</f>
        <v/>
      </c>
      <c r="M13" s="22">
        <f>'Cash Flow &amp; Runway'!M20</f>
        <v/>
      </c>
      <c r="N13" s="22">
        <f>'Cash Flow &amp; Runway'!N20</f>
        <v/>
      </c>
      <c r="O13" s="22">
        <f>'Cash Flow &amp; Runway'!O20</f>
        <v/>
      </c>
      <c r="P13" s="22">
        <f>'Cash Flow &amp; Runway'!P20</f>
        <v/>
      </c>
      <c r="Q13" s="22">
        <f>'Cash Flow &amp; Runway'!Q20</f>
        <v/>
      </c>
      <c r="R13" s="22">
        <f>'Cash Flow &amp; Runway'!R20</f>
        <v/>
      </c>
      <c r="S13" s="22">
        <f>'Cash Flow &amp; Runway'!S20</f>
        <v/>
      </c>
      <c r="T13" s="22">
        <f>'Cash Flow &amp; Runway'!T20</f>
        <v/>
      </c>
      <c r="U13" s="22">
        <f>'Cash Flow &amp; Runway'!U20</f>
        <v/>
      </c>
      <c r="V13" s="22">
        <f>'Cash Flow &amp; Runway'!V20</f>
        <v/>
      </c>
      <c r="W13" s="22">
        <f>'Cash Flow &amp; Runway'!W20</f>
        <v/>
      </c>
      <c r="X13" s="22">
        <f>'Cash Flow &amp; Runway'!X20</f>
        <v/>
      </c>
      <c r="Y13" s="22">
        <f>'Cash Flow &amp; Runway'!Y20</f>
        <v/>
      </c>
      <c r="Z13" s="22">
        <f>'Cash Flow &amp; Runway'!Z20</f>
        <v/>
      </c>
      <c r="AA13" s="22">
        <f>'Cash Flow &amp; Runway'!AA20</f>
        <v/>
      </c>
      <c r="AB13" s="22">
        <f>'Cash Flow &amp; Runway'!AB20</f>
        <v/>
      </c>
      <c r="AC13" s="22">
        <f>'Cash Flow &amp; Runway'!AC20</f>
        <v/>
      </c>
      <c r="AD13" s="22">
        <f>'Cash Flow &amp; Runway'!AD20</f>
        <v/>
      </c>
      <c r="AE13" s="22">
        <f>'Cash Flow &amp; Runway'!AE20</f>
        <v/>
      </c>
      <c r="AF13" s="22">
        <f>'Cash Flow &amp; Runway'!AF20</f>
        <v/>
      </c>
      <c r="AG13" s="22">
        <f>'Cash Flow &amp; Runway'!AG20</f>
        <v/>
      </c>
      <c r="AH13" s="22">
        <f>'Cash Flow &amp; Runway'!AH20</f>
        <v/>
      </c>
      <c r="AI13" s="22">
        <f>'Cash Flow &amp; Runway'!AI20</f>
        <v/>
      </c>
      <c r="AJ13" s="22">
        <f>'Cash Flow &amp; Runway'!AJ20</f>
        <v/>
      </c>
      <c r="AK13" s="22">
        <f>'Cash Flow &amp; Runway'!AK20</f>
        <v/>
      </c>
      <c r="AL13" s="22">
        <f>'Cash Flow &amp; Runway'!AL20</f>
        <v/>
      </c>
    </row>
    <row r="14">
      <c r="A14" s="4" t="inlineStr">
        <is>
          <t>Bank refi payable</t>
        </is>
      </c>
      <c r="C14" s="22">
        <f>'Cash Flow &amp; Runway'!C23</f>
        <v/>
      </c>
      <c r="D14" s="22">
        <f>'Cash Flow &amp; Runway'!D23</f>
        <v/>
      </c>
      <c r="E14" s="22">
        <f>'Cash Flow &amp; Runway'!E23</f>
        <v/>
      </c>
      <c r="F14" s="22">
        <f>'Cash Flow &amp; Runway'!F23</f>
        <v/>
      </c>
      <c r="G14" s="22">
        <f>'Cash Flow &amp; Runway'!G23</f>
        <v/>
      </c>
      <c r="H14" s="22">
        <f>'Cash Flow &amp; Runway'!H23</f>
        <v/>
      </c>
      <c r="I14" s="22">
        <f>'Cash Flow &amp; Runway'!I23</f>
        <v/>
      </c>
      <c r="J14" s="22">
        <f>'Cash Flow &amp; Runway'!J23</f>
        <v/>
      </c>
      <c r="K14" s="22">
        <f>'Cash Flow &amp; Runway'!K23</f>
        <v/>
      </c>
      <c r="L14" s="22">
        <f>'Cash Flow &amp; Runway'!L23</f>
        <v/>
      </c>
      <c r="M14" s="22">
        <f>'Cash Flow &amp; Runway'!M23</f>
        <v/>
      </c>
      <c r="N14" s="22">
        <f>'Cash Flow &amp; Runway'!N23</f>
        <v/>
      </c>
      <c r="O14" s="22">
        <f>'Cash Flow &amp; Runway'!O23</f>
        <v/>
      </c>
      <c r="P14" s="22">
        <f>'Cash Flow &amp; Runway'!P23</f>
        <v/>
      </c>
      <c r="Q14" s="22">
        <f>'Cash Flow &amp; Runway'!Q23</f>
        <v/>
      </c>
      <c r="R14" s="22">
        <f>'Cash Flow &amp; Runway'!R23</f>
        <v/>
      </c>
      <c r="S14" s="22">
        <f>'Cash Flow &amp; Runway'!S23</f>
        <v/>
      </c>
      <c r="T14" s="22">
        <f>'Cash Flow &amp; Runway'!T23</f>
        <v/>
      </c>
      <c r="U14" s="22">
        <f>'Cash Flow &amp; Runway'!U23</f>
        <v/>
      </c>
      <c r="V14" s="22">
        <f>'Cash Flow &amp; Runway'!V23</f>
        <v/>
      </c>
      <c r="W14" s="22">
        <f>'Cash Flow &amp; Runway'!W23</f>
        <v/>
      </c>
      <c r="X14" s="22">
        <f>'Cash Flow &amp; Runway'!X23</f>
        <v/>
      </c>
      <c r="Y14" s="22">
        <f>'Cash Flow &amp; Runway'!Y23</f>
        <v/>
      </c>
      <c r="Z14" s="22">
        <f>'Cash Flow &amp; Runway'!Z23</f>
        <v/>
      </c>
      <c r="AA14" s="22">
        <f>'Cash Flow &amp; Runway'!AA23</f>
        <v/>
      </c>
      <c r="AB14" s="22">
        <f>'Cash Flow &amp; Runway'!AB23</f>
        <v/>
      </c>
      <c r="AC14" s="22">
        <f>'Cash Flow &amp; Runway'!AC23</f>
        <v/>
      </c>
      <c r="AD14" s="22">
        <f>'Cash Flow &amp; Runway'!AD23</f>
        <v/>
      </c>
      <c r="AE14" s="22">
        <f>'Cash Flow &amp; Runway'!AE23</f>
        <v/>
      </c>
      <c r="AF14" s="22">
        <f>'Cash Flow &amp; Runway'!AF23</f>
        <v/>
      </c>
      <c r="AG14" s="22">
        <f>'Cash Flow &amp; Runway'!AG23</f>
        <v/>
      </c>
      <c r="AH14" s="22">
        <f>'Cash Flow &amp; Runway'!AH23</f>
        <v/>
      </c>
      <c r="AI14" s="22">
        <f>'Cash Flow &amp; Runway'!AI23</f>
        <v/>
      </c>
      <c r="AJ14" s="22">
        <f>'Cash Flow &amp; Runway'!AJ23</f>
        <v/>
      </c>
      <c r="AK14" s="22">
        <f>'Cash Flow &amp; Runway'!AK23</f>
        <v/>
      </c>
      <c r="AL14" s="22">
        <f>'Cash Flow &amp; Runway'!AL23</f>
        <v/>
      </c>
    </row>
    <row r="15">
      <c r="A15" s="4" t="inlineStr">
        <is>
          <t>SBA loan payable</t>
        </is>
      </c>
      <c r="C15" s="22">
        <f>'Cash Flow &amp; Runway'!C26</f>
        <v/>
      </c>
      <c r="D15" s="22">
        <f>'Cash Flow &amp; Runway'!D26</f>
        <v/>
      </c>
      <c r="E15" s="22">
        <f>'Cash Flow &amp; Runway'!E26</f>
        <v/>
      </c>
      <c r="F15" s="22">
        <f>'Cash Flow &amp; Runway'!F26</f>
        <v/>
      </c>
      <c r="G15" s="22">
        <f>'Cash Flow &amp; Runway'!G26</f>
        <v/>
      </c>
      <c r="H15" s="22">
        <f>'Cash Flow &amp; Runway'!H26</f>
        <v/>
      </c>
      <c r="I15" s="22">
        <f>'Cash Flow &amp; Runway'!I26</f>
        <v/>
      </c>
      <c r="J15" s="22">
        <f>'Cash Flow &amp; Runway'!J26</f>
        <v/>
      </c>
      <c r="K15" s="22">
        <f>'Cash Flow &amp; Runway'!K26</f>
        <v/>
      </c>
      <c r="L15" s="22">
        <f>'Cash Flow &amp; Runway'!L26</f>
        <v/>
      </c>
      <c r="M15" s="22">
        <f>'Cash Flow &amp; Runway'!M26</f>
        <v/>
      </c>
      <c r="N15" s="22">
        <f>'Cash Flow &amp; Runway'!N26</f>
        <v/>
      </c>
      <c r="O15" s="22">
        <f>'Cash Flow &amp; Runway'!O26</f>
        <v/>
      </c>
      <c r="P15" s="22">
        <f>'Cash Flow &amp; Runway'!P26</f>
        <v/>
      </c>
      <c r="Q15" s="22">
        <f>'Cash Flow &amp; Runway'!Q26</f>
        <v/>
      </c>
      <c r="R15" s="22">
        <f>'Cash Flow &amp; Runway'!R26</f>
        <v/>
      </c>
      <c r="S15" s="22">
        <f>'Cash Flow &amp; Runway'!S26</f>
        <v/>
      </c>
      <c r="T15" s="22">
        <f>'Cash Flow &amp; Runway'!T26</f>
        <v/>
      </c>
      <c r="U15" s="22">
        <f>'Cash Flow &amp; Runway'!U26</f>
        <v/>
      </c>
      <c r="V15" s="22">
        <f>'Cash Flow &amp; Runway'!V26</f>
        <v/>
      </c>
      <c r="W15" s="22">
        <f>'Cash Flow &amp; Runway'!W26</f>
        <v/>
      </c>
      <c r="X15" s="22">
        <f>'Cash Flow &amp; Runway'!X26</f>
        <v/>
      </c>
      <c r="Y15" s="22">
        <f>'Cash Flow &amp; Runway'!Y26</f>
        <v/>
      </c>
      <c r="Z15" s="22">
        <f>'Cash Flow &amp; Runway'!Z26</f>
        <v/>
      </c>
      <c r="AA15" s="22">
        <f>'Cash Flow &amp; Runway'!AA26</f>
        <v/>
      </c>
      <c r="AB15" s="22">
        <f>'Cash Flow &amp; Runway'!AB26</f>
        <v/>
      </c>
      <c r="AC15" s="22">
        <f>'Cash Flow &amp; Runway'!AC26</f>
        <v/>
      </c>
      <c r="AD15" s="22">
        <f>'Cash Flow &amp; Runway'!AD26</f>
        <v/>
      </c>
      <c r="AE15" s="22">
        <f>'Cash Flow &amp; Runway'!AE26</f>
        <v/>
      </c>
      <c r="AF15" s="22">
        <f>'Cash Flow &amp; Runway'!AF26</f>
        <v/>
      </c>
      <c r="AG15" s="22">
        <f>'Cash Flow &amp; Runway'!AG26</f>
        <v/>
      </c>
      <c r="AH15" s="22">
        <f>'Cash Flow &amp; Runway'!AH26</f>
        <v/>
      </c>
      <c r="AI15" s="22">
        <f>'Cash Flow &amp; Runway'!AI26</f>
        <v/>
      </c>
      <c r="AJ15" s="22">
        <f>'Cash Flow &amp; Runway'!AJ26</f>
        <v/>
      </c>
      <c r="AK15" s="22">
        <f>'Cash Flow &amp; Runway'!AK26</f>
        <v/>
      </c>
      <c r="AL15" s="22">
        <f>'Cash Flow &amp; Runway'!AL26</f>
        <v/>
      </c>
    </row>
    <row r="16">
      <c r="A16" s="4" t="inlineStr">
        <is>
          <t>Investor notes payable</t>
        </is>
      </c>
      <c r="C16" s="22">
        <f>'Cash Flow &amp; Runway'!C29</f>
        <v/>
      </c>
      <c r="D16" s="22">
        <f>'Cash Flow &amp; Runway'!D29</f>
        <v/>
      </c>
      <c r="E16" s="22">
        <f>'Cash Flow &amp; Runway'!E29</f>
        <v/>
      </c>
      <c r="F16" s="22">
        <f>'Cash Flow &amp; Runway'!F29</f>
        <v/>
      </c>
      <c r="G16" s="22">
        <f>'Cash Flow &amp; Runway'!G29</f>
        <v/>
      </c>
      <c r="H16" s="22">
        <f>'Cash Flow &amp; Runway'!H29</f>
        <v/>
      </c>
      <c r="I16" s="22">
        <f>'Cash Flow &amp; Runway'!I29</f>
        <v/>
      </c>
      <c r="J16" s="22">
        <f>'Cash Flow &amp; Runway'!J29</f>
        <v/>
      </c>
      <c r="K16" s="22">
        <f>'Cash Flow &amp; Runway'!K29</f>
        <v/>
      </c>
      <c r="L16" s="22">
        <f>'Cash Flow &amp; Runway'!L29</f>
        <v/>
      </c>
      <c r="M16" s="22">
        <f>'Cash Flow &amp; Runway'!M29</f>
        <v/>
      </c>
      <c r="N16" s="22">
        <f>'Cash Flow &amp; Runway'!N29</f>
        <v/>
      </c>
      <c r="O16" s="22">
        <f>'Cash Flow &amp; Runway'!O29</f>
        <v/>
      </c>
      <c r="P16" s="22">
        <f>'Cash Flow &amp; Runway'!P29</f>
        <v/>
      </c>
      <c r="Q16" s="22">
        <f>'Cash Flow &amp; Runway'!Q29</f>
        <v/>
      </c>
      <c r="R16" s="22">
        <f>'Cash Flow &amp; Runway'!R29</f>
        <v/>
      </c>
      <c r="S16" s="22">
        <f>'Cash Flow &amp; Runway'!S29</f>
        <v/>
      </c>
      <c r="T16" s="22">
        <f>'Cash Flow &amp; Runway'!T29</f>
        <v/>
      </c>
      <c r="U16" s="22">
        <f>'Cash Flow &amp; Runway'!U29</f>
        <v/>
      </c>
      <c r="V16" s="22">
        <f>'Cash Flow &amp; Runway'!V29</f>
        <v/>
      </c>
      <c r="W16" s="22">
        <f>'Cash Flow &amp; Runway'!W29</f>
        <v/>
      </c>
      <c r="X16" s="22">
        <f>'Cash Flow &amp; Runway'!X29</f>
        <v/>
      </c>
      <c r="Y16" s="22">
        <f>'Cash Flow &amp; Runway'!Y29</f>
        <v/>
      </c>
      <c r="Z16" s="22">
        <f>'Cash Flow &amp; Runway'!Z29</f>
        <v/>
      </c>
      <c r="AA16" s="22">
        <f>'Cash Flow &amp; Runway'!AA29</f>
        <v/>
      </c>
      <c r="AB16" s="22">
        <f>'Cash Flow &amp; Runway'!AB29</f>
        <v/>
      </c>
      <c r="AC16" s="22">
        <f>'Cash Flow &amp; Runway'!AC29</f>
        <v/>
      </c>
      <c r="AD16" s="22">
        <f>'Cash Flow &amp; Runway'!AD29</f>
        <v/>
      </c>
      <c r="AE16" s="22">
        <f>'Cash Flow &amp; Runway'!AE29</f>
        <v/>
      </c>
      <c r="AF16" s="22">
        <f>'Cash Flow &amp; Runway'!AF29</f>
        <v/>
      </c>
      <c r="AG16" s="22">
        <f>'Cash Flow &amp; Runway'!AG29</f>
        <v/>
      </c>
      <c r="AH16" s="22">
        <f>'Cash Flow &amp; Runway'!AH29</f>
        <v/>
      </c>
      <c r="AI16" s="22">
        <f>'Cash Flow &amp; Runway'!AI29</f>
        <v/>
      </c>
      <c r="AJ16" s="22">
        <f>'Cash Flow &amp; Runway'!AJ29</f>
        <v/>
      </c>
      <c r="AK16" s="22">
        <f>'Cash Flow &amp; Runway'!AK29</f>
        <v/>
      </c>
      <c r="AL16" s="22">
        <f>'Cash Flow &amp; Runway'!AL29</f>
        <v/>
      </c>
    </row>
    <row r="17">
      <c r="A17" s="4" t="inlineStr">
        <is>
          <t>Deferred owner compensation</t>
        </is>
      </c>
      <c r="C17" s="22">
        <f>'Staffing'!C44</f>
        <v/>
      </c>
      <c r="D17" s="22">
        <f>'Staffing'!D44</f>
        <v/>
      </c>
      <c r="E17" s="22">
        <f>'Staffing'!E44</f>
        <v/>
      </c>
      <c r="F17" s="22">
        <f>'Staffing'!F44</f>
        <v/>
      </c>
      <c r="G17" s="22">
        <f>'Staffing'!G44</f>
        <v/>
      </c>
      <c r="H17" s="22">
        <f>'Staffing'!H44</f>
        <v/>
      </c>
      <c r="I17" s="22">
        <f>'Staffing'!I44</f>
        <v/>
      </c>
      <c r="J17" s="22">
        <f>'Staffing'!J44</f>
        <v/>
      </c>
      <c r="K17" s="22">
        <f>'Staffing'!K44</f>
        <v/>
      </c>
      <c r="L17" s="22">
        <f>'Staffing'!L44</f>
        <v/>
      </c>
      <c r="M17" s="22">
        <f>'Staffing'!M44</f>
        <v/>
      </c>
      <c r="N17" s="22">
        <f>'Staffing'!N44</f>
        <v/>
      </c>
      <c r="O17" s="22">
        <f>'Staffing'!O44</f>
        <v/>
      </c>
      <c r="P17" s="22">
        <f>'Staffing'!P44</f>
        <v/>
      </c>
      <c r="Q17" s="22">
        <f>'Staffing'!Q44</f>
        <v/>
      </c>
      <c r="R17" s="22">
        <f>'Staffing'!R44</f>
        <v/>
      </c>
      <c r="S17" s="22">
        <f>'Staffing'!S44</f>
        <v/>
      </c>
      <c r="T17" s="22">
        <f>'Staffing'!T44</f>
        <v/>
      </c>
      <c r="U17" s="22">
        <f>'Staffing'!U44</f>
        <v/>
      </c>
      <c r="V17" s="22">
        <f>'Staffing'!V44</f>
        <v/>
      </c>
      <c r="W17" s="22">
        <f>'Staffing'!W44</f>
        <v/>
      </c>
      <c r="X17" s="22">
        <f>'Staffing'!X44</f>
        <v/>
      </c>
      <c r="Y17" s="22">
        <f>'Staffing'!Y44</f>
        <v/>
      </c>
      <c r="Z17" s="22">
        <f>'Staffing'!Z44</f>
        <v/>
      </c>
      <c r="AA17" s="22">
        <f>'Staffing'!AA44</f>
        <v/>
      </c>
      <c r="AB17" s="22">
        <f>'Staffing'!AB44</f>
        <v/>
      </c>
      <c r="AC17" s="22">
        <f>'Staffing'!AC44</f>
        <v/>
      </c>
      <c r="AD17" s="22">
        <f>'Staffing'!AD44</f>
        <v/>
      </c>
      <c r="AE17" s="22">
        <f>'Staffing'!AE44</f>
        <v/>
      </c>
      <c r="AF17" s="22">
        <f>'Staffing'!AF44</f>
        <v/>
      </c>
      <c r="AG17" s="22">
        <f>'Staffing'!AG44</f>
        <v/>
      </c>
      <c r="AH17" s="22">
        <f>'Staffing'!AH44</f>
        <v/>
      </c>
      <c r="AI17" s="22">
        <f>'Staffing'!AI44</f>
        <v/>
      </c>
      <c r="AJ17" s="22">
        <f>'Staffing'!AJ44</f>
        <v/>
      </c>
      <c r="AK17" s="22">
        <f>'Staffing'!AK44</f>
        <v/>
      </c>
      <c r="AL17" s="22">
        <f>'Staffing'!AL44</f>
        <v/>
      </c>
    </row>
    <row r="18">
      <c r="A18" s="10" t="inlineStr">
        <is>
          <t>TOTAL LIABILITIES</t>
        </is>
      </c>
      <c r="C18" s="23">
        <f>C11+C12+C13+C14+C15+C16+C17</f>
        <v/>
      </c>
      <c r="D18" s="23">
        <f>D11+D12+D13+D14+D15+D16+D17</f>
        <v/>
      </c>
      <c r="E18" s="23">
        <f>E11+E12+E13+E14+E15+E16+E17</f>
        <v/>
      </c>
      <c r="F18" s="23">
        <f>F11+F12+F13+F14+F15+F16+F17</f>
        <v/>
      </c>
      <c r="G18" s="23">
        <f>G11+G12+G13+G14+G15+G16+G17</f>
        <v/>
      </c>
      <c r="H18" s="23">
        <f>H11+H12+H13+H14+H15+H16+H17</f>
        <v/>
      </c>
      <c r="I18" s="23">
        <f>I11+I12+I13+I14+I15+I16+I17</f>
        <v/>
      </c>
      <c r="J18" s="23">
        <f>J11+J12+J13+J14+J15+J16+J17</f>
        <v/>
      </c>
      <c r="K18" s="23">
        <f>K11+K12+K13+K14+K15+K16+K17</f>
        <v/>
      </c>
      <c r="L18" s="23">
        <f>L11+L12+L13+L14+L15+L16+L17</f>
        <v/>
      </c>
      <c r="M18" s="23">
        <f>M11+M12+M13+M14+M15+M16+M17</f>
        <v/>
      </c>
      <c r="N18" s="23">
        <f>N11+N12+N13+N14+N15+N16+N17</f>
        <v/>
      </c>
      <c r="O18" s="23">
        <f>O11+O12+O13+O14+O15+O16+O17</f>
        <v/>
      </c>
      <c r="P18" s="23">
        <f>P11+P12+P13+P14+P15+P16+P17</f>
        <v/>
      </c>
      <c r="Q18" s="23">
        <f>Q11+Q12+Q13+Q14+Q15+Q16+Q17</f>
        <v/>
      </c>
      <c r="R18" s="23">
        <f>R11+R12+R13+R14+R15+R16+R17</f>
        <v/>
      </c>
      <c r="S18" s="23">
        <f>S11+S12+S13+S14+S15+S16+S17</f>
        <v/>
      </c>
      <c r="T18" s="23">
        <f>T11+T12+T13+T14+T15+T16+T17</f>
        <v/>
      </c>
      <c r="U18" s="23">
        <f>U11+U12+U13+U14+U15+U16+U17</f>
        <v/>
      </c>
      <c r="V18" s="23">
        <f>V11+V12+V13+V14+V15+V16+V17</f>
        <v/>
      </c>
      <c r="W18" s="23">
        <f>W11+W12+W13+W14+W15+W16+W17</f>
        <v/>
      </c>
      <c r="X18" s="23">
        <f>X11+X12+X13+X14+X15+X16+X17</f>
        <v/>
      </c>
      <c r="Y18" s="23">
        <f>Y11+Y12+Y13+Y14+Y15+Y16+Y17</f>
        <v/>
      </c>
      <c r="Z18" s="23">
        <f>Z11+Z12+Z13+Z14+Z15+Z16+Z17</f>
        <v/>
      </c>
      <c r="AA18" s="23">
        <f>AA11+AA12+AA13+AA14+AA15+AA16+AA17</f>
        <v/>
      </c>
      <c r="AB18" s="23">
        <f>AB11+AB12+AB13+AB14+AB15+AB16+AB17</f>
        <v/>
      </c>
      <c r="AC18" s="23">
        <f>AC11+AC12+AC13+AC14+AC15+AC16+AC17</f>
        <v/>
      </c>
      <c r="AD18" s="23">
        <f>AD11+AD12+AD13+AD14+AD15+AD16+AD17</f>
        <v/>
      </c>
      <c r="AE18" s="23">
        <f>AE11+AE12+AE13+AE14+AE15+AE16+AE17</f>
        <v/>
      </c>
      <c r="AF18" s="23">
        <f>AF11+AF12+AF13+AF14+AF15+AF16+AF17</f>
        <v/>
      </c>
      <c r="AG18" s="23">
        <f>AG11+AG12+AG13+AG14+AG15+AG16+AG17</f>
        <v/>
      </c>
      <c r="AH18" s="23">
        <f>AH11+AH12+AH13+AH14+AH15+AH16+AH17</f>
        <v/>
      </c>
      <c r="AI18" s="23">
        <f>AI11+AI12+AI13+AI14+AI15+AI16+AI17</f>
        <v/>
      </c>
      <c r="AJ18" s="23">
        <f>AJ11+AJ12+AJ13+AJ14+AJ15+AJ16+AJ17</f>
        <v/>
      </c>
      <c r="AK18" s="23">
        <f>AK11+AK12+AK13+AK14+AK15+AK16+AK17</f>
        <v/>
      </c>
      <c r="AL18" s="23">
        <f>AL11+AL12+AL13+AL14+AL15+AL16+AL17</f>
        <v/>
      </c>
    </row>
    <row r="19">
      <c r="A19" s="4" t="inlineStr">
        <is>
          <t>Contributed capital</t>
        </is>
      </c>
      <c r="C19" s="22">
        <f>'Control Tower'!$B$5</f>
        <v/>
      </c>
      <c r="D19" s="22">
        <f>'Control Tower'!$B$5</f>
        <v/>
      </c>
      <c r="E19" s="22">
        <f>'Control Tower'!$B$5</f>
        <v/>
      </c>
      <c r="F19" s="22">
        <f>'Control Tower'!$B$5</f>
        <v/>
      </c>
      <c r="G19" s="22">
        <f>'Control Tower'!$B$5</f>
        <v/>
      </c>
      <c r="H19" s="22">
        <f>'Control Tower'!$B$5</f>
        <v/>
      </c>
      <c r="I19" s="22">
        <f>'Control Tower'!$B$5</f>
        <v/>
      </c>
      <c r="J19" s="22">
        <f>'Control Tower'!$B$5</f>
        <v/>
      </c>
      <c r="K19" s="22">
        <f>'Control Tower'!$B$5</f>
        <v/>
      </c>
      <c r="L19" s="22">
        <f>'Control Tower'!$B$5</f>
        <v/>
      </c>
      <c r="M19" s="22">
        <f>'Control Tower'!$B$5</f>
        <v/>
      </c>
      <c r="N19" s="22">
        <f>'Control Tower'!$B$5</f>
        <v/>
      </c>
      <c r="O19" s="22">
        <f>'Control Tower'!$B$5</f>
        <v/>
      </c>
      <c r="P19" s="22">
        <f>'Control Tower'!$B$5</f>
        <v/>
      </c>
      <c r="Q19" s="22">
        <f>'Control Tower'!$B$5</f>
        <v/>
      </c>
      <c r="R19" s="22">
        <f>'Control Tower'!$B$5</f>
        <v/>
      </c>
      <c r="S19" s="22">
        <f>'Control Tower'!$B$5</f>
        <v/>
      </c>
      <c r="T19" s="22">
        <f>'Control Tower'!$B$5</f>
        <v/>
      </c>
      <c r="U19" s="22">
        <f>'Control Tower'!$B$5</f>
        <v/>
      </c>
      <c r="V19" s="22">
        <f>'Control Tower'!$B$5</f>
        <v/>
      </c>
      <c r="W19" s="22">
        <f>'Control Tower'!$B$5</f>
        <v/>
      </c>
      <c r="X19" s="22">
        <f>'Control Tower'!$B$5</f>
        <v/>
      </c>
      <c r="Y19" s="22">
        <f>'Control Tower'!$B$5</f>
        <v/>
      </c>
      <c r="Z19" s="22">
        <f>'Control Tower'!$B$5</f>
        <v/>
      </c>
      <c r="AA19" s="22">
        <f>'Control Tower'!$B$5</f>
        <v/>
      </c>
      <c r="AB19" s="22">
        <f>'Control Tower'!$B$5</f>
        <v/>
      </c>
      <c r="AC19" s="22">
        <f>'Control Tower'!$B$5</f>
        <v/>
      </c>
      <c r="AD19" s="22">
        <f>'Control Tower'!$B$5</f>
        <v/>
      </c>
      <c r="AE19" s="22">
        <f>'Control Tower'!$B$5</f>
        <v/>
      </c>
      <c r="AF19" s="22">
        <f>'Control Tower'!$B$5</f>
        <v/>
      </c>
      <c r="AG19" s="22">
        <f>'Control Tower'!$B$5</f>
        <v/>
      </c>
      <c r="AH19" s="22">
        <f>'Control Tower'!$B$5</f>
        <v/>
      </c>
      <c r="AI19" s="22">
        <f>'Control Tower'!$B$5</f>
        <v/>
      </c>
      <c r="AJ19" s="22">
        <f>'Control Tower'!$B$5</f>
        <v/>
      </c>
      <c r="AK19" s="22">
        <f>'Control Tower'!$B$5</f>
        <v/>
      </c>
      <c r="AL19" s="22">
        <f>'Control Tower'!$B$5</f>
        <v/>
      </c>
    </row>
    <row r="20">
      <c r="A20" s="4" t="inlineStr">
        <is>
          <t>Retained earnings (cum. net income - startup spend)</t>
        </is>
      </c>
      <c r="C20" s="22">
        <f>SUM('Cash Flow &amp; Runway'!$C$34:C34)-'Control Tower'!$B$6</f>
        <v/>
      </c>
      <c r="D20" s="22">
        <f>SUM('Cash Flow &amp; Runway'!$C$34:D34)-'Control Tower'!$B$6</f>
        <v/>
      </c>
      <c r="E20" s="22">
        <f>SUM('Cash Flow &amp; Runway'!$C$34:E34)-'Control Tower'!$B$6</f>
        <v/>
      </c>
      <c r="F20" s="22">
        <f>SUM('Cash Flow &amp; Runway'!$C$34:F34)-'Control Tower'!$B$6</f>
        <v/>
      </c>
      <c r="G20" s="22">
        <f>SUM('Cash Flow &amp; Runway'!$C$34:G34)-'Control Tower'!$B$6</f>
        <v/>
      </c>
      <c r="H20" s="22">
        <f>SUM('Cash Flow &amp; Runway'!$C$34:H34)-'Control Tower'!$B$6</f>
        <v/>
      </c>
      <c r="I20" s="22">
        <f>SUM('Cash Flow &amp; Runway'!$C$34:I34)-'Control Tower'!$B$6</f>
        <v/>
      </c>
      <c r="J20" s="22">
        <f>SUM('Cash Flow &amp; Runway'!$C$34:J34)-'Control Tower'!$B$6</f>
        <v/>
      </c>
      <c r="K20" s="22">
        <f>SUM('Cash Flow &amp; Runway'!$C$34:K34)-'Control Tower'!$B$6</f>
        <v/>
      </c>
      <c r="L20" s="22">
        <f>SUM('Cash Flow &amp; Runway'!$C$34:L34)-'Control Tower'!$B$6</f>
        <v/>
      </c>
      <c r="M20" s="22">
        <f>SUM('Cash Flow &amp; Runway'!$C$34:M34)-'Control Tower'!$B$6</f>
        <v/>
      </c>
      <c r="N20" s="22">
        <f>SUM('Cash Flow &amp; Runway'!$C$34:N34)-'Control Tower'!$B$6</f>
        <v/>
      </c>
      <c r="O20" s="22">
        <f>SUM('Cash Flow &amp; Runway'!$C$34:O34)-'Control Tower'!$B$6</f>
        <v/>
      </c>
      <c r="P20" s="22">
        <f>SUM('Cash Flow &amp; Runway'!$C$34:P34)-'Control Tower'!$B$6</f>
        <v/>
      </c>
      <c r="Q20" s="22">
        <f>SUM('Cash Flow &amp; Runway'!$C$34:Q34)-'Control Tower'!$B$6</f>
        <v/>
      </c>
      <c r="R20" s="22">
        <f>SUM('Cash Flow &amp; Runway'!$C$34:R34)-'Control Tower'!$B$6</f>
        <v/>
      </c>
      <c r="S20" s="22">
        <f>SUM('Cash Flow &amp; Runway'!$C$34:S34)-'Control Tower'!$B$6</f>
        <v/>
      </c>
      <c r="T20" s="22">
        <f>SUM('Cash Flow &amp; Runway'!$C$34:T34)-'Control Tower'!$B$6</f>
        <v/>
      </c>
      <c r="U20" s="22">
        <f>SUM('Cash Flow &amp; Runway'!$C$34:U34)-'Control Tower'!$B$6</f>
        <v/>
      </c>
      <c r="V20" s="22">
        <f>SUM('Cash Flow &amp; Runway'!$C$34:V34)-'Control Tower'!$B$6</f>
        <v/>
      </c>
      <c r="W20" s="22">
        <f>SUM('Cash Flow &amp; Runway'!$C$34:W34)-'Control Tower'!$B$6</f>
        <v/>
      </c>
      <c r="X20" s="22">
        <f>SUM('Cash Flow &amp; Runway'!$C$34:X34)-'Control Tower'!$B$6</f>
        <v/>
      </c>
      <c r="Y20" s="22">
        <f>SUM('Cash Flow &amp; Runway'!$C$34:Y34)-'Control Tower'!$B$6</f>
        <v/>
      </c>
      <c r="Z20" s="22">
        <f>SUM('Cash Flow &amp; Runway'!$C$34:Z34)-'Control Tower'!$B$6</f>
        <v/>
      </c>
      <c r="AA20" s="22">
        <f>SUM('Cash Flow &amp; Runway'!$C$34:AA34)-'Control Tower'!$B$6</f>
        <v/>
      </c>
      <c r="AB20" s="22">
        <f>SUM('Cash Flow &amp; Runway'!$C$34:AB34)-'Control Tower'!$B$6</f>
        <v/>
      </c>
      <c r="AC20" s="22">
        <f>SUM('Cash Flow &amp; Runway'!$C$34:AC34)-'Control Tower'!$B$6</f>
        <v/>
      </c>
      <c r="AD20" s="22">
        <f>SUM('Cash Flow &amp; Runway'!$C$34:AD34)-'Control Tower'!$B$6</f>
        <v/>
      </c>
      <c r="AE20" s="22">
        <f>SUM('Cash Flow &amp; Runway'!$C$34:AE34)-'Control Tower'!$B$6</f>
        <v/>
      </c>
      <c r="AF20" s="22">
        <f>SUM('Cash Flow &amp; Runway'!$C$34:AF34)-'Control Tower'!$B$6</f>
        <v/>
      </c>
      <c r="AG20" s="22">
        <f>SUM('Cash Flow &amp; Runway'!$C$34:AG34)-'Control Tower'!$B$6</f>
        <v/>
      </c>
      <c r="AH20" s="22">
        <f>SUM('Cash Flow &amp; Runway'!$C$34:AH34)-'Control Tower'!$B$6</f>
        <v/>
      </c>
      <c r="AI20" s="22">
        <f>SUM('Cash Flow &amp; Runway'!$C$34:AI34)-'Control Tower'!$B$6</f>
        <v/>
      </c>
      <c r="AJ20" s="22">
        <f>SUM('Cash Flow &amp; Runway'!$C$34:AJ34)-'Control Tower'!$B$6</f>
        <v/>
      </c>
      <c r="AK20" s="22">
        <f>SUM('Cash Flow &amp; Runway'!$C$34:AK34)-'Control Tower'!$B$6</f>
        <v/>
      </c>
      <c r="AL20" s="22">
        <f>SUM('Cash Flow &amp; Runway'!$C$34:AL34)-'Control Tower'!$B$6</f>
        <v/>
      </c>
    </row>
    <row r="21">
      <c r="A21" s="10" t="inlineStr">
        <is>
          <t>TOTAL LIABILITIES + EQUITY</t>
        </is>
      </c>
      <c r="C21" s="23">
        <f>C18+C19+C20</f>
        <v/>
      </c>
      <c r="D21" s="23">
        <f>D18+D19+D20</f>
        <v/>
      </c>
      <c r="E21" s="23">
        <f>E18+E19+E20</f>
        <v/>
      </c>
      <c r="F21" s="23">
        <f>F18+F19+F20</f>
        <v/>
      </c>
      <c r="G21" s="23">
        <f>G18+G19+G20</f>
        <v/>
      </c>
      <c r="H21" s="23">
        <f>H18+H19+H20</f>
        <v/>
      </c>
      <c r="I21" s="23">
        <f>I18+I19+I20</f>
        <v/>
      </c>
      <c r="J21" s="23">
        <f>J18+J19+J20</f>
        <v/>
      </c>
      <c r="K21" s="23">
        <f>K18+K19+K20</f>
        <v/>
      </c>
      <c r="L21" s="23">
        <f>L18+L19+L20</f>
        <v/>
      </c>
      <c r="M21" s="23">
        <f>M18+M19+M20</f>
        <v/>
      </c>
      <c r="N21" s="23">
        <f>N18+N19+N20</f>
        <v/>
      </c>
      <c r="O21" s="23">
        <f>O18+O19+O20</f>
        <v/>
      </c>
      <c r="P21" s="23">
        <f>P18+P19+P20</f>
        <v/>
      </c>
      <c r="Q21" s="23">
        <f>Q18+Q19+Q20</f>
        <v/>
      </c>
      <c r="R21" s="23">
        <f>R18+R19+R20</f>
        <v/>
      </c>
      <c r="S21" s="23">
        <f>S18+S19+S20</f>
        <v/>
      </c>
      <c r="T21" s="23">
        <f>T18+T19+T20</f>
        <v/>
      </c>
      <c r="U21" s="23">
        <f>U18+U19+U20</f>
        <v/>
      </c>
      <c r="V21" s="23">
        <f>V18+V19+V20</f>
        <v/>
      </c>
      <c r="W21" s="23">
        <f>W18+W19+W20</f>
        <v/>
      </c>
      <c r="X21" s="23">
        <f>X18+X19+X20</f>
        <v/>
      </c>
      <c r="Y21" s="23">
        <f>Y18+Y19+Y20</f>
        <v/>
      </c>
      <c r="Z21" s="23">
        <f>Z18+Z19+Z20</f>
        <v/>
      </c>
      <c r="AA21" s="23">
        <f>AA18+AA19+AA20</f>
        <v/>
      </c>
      <c r="AB21" s="23">
        <f>AB18+AB19+AB20</f>
        <v/>
      </c>
      <c r="AC21" s="23">
        <f>AC18+AC19+AC20</f>
        <v/>
      </c>
      <c r="AD21" s="23">
        <f>AD18+AD19+AD20</f>
        <v/>
      </c>
      <c r="AE21" s="23">
        <f>AE18+AE19+AE20</f>
        <v/>
      </c>
      <c r="AF21" s="23">
        <f>AF18+AF19+AF20</f>
        <v/>
      </c>
      <c r="AG21" s="23">
        <f>AG18+AG19+AG20</f>
        <v/>
      </c>
      <c r="AH21" s="23">
        <f>AH18+AH19+AH20</f>
        <v/>
      </c>
      <c r="AI21" s="23">
        <f>AI18+AI19+AI20</f>
        <v/>
      </c>
      <c r="AJ21" s="23">
        <f>AJ18+AJ19+AJ20</f>
        <v/>
      </c>
      <c r="AK21" s="23">
        <f>AK18+AK19+AK20</f>
        <v/>
      </c>
      <c r="AL21" s="23">
        <f>AL18+AL19+AL20</f>
        <v/>
      </c>
    </row>
    <row r="22">
      <c r="A22" s="10" t="inlineStr">
        <is>
          <t>CHECK (assets - L-E) = 0</t>
        </is>
      </c>
      <c r="C22" s="23">
        <f>C10-C21</f>
        <v/>
      </c>
      <c r="D22" s="23">
        <f>D10-D21</f>
        <v/>
      </c>
      <c r="E22" s="23">
        <f>E10-E21</f>
        <v/>
      </c>
      <c r="F22" s="23">
        <f>F10-F21</f>
        <v/>
      </c>
      <c r="G22" s="23">
        <f>G10-G21</f>
        <v/>
      </c>
      <c r="H22" s="23">
        <f>H10-H21</f>
        <v/>
      </c>
      <c r="I22" s="23">
        <f>I10-I21</f>
        <v/>
      </c>
      <c r="J22" s="23">
        <f>J10-J21</f>
        <v/>
      </c>
      <c r="K22" s="23">
        <f>K10-K21</f>
        <v/>
      </c>
      <c r="L22" s="23">
        <f>L10-L21</f>
        <v/>
      </c>
      <c r="M22" s="23">
        <f>M10-M21</f>
        <v/>
      </c>
      <c r="N22" s="23">
        <f>N10-N21</f>
        <v/>
      </c>
      <c r="O22" s="23">
        <f>O10-O21</f>
        <v/>
      </c>
      <c r="P22" s="23">
        <f>P10-P21</f>
        <v/>
      </c>
      <c r="Q22" s="23">
        <f>Q10-Q21</f>
        <v/>
      </c>
      <c r="R22" s="23">
        <f>R10-R21</f>
        <v/>
      </c>
      <c r="S22" s="23">
        <f>S10-S21</f>
        <v/>
      </c>
      <c r="T22" s="23">
        <f>T10-T21</f>
        <v/>
      </c>
      <c r="U22" s="23">
        <f>U10-U21</f>
        <v/>
      </c>
      <c r="V22" s="23">
        <f>V10-V21</f>
        <v/>
      </c>
      <c r="W22" s="23">
        <f>W10-W21</f>
        <v/>
      </c>
      <c r="X22" s="23">
        <f>X10-X21</f>
        <v/>
      </c>
      <c r="Y22" s="23">
        <f>Y10-Y21</f>
        <v/>
      </c>
      <c r="Z22" s="23">
        <f>Z10-Z21</f>
        <v/>
      </c>
      <c r="AA22" s="23">
        <f>AA10-AA21</f>
        <v/>
      </c>
      <c r="AB22" s="23">
        <f>AB10-AB21</f>
        <v/>
      </c>
      <c r="AC22" s="23">
        <f>AC10-AC21</f>
        <v/>
      </c>
      <c r="AD22" s="23">
        <f>AD10-AD21</f>
        <v/>
      </c>
      <c r="AE22" s="23">
        <f>AE10-AE21</f>
        <v/>
      </c>
      <c r="AF22" s="23">
        <f>AF10-AF21</f>
        <v/>
      </c>
      <c r="AG22" s="23">
        <f>AG10-AG21</f>
        <v/>
      </c>
      <c r="AH22" s="23">
        <f>AH10-AH21</f>
        <v/>
      </c>
      <c r="AI22" s="23">
        <f>AI10-AI21</f>
        <v/>
      </c>
      <c r="AJ22" s="23">
        <f>AJ10-AJ21</f>
        <v/>
      </c>
      <c r="AK22" s="23">
        <f>AK10-AK21</f>
        <v/>
      </c>
      <c r="AL22" s="23">
        <f>AL10-AL21</f>
        <v/>
      </c>
    </row>
  </sheetData>
  <mergeCells count="2">
    <mergeCell ref="A2:N2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4.10&amp;C&amp;8 Confidential&amp;R&amp;8 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FF0000"/>
    <outlinePr summaryBelow="1" summaryRight="1"/>
    <pageSetUpPr fitToPage="1"/>
  </sheetPr>
  <dimension ref="A1:AL14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CHECKS - model integrity tests. The master check reads 0 when all tests pass.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BS out of balance (abs &gt; $0.01 -&gt; 1)</t>
        </is>
      </c>
      <c r="C6" s="25">
        <f>IF(ABS('Balance Sheet'!C22)&gt;0.01,1,0)</f>
        <v/>
      </c>
      <c r="D6" s="25">
        <f>IF(ABS('Balance Sheet'!D22)&gt;0.01,1,0)</f>
        <v/>
      </c>
      <c r="E6" s="25">
        <f>IF(ABS('Balance Sheet'!E22)&gt;0.01,1,0)</f>
        <v/>
      </c>
      <c r="F6" s="25">
        <f>IF(ABS('Balance Sheet'!F22)&gt;0.01,1,0)</f>
        <v/>
      </c>
      <c r="G6" s="25">
        <f>IF(ABS('Balance Sheet'!G22)&gt;0.01,1,0)</f>
        <v/>
      </c>
      <c r="H6" s="25">
        <f>IF(ABS('Balance Sheet'!H22)&gt;0.01,1,0)</f>
        <v/>
      </c>
      <c r="I6" s="25">
        <f>IF(ABS('Balance Sheet'!I22)&gt;0.01,1,0)</f>
        <v/>
      </c>
      <c r="J6" s="25">
        <f>IF(ABS('Balance Sheet'!J22)&gt;0.01,1,0)</f>
        <v/>
      </c>
      <c r="K6" s="25">
        <f>IF(ABS('Balance Sheet'!K22)&gt;0.01,1,0)</f>
        <v/>
      </c>
      <c r="L6" s="25">
        <f>IF(ABS('Balance Sheet'!L22)&gt;0.01,1,0)</f>
        <v/>
      </c>
      <c r="M6" s="25">
        <f>IF(ABS('Balance Sheet'!M22)&gt;0.01,1,0)</f>
        <v/>
      </c>
      <c r="N6" s="25">
        <f>IF(ABS('Balance Sheet'!N22)&gt;0.01,1,0)</f>
        <v/>
      </c>
      <c r="O6" s="25">
        <f>IF(ABS('Balance Sheet'!O22)&gt;0.01,1,0)</f>
        <v/>
      </c>
      <c r="P6" s="25">
        <f>IF(ABS('Balance Sheet'!P22)&gt;0.01,1,0)</f>
        <v/>
      </c>
      <c r="Q6" s="25">
        <f>IF(ABS('Balance Sheet'!Q22)&gt;0.01,1,0)</f>
        <v/>
      </c>
      <c r="R6" s="25">
        <f>IF(ABS('Balance Sheet'!R22)&gt;0.01,1,0)</f>
        <v/>
      </c>
      <c r="S6" s="25">
        <f>IF(ABS('Balance Sheet'!S22)&gt;0.01,1,0)</f>
        <v/>
      </c>
      <c r="T6" s="25">
        <f>IF(ABS('Balance Sheet'!T22)&gt;0.01,1,0)</f>
        <v/>
      </c>
      <c r="U6" s="25">
        <f>IF(ABS('Balance Sheet'!U22)&gt;0.01,1,0)</f>
        <v/>
      </c>
      <c r="V6" s="25">
        <f>IF(ABS('Balance Sheet'!V22)&gt;0.01,1,0)</f>
        <v/>
      </c>
      <c r="W6" s="25">
        <f>IF(ABS('Balance Sheet'!W22)&gt;0.01,1,0)</f>
        <v/>
      </c>
      <c r="X6" s="25">
        <f>IF(ABS('Balance Sheet'!X22)&gt;0.01,1,0)</f>
        <v/>
      </c>
      <c r="Y6" s="25">
        <f>IF(ABS('Balance Sheet'!Y22)&gt;0.01,1,0)</f>
        <v/>
      </c>
      <c r="Z6" s="25">
        <f>IF(ABS('Balance Sheet'!Z22)&gt;0.01,1,0)</f>
        <v/>
      </c>
      <c r="AA6" s="25">
        <f>IF(ABS('Balance Sheet'!AA22)&gt;0.01,1,0)</f>
        <v/>
      </c>
      <c r="AB6" s="25">
        <f>IF(ABS('Balance Sheet'!AB22)&gt;0.01,1,0)</f>
        <v/>
      </c>
      <c r="AC6" s="25">
        <f>IF(ABS('Balance Sheet'!AC22)&gt;0.01,1,0)</f>
        <v/>
      </c>
      <c r="AD6" s="25">
        <f>IF(ABS('Balance Sheet'!AD22)&gt;0.01,1,0)</f>
        <v/>
      </c>
      <c r="AE6" s="25">
        <f>IF(ABS('Balance Sheet'!AE22)&gt;0.01,1,0)</f>
        <v/>
      </c>
      <c r="AF6" s="25">
        <f>IF(ABS('Balance Sheet'!AF22)&gt;0.01,1,0)</f>
        <v/>
      </c>
      <c r="AG6" s="25">
        <f>IF(ABS('Balance Sheet'!AG22)&gt;0.01,1,0)</f>
        <v/>
      </c>
      <c r="AH6" s="25">
        <f>IF(ABS('Balance Sheet'!AH22)&gt;0.01,1,0)</f>
        <v/>
      </c>
      <c r="AI6" s="25">
        <f>IF(ABS('Balance Sheet'!AI22)&gt;0.01,1,0)</f>
        <v/>
      </c>
      <c r="AJ6" s="25">
        <f>IF(ABS('Balance Sheet'!AJ22)&gt;0.01,1,0)</f>
        <v/>
      </c>
      <c r="AK6" s="25">
        <f>IF(ABS('Balance Sheet'!AK22)&gt;0.01,1,0)</f>
        <v/>
      </c>
      <c r="AL6" s="25">
        <f>IF(ABS('Balance Sheet'!AL22)&gt;0.01,1,0)</f>
        <v/>
      </c>
    </row>
    <row r="7">
      <c r="A7" s="4" t="inlineStr">
        <is>
          <t>Seller balance negative (-&gt; 1)</t>
        </is>
      </c>
      <c r="C7" s="25">
        <f>IF('Cash Flow &amp; Runway'!C16&lt;-0.01,1,0)</f>
        <v/>
      </c>
      <c r="D7" s="25">
        <f>IF('Cash Flow &amp; Runway'!D16&lt;-0.01,1,0)</f>
        <v/>
      </c>
      <c r="E7" s="25">
        <f>IF('Cash Flow &amp; Runway'!E16&lt;-0.01,1,0)</f>
        <v/>
      </c>
      <c r="F7" s="25">
        <f>IF('Cash Flow &amp; Runway'!F16&lt;-0.01,1,0)</f>
        <v/>
      </c>
      <c r="G7" s="25">
        <f>IF('Cash Flow &amp; Runway'!G16&lt;-0.01,1,0)</f>
        <v/>
      </c>
      <c r="H7" s="25">
        <f>IF('Cash Flow &amp; Runway'!H16&lt;-0.01,1,0)</f>
        <v/>
      </c>
      <c r="I7" s="25">
        <f>IF('Cash Flow &amp; Runway'!I16&lt;-0.01,1,0)</f>
        <v/>
      </c>
      <c r="J7" s="25">
        <f>IF('Cash Flow &amp; Runway'!J16&lt;-0.01,1,0)</f>
        <v/>
      </c>
      <c r="K7" s="25">
        <f>IF('Cash Flow &amp; Runway'!K16&lt;-0.01,1,0)</f>
        <v/>
      </c>
      <c r="L7" s="25">
        <f>IF('Cash Flow &amp; Runway'!L16&lt;-0.01,1,0)</f>
        <v/>
      </c>
      <c r="M7" s="25">
        <f>IF('Cash Flow &amp; Runway'!M16&lt;-0.01,1,0)</f>
        <v/>
      </c>
      <c r="N7" s="25">
        <f>IF('Cash Flow &amp; Runway'!N16&lt;-0.01,1,0)</f>
        <v/>
      </c>
      <c r="O7" s="25">
        <f>IF('Cash Flow &amp; Runway'!O16&lt;-0.01,1,0)</f>
        <v/>
      </c>
      <c r="P7" s="25">
        <f>IF('Cash Flow &amp; Runway'!P16&lt;-0.01,1,0)</f>
        <v/>
      </c>
      <c r="Q7" s="25">
        <f>IF('Cash Flow &amp; Runway'!Q16&lt;-0.01,1,0)</f>
        <v/>
      </c>
      <c r="R7" s="25">
        <f>IF('Cash Flow &amp; Runway'!R16&lt;-0.01,1,0)</f>
        <v/>
      </c>
      <c r="S7" s="25">
        <f>IF('Cash Flow &amp; Runway'!S16&lt;-0.01,1,0)</f>
        <v/>
      </c>
      <c r="T7" s="25">
        <f>IF('Cash Flow &amp; Runway'!T16&lt;-0.01,1,0)</f>
        <v/>
      </c>
      <c r="U7" s="25">
        <f>IF('Cash Flow &amp; Runway'!U16&lt;-0.01,1,0)</f>
        <v/>
      </c>
      <c r="V7" s="25">
        <f>IF('Cash Flow &amp; Runway'!V16&lt;-0.01,1,0)</f>
        <v/>
      </c>
      <c r="W7" s="25">
        <f>IF('Cash Flow &amp; Runway'!W16&lt;-0.01,1,0)</f>
        <v/>
      </c>
      <c r="X7" s="25">
        <f>IF('Cash Flow &amp; Runway'!X16&lt;-0.01,1,0)</f>
        <v/>
      </c>
      <c r="Y7" s="25">
        <f>IF('Cash Flow &amp; Runway'!Y16&lt;-0.01,1,0)</f>
        <v/>
      </c>
      <c r="Z7" s="25">
        <f>IF('Cash Flow &amp; Runway'!Z16&lt;-0.01,1,0)</f>
        <v/>
      </c>
      <c r="AA7" s="25">
        <f>IF('Cash Flow &amp; Runway'!AA16&lt;-0.01,1,0)</f>
        <v/>
      </c>
      <c r="AB7" s="25">
        <f>IF('Cash Flow &amp; Runway'!AB16&lt;-0.01,1,0)</f>
        <v/>
      </c>
      <c r="AC7" s="25">
        <f>IF('Cash Flow &amp; Runway'!AC16&lt;-0.01,1,0)</f>
        <v/>
      </c>
      <c r="AD7" s="25">
        <f>IF('Cash Flow &amp; Runway'!AD16&lt;-0.01,1,0)</f>
        <v/>
      </c>
      <c r="AE7" s="25">
        <f>IF('Cash Flow &amp; Runway'!AE16&lt;-0.01,1,0)</f>
        <v/>
      </c>
      <c r="AF7" s="25">
        <f>IF('Cash Flow &amp; Runway'!AF16&lt;-0.01,1,0)</f>
        <v/>
      </c>
      <c r="AG7" s="25">
        <f>IF('Cash Flow &amp; Runway'!AG16&lt;-0.01,1,0)</f>
        <v/>
      </c>
      <c r="AH7" s="25">
        <f>IF('Cash Flow &amp; Runway'!AH16&lt;-0.01,1,0)</f>
        <v/>
      </c>
      <c r="AI7" s="25">
        <f>IF('Cash Flow &amp; Runway'!AI16&lt;-0.01,1,0)</f>
        <v/>
      </c>
      <c r="AJ7" s="25">
        <f>IF('Cash Flow &amp; Runway'!AJ16&lt;-0.01,1,0)</f>
        <v/>
      </c>
      <c r="AK7" s="25">
        <f>IF('Cash Flow &amp; Runway'!AK16&lt;-0.01,1,0)</f>
        <v/>
      </c>
      <c r="AL7" s="25">
        <f>IF('Cash Flow &amp; Runway'!AL16&lt;-0.01,1,0)</f>
        <v/>
      </c>
    </row>
    <row r="8">
      <c r="A8" s="4" t="inlineStr">
        <is>
          <t>Months with cash below zero (funding-requirement indicator)</t>
        </is>
      </c>
      <c r="C8" s="25">
        <f>IF('Cash Flow &amp; Runway'!C43&lt;-0.01,1,0)</f>
        <v/>
      </c>
      <c r="D8" s="25">
        <f>IF('Cash Flow &amp; Runway'!D43&lt;-0.01,1,0)</f>
        <v/>
      </c>
      <c r="E8" s="25">
        <f>IF('Cash Flow &amp; Runway'!E43&lt;-0.01,1,0)</f>
        <v/>
      </c>
      <c r="F8" s="25">
        <f>IF('Cash Flow &amp; Runway'!F43&lt;-0.01,1,0)</f>
        <v/>
      </c>
      <c r="G8" s="25">
        <f>IF('Cash Flow &amp; Runway'!G43&lt;-0.01,1,0)</f>
        <v/>
      </c>
      <c r="H8" s="25">
        <f>IF('Cash Flow &amp; Runway'!H43&lt;-0.01,1,0)</f>
        <v/>
      </c>
      <c r="I8" s="25">
        <f>IF('Cash Flow &amp; Runway'!I43&lt;-0.01,1,0)</f>
        <v/>
      </c>
      <c r="J8" s="25">
        <f>IF('Cash Flow &amp; Runway'!J43&lt;-0.01,1,0)</f>
        <v/>
      </c>
      <c r="K8" s="25">
        <f>IF('Cash Flow &amp; Runway'!K43&lt;-0.01,1,0)</f>
        <v/>
      </c>
      <c r="L8" s="25">
        <f>IF('Cash Flow &amp; Runway'!L43&lt;-0.01,1,0)</f>
        <v/>
      </c>
      <c r="M8" s="25">
        <f>IF('Cash Flow &amp; Runway'!M43&lt;-0.01,1,0)</f>
        <v/>
      </c>
      <c r="N8" s="25">
        <f>IF('Cash Flow &amp; Runway'!N43&lt;-0.01,1,0)</f>
        <v/>
      </c>
      <c r="O8" s="25">
        <f>IF('Cash Flow &amp; Runway'!O43&lt;-0.01,1,0)</f>
        <v/>
      </c>
      <c r="P8" s="25">
        <f>IF('Cash Flow &amp; Runway'!P43&lt;-0.01,1,0)</f>
        <v/>
      </c>
      <c r="Q8" s="25">
        <f>IF('Cash Flow &amp; Runway'!Q43&lt;-0.01,1,0)</f>
        <v/>
      </c>
      <c r="R8" s="25">
        <f>IF('Cash Flow &amp; Runway'!R43&lt;-0.01,1,0)</f>
        <v/>
      </c>
      <c r="S8" s="25">
        <f>IF('Cash Flow &amp; Runway'!S43&lt;-0.01,1,0)</f>
        <v/>
      </c>
      <c r="T8" s="25">
        <f>IF('Cash Flow &amp; Runway'!T43&lt;-0.01,1,0)</f>
        <v/>
      </c>
      <c r="U8" s="25">
        <f>IF('Cash Flow &amp; Runway'!U43&lt;-0.01,1,0)</f>
        <v/>
      </c>
      <c r="V8" s="25">
        <f>IF('Cash Flow &amp; Runway'!V43&lt;-0.01,1,0)</f>
        <v/>
      </c>
      <c r="W8" s="25">
        <f>IF('Cash Flow &amp; Runway'!W43&lt;-0.01,1,0)</f>
        <v/>
      </c>
      <c r="X8" s="25">
        <f>IF('Cash Flow &amp; Runway'!X43&lt;-0.01,1,0)</f>
        <v/>
      </c>
      <c r="Y8" s="25">
        <f>IF('Cash Flow &amp; Runway'!Y43&lt;-0.01,1,0)</f>
        <v/>
      </c>
      <c r="Z8" s="25">
        <f>IF('Cash Flow &amp; Runway'!Z43&lt;-0.01,1,0)</f>
        <v/>
      </c>
      <c r="AA8" s="25">
        <f>IF('Cash Flow &amp; Runway'!AA43&lt;-0.01,1,0)</f>
        <v/>
      </c>
      <c r="AB8" s="25">
        <f>IF('Cash Flow &amp; Runway'!AB43&lt;-0.01,1,0)</f>
        <v/>
      </c>
      <c r="AC8" s="25">
        <f>IF('Cash Flow &amp; Runway'!AC43&lt;-0.01,1,0)</f>
        <v/>
      </c>
      <c r="AD8" s="25">
        <f>IF('Cash Flow &amp; Runway'!AD43&lt;-0.01,1,0)</f>
        <v/>
      </c>
      <c r="AE8" s="25">
        <f>IF('Cash Flow &amp; Runway'!AE43&lt;-0.01,1,0)</f>
        <v/>
      </c>
      <c r="AF8" s="25">
        <f>IF('Cash Flow &amp; Runway'!AF43&lt;-0.01,1,0)</f>
        <v/>
      </c>
      <c r="AG8" s="25">
        <f>IF('Cash Flow &amp; Runway'!AG43&lt;-0.01,1,0)</f>
        <v/>
      </c>
      <c r="AH8" s="25">
        <f>IF('Cash Flow &amp; Runway'!AH43&lt;-0.01,1,0)</f>
        <v/>
      </c>
      <c r="AI8" s="25">
        <f>IF('Cash Flow &amp; Runway'!AI43&lt;-0.01,1,0)</f>
        <v/>
      </c>
      <c r="AJ8" s="25">
        <f>IF('Cash Flow &amp; Runway'!AJ43&lt;-0.01,1,0)</f>
        <v/>
      </c>
      <c r="AK8" s="25">
        <f>IF('Cash Flow &amp; Runway'!AK43&lt;-0.01,1,0)</f>
        <v/>
      </c>
      <c r="AL8" s="25">
        <f>IF('Cash Flow &amp; Runway'!AL43&lt;-0.01,1,0)</f>
        <v/>
      </c>
    </row>
    <row r="10">
      <c r="A10" s="10" t="inlineStr">
        <is>
          <t>Collections conservation: cum collected + AR - cum NPR (should be 0)</t>
        </is>
      </c>
      <c r="B10" s="23">
        <f>SUM('Cash Flow &amp; Runway'!C9:AL9)+'Cash Flow &amp; Runway'!AL10-SUM('Cash Flow &amp; Runway'!C8:AL8)</f>
        <v/>
      </c>
    </row>
    <row r="11">
      <c r="A11" s="10" t="inlineStr">
        <is>
          <t>Deferral conservation: cum accrued - cum repaid - end balance (should be 0)</t>
        </is>
      </c>
      <c r="B11" s="23">
        <f>SUM('Staffing'!C42:AL42)-SUM('Staffing'!C43:AL43)-'Staffing'!AL44</f>
        <v/>
      </c>
    </row>
    <row r="12">
      <c r="A12" s="10" t="inlineStr">
        <is>
          <t>MASTER INTEGRITY CHECK (0 = all tests pass)</t>
        </is>
      </c>
      <c r="B12" s="30">
        <f>SUM(C6:AL6)+SUM(C7:AL7)+IF(ABS(B10)&gt;1,1,0)+IF(ABS(B11)&gt;1,1,0)</f>
        <v/>
      </c>
    </row>
    <row r="13">
      <c r="A13" s="10" t="inlineStr">
        <is>
          <t>MONTHS WITH CASH BELOW ZERO</t>
        </is>
      </c>
      <c r="B13" s="31">
        <f>SUM(C8:AL8)</f>
        <v/>
      </c>
    </row>
    <row r="14">
      <c r="A14" s="10" t="inlineStr">
        <is>
          <t>PEAK ADDITIONAL FUNDING REQUIREMENT</t>
        </is>
      </c>
      <c r="B14" s="24">
        <f>'Cash Flow &amp; Runway'!B47</f>
        <v/>
      </c>
    </row>
  </sheetData>
  <mergeCells count="2">
    <mergeCell ref="A2:N2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4.10&amp;C&amp;8 Confidential&amp;R&amp;8 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00B050"/>
    <outlinePr summaryBelow="1" summaryRight="1"/>
    <pageSetUpPr fitToPage="1"/>
  </sheetPr>
  <dimension ref="A1:AL45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KPI DASHBOARD - key operating and coverage indicators. All cells are live links.</t>
        </is>
      </c>
    </row>
    <row r="4">
      <c r="A4" s="10" t="inlineStr">
        <is>
          <t>Month #</t>
        </is>
      </c>
      <c r="C4" s="16" t="n">
        <v>1</v>
      </c>
      <c r="D4" s="16" t="n">
        <v>2</v>
      </c>
      <c r="E4" s="16" t="n">
        <v>3</v>
      </c>
      <c r="F4" s="16" t="n">
        <v>4</v>
      </c>
      <c r="G4" s="16" t="n">
        <v>5</v>
      </c>
      <c r="H4" s="16" t="n">
        <v>6</v>
      </c>
      <c r="I4" s="16" t="n">
        <v>7</v>
      </c>
      <c r="J4" s="16" t="n">
        <v>8</v>
      </c>
      <c r="K4" s="16" t="n">
        <v>9</v>
      </c>
      <c r="L4" s="16" t="n">
        <v>10</v>
      </c>
      <c r="M4" s="16" t="n">
        <v>11</v>
      </c>
      <c r="N4" s="16" t="n">
        <v>12</v>
      </c>
      <c r="O4" s="16" t="n">
        <v>13</v>
      </c>
      <c r="P4" s="16" t="n">
        <v>14</v>
      </c>
      <c r="Q4" s="16" t="n">
        <v>15</v>
      </c>
      <c r="R4" s="16" t="n">
        <v>16</v>
      </c>
      <c r="S4" s="16" t="n">
        <v>17</v>
      </c>
      <c r="T4" s="16" t="n">
        <v>18</v>
      </c>
      <c r="U4" s="16" t="n">
        <v>19</v>
      </c>
      <c r="V4" s="16" t="n">
        <v>20</v>
      </c>
      <c r="W4" s="16" t="n">
        <v>21</v>
      </c>
      <c r="X4" s="16" t="n">
        <v>22</v>
      </c>
      <c r="Y4" s="16" t="n">
        <v>23</v>
      </c>
      <c r="Z4" s="16" t="n">
        <v>24</v>
      </c>
      <c r="AA4" s="16" t="n">
        <v>25</v>
      </c>
      <c r="AB4" s="16" t="n">
        <v>26</v>
      </c>
      <c r="AC4" s="16" t="n">
        <v>27</v>
      </c>
      <c r="AD4" s="16" t="n">
        <v>28</v>
      </c>
      <c r="AE4" s="16" t="n">
        <v>29</v>
      </c>
      <c r="AF4" s="16" t="n">
        <v>30</v>
      </c>
      <c r="AG4" s="16" t="n">
        <v>31</v>
      </c>
      <c r="AH4" s="16" t="n">
        <v>32</v>
      </c>
      <c r="AI4" s="16" t="n">
        <v>33</v>
      </c>
      <c r="AJ4" s="16" t="n">
        <v>34</v>
      </c>
      <c r="AK4" s="16" t="n">
        <v>35</v>
      </c>
      <c r="AL4" s="16" t="n">
        <v>36</v>
      </c>
    </row>
    <row r="5">
      <c r="A5" s="10" t="inlineStr"/>
      <c r="C5" s="17" t="inlineStr">
        <is>
          <t>Jul-26</t>
        </is>
      </c>
      <c r="D5" s="17" t="inlineStr">
        <is>
          <t>Aug-26</t>
        </is>
      </c>
      <c r="E5" s="17" t="inlineStr">
        <is>
          <t>Sep-26</t>
        </is>
      </c>
      <c r="F5" s="17" t="inlineStr">
        <is>
          <t>Oct-26</t>
        </is>
      </c>
      <c r="G5" s="17" t="inlineStr">
        <is>
          <t>Nov-26</t>
        </is>
      </c>
      <c r="H5" s="17" t="inlineStr">
        <is>
          <t>Dec-26</t>
        </is>
      </c>
      <c r="I5" s="17" t="inlineStr">
        <is>
          <t>Jan-27</t>
        </is>
      </c>
      <c r="J5" s="17" t="inlineStr">
        <is>
          <t>Feb-27</t>
        </is>
      </c>
      <c r="K5" s="17" t="inlineStr">
        <is>
          <t>Mar-27</t>
        </is>
      </c>
      <c r="L5" s="17" t="inlineStr">
        <is>
          <t>Apr-27</t>
        </is>
      </c>
      <c r="M5" s="17" t="inlineStr">
        <is>
          <t>May-27</t>
        </is>
      </c>
      <c r="N5" s="17" t="inlineStr">
        <is>
          <t>Jun-27</t>
        </is>
      </c>
      <c r="O5" s="17" t="inlineStr">
        <is>
          <t>Jul-27</t>
        </is>
      </c>
      <c r="P5" s="17" t="inlineStr">
        <is>
          <t>Aug-27</t>
        </is>
      </c>
      <c r="Q5" s="17" t="inlineStr">
        <is>
          <t>Sep-27</t>
        </is>
      </c>
      <c r="R5" s="17" t="inlineStr">
        <is>
          <t>Oct-27</t>
        </is>
      </c>
      <c r="S5" s="17" t="inlineStr">
        <is>
          <t>Nov-27</t>
        </is>
      </c>
      <c r="T5" s="17" t="inlineStr">
        <is>
          <t>Dec-27</t>
        </is>
      </c>
      <c r="U5" s="17" t="inlineStr">
        <is>
          <t>Jan-28</t>
        </is>
      </c>
      <c r="V5" s="17" t="inlineStr">
        <is>
          <t>Feb-28</t>
        </is>
      </c>
      <c r="W5" s="17" t="inlineStr">
        <is>
          <t>Mar-28</t>
        </is>
      </c>
      <c r="X5" s="17" t="inlineStr">
        <is>
          <t>Apr-28</t>
        </is>
      </c>
      <c r="Y5" s="17" t="inlineStr">
        <is>
          <t>May-28</t>
        </is>
      </c>
      <c r="Z5" s="17" t="inlineStr">
        <is>
          <t>Jun-28</t>
        </is>
      </c>
      <c r="AA5" s="17" t="inlineStr">
        <is>
          <t>Jul-28</t>
        </is>
      </c>
      <c r="AB5" s="17" t="inlineStr">
        <is>
          <t>Aug-28</t>
        </is>
      </c>
      <c r="AC5" s="17" t="inlineStr">
        <is>
          <t>Sep-28</t>
        </is>
      </c>
      <c r="AD5" s="17" t="inlineStr">
        <is>
          <t>Oct-28</t>
        </is>
      </c>
      <c r="AE5" s="17" t="inlineStr">
        <is>
          <t>Nov-28</t>
        </is>
      </c>
      <c r="AF5" s="17" t="inlineStr">
        <is>
          <t>Dec-28</t>
        </is>
      </c>
      <c r="AG5" s="17" t="inlineStr">
        <is>
          <t>Jan-29</t>
        </is>
      </c>
      <c r="AH5" s="17" t="inlineStr">
        <is>
          <t>Feb-29</t>
        </is>
      </c>
      <c r="AI5" s="17" t="inlineStr">
        <is>
          <t>Mar-29</t>
        </is>
      </c>
      <c r="AJ5" s="17" t="inlineStr">
        <is>
          <t>Apr-29</t>
        </is>
      </c>
      <c r="AK5" s="17" t="inlineStr">
        <is>
          <t>May-29</t>
        </is>
      </c>
      <c r="AL5" s="17" t="inlineStr">
        <is>
          <t>Jun-29</t>
        </is>
      </c>
    </row>
    <row r="6">
      <c r="A6" s="4" t="inlineStr">
        <is>
          <t>ADC</t>
        </is>
      </c>
      <c r="C6" s="18">
        <f>'Census Waterfall'!C11</f>
        <v/>
      </c>
      <c r="D6" s="18">
        <f>'Census Waterfall'!D11</f>
        <v/>
      </c>
      <c r="E6" s="18">
        <f>'Census Waterfall'!E11</f>
        <v/>
      </c>
      <c r="F6" s="18">
        <f>'Census Waterfall'!F11</f>
        <v/>
      </c>
      <c r="G6" s="18">
        <f>'Census Waterfall'!G11</f>
        <v/>
      </c>
      <c r="H6" s="18">
        <f>'Census Waterfall'!H11</f>
        <v/>
      </c>
      <c r="I6" s="18">
        <f>'Census Waterfall'!I11</f>
        <v/>
      </c>
      <c r="J6" s="18">
        <f>'Census Waterfall'!J11</f>
        <v/>
      </c>
      <c r="K6" s="18">
        <f>'Census Waterfall'!K11</f>
        <v/>
      </c>
      <c r="L6" s="18">
        <f>'Census Waterfall'!L11</f>
        <v/>
      </c>
      <c r="M6" s="18">
        <f>'Census Waterfall'!M11</f>
        <v/>
      </c>
      <c r="N6" s="18">
        <f>'Census Waterfall'!N11</f>
        <v/>
      </c>
      <c r="O6" s="18">
        <f>'Census Waterfall'!O11</f>
        <v/>
      </c>
      <c r="P6" s="18">
        <f>'Census Waterfall'!P11</f>
        <v/>
      </c>
      <c r="Q6" s="18">
        <f>'Census Waterfall'!Q11</f>
        <v/>
      </c>
      <c r="R6" s="18">
        <f>'Census Waterfall'!R11</f>
        <v/>
      </c>
      <c r="S6" s="18">
        <f>'Census Waterfall'!S11</f>
        <v/>
      </c>
      <c r="T6" s="18">
        <f>'Census Waterfall'!T11</f>
        <v/>
      </c>
      <c r="U6" s="18">
        <f>'Census Waterfall'!U11</f>
        <v/>
      </c>
      <c r="V6" s="18">
        <f>'Census Waterfall'!V11</f>
        <v/>
      </c>
      <c r="W6" s="18">
        <f>'Census Waterfall'!W11</f>
        <v/>
      </c>
      <c r="X6" s="18">
        <f>'Census Waterfall'!X11</f>
        <v/>
      </c>
      <c r="Y6" s="18">
        <f>'Census Waterfall'!Y11</f>
        <v/>
      </c>
      <c r="Z6" s="18">
        <f>'Census Waterfall'!Z11</f>
        <v/>
      </c>
      <c r="AA6" s="18">
        <f>'Census Waterfall'!AA11</f>
        <v/>
      </c>
      <c r="AB6" s="18">
        <f>'Census Waterfall'!AB11</f>
        <v/>
      </c>
      <c r="AC6" s="18">
        <f>'Census Waterfall'!AC11</f>
        <v/>
      </c>
      <c r="AD6" s="18">
        <f>'Census Waterfall'!AD11</f>
        <v/>
      </c>
      <c r="AE6" s="18">
        <f>'Census Waterfall'!AE11</f>
        <v/>
      </c>
      <c r="AF6" s="18">
        <f>'Census Waterfall'!AF11</f>
        <v/>
      </c>
      <c r="AG6" s="18">
        <f>'Census Waterfall'!AG11</f>
        <v/>
      </c>
      <c r="AH6" s="18">
        <f>'Census Waterfall'!AH11</f>
        <v/>
      </c>
      <c r="AI6" s="18">
        <f>'Census Waterfall'!AI11</f>
        <v/>
      </c>
      <c r="AJ6" s="18">
        <f>'Census Waterfall'!AJ11</f>
        <v/>
      </c>
      <c r="AK6" s="18">
        <f>'Census Waterfall'!AK11</f>
        <v/>
      </c>
      <c r="AL6" s="18">
        <f>'Census Waterfall'!AL11</f>
        <v/>
      </c>
    </row>
    <row r="7">
      <c r="A7" s="4" t="inlineStr">
        <is>
          <t>Net patient revenue</t>
        </is>
      </c>
      <c r="C7" s="22">
        <f>'P&amp;L'!C10</f>
        <v/>
      </c>
      <c r="D7" s="22">
        <f>'P&amp;L'!D10</f>
        <v/>
      </c>
      <c r="E7" s="22">
        <f>'P&amp;L'!E10</f>
        <v/>
      </c>
      <c r="F7" s="22">
        <f>'P&amp;L'!F10</f>
        <v/>
      </c>
      <c r="G7" s="22">
        <f>'P&amp;L'!G10</f>
        <v/>
      </c>
      <c r="H7" s="22">
        <f>'P&amp;L'!H10</f>
        <v/>
      </c>
      <c r="I7" s="22">
        <f>'P&amp;L'!I10</f>
        <v/>
      </c>
      <c r="J7" s="22">
        <f>'P&amp;L'!J10</f>
        <v/>
      </c>
      <c r="K7" s="22">
        <f>'P&amp;L'!K10</f>
        <v/>
      </c>
      <c r="L7" s="22">
        <f>'P&amp;L'!L10</f>
        <v/>
      </c>
      <c r="M7" s="22">
        <f>'P&amp;L'!M10</f>
        <v/>
      </c>
      <c r="N7" s="22">
        <f>'P&amp;L'!N10</f>
        <v/>
      </c>
      <c r="O7" s="22">
        <f>'P&amp;L'!O10</f>
        <v/>
      </c>
      <c r="P7" s="22">
        <f>'P&amp;L'!P10</f>
        <v/>
      </c>
      <c r="Q7" s="22">
        <f>'P&amp;L'!Q10</f>
        <v/>
      </c>
      <c r="R7" s="22">
        <f>'P&amp;L'!R10</f>
        <v/>
      </c>
      <c r="S7" s="22">
        <f>'P&amp;L'!S10</f>
        <v/>
      </c>
      <c r="T7" s="22">
        <f>'P&amp;L'!T10</f>
        <v/>
      </c>
      <c r="U7" s="22">
        <f>'P&amp;L'!U10</f>
        <v/>
      </c>
      <c r="V7" s="22">
        <f>'P&amp;L'!V10</f>
        <v/>
      </c>
      <c r="W7" s="22">
        <f>'P&amp;L'!W10</f>
        <v/>
      </c>
      <c r="X7" s="22">
        <f>'P&amp;L'!X10</f>
        <v/>
      </c>
      <c r="Y7" s="22">
        <f>'P&amp;L'!Y10</f>
        <v/>
      </c>
      <c r="Z7" s="22">
        <f>'P&amp;L'!Z10</f>
        <v/>
      </c>
      <c r="AA7" s="22">
        <f>'P&amp;L'!AA10</f>
        <v/>
      </c>
      <c r="AB7" s="22">
        <f>'P&amp;L'!AB10</f>
        <v/>
      </c>
      <c r="AC7" s="22">
        <f>'P&amp;L'!AC10</f>
        <v/>
      </c>
      <c r="AD7" s="22">
        <f>'P&amp;L'!AD10</f>
        <v/>
      </c>
      <c r="AE7" s="22">
        <f>'P&amp;L'!AE10</f>
        <v/>
      </c>
      <c r="AF7" s="22">
        <f>'P&amp;L'!AF10</f>
        <v/>
      </c>
      <c r="AG7" s="22">
        <f>'P&amp;L'!AG10</f>
        <v/>
      </c>
      <c r="AH7" s="22">
        <f>'P&amp;L'!AH10</f>
        <v/>
      </c>
      <c r="AI7" s="22">
        <f>'P&amp;L'!AI10</f>
        <v/>
      </c>
      <c r="AJ7" s="22">
        <f>'P&amp;L'!AJ10</f>
        <v/>
      </c>
      <c r="AK7" s="22">
        <f>'P&amp;L'!AK10</f>
        <v/>
      </c>
      <c r="AL7" s="22">
        <f>'P&amp;L'!AL10</f>
        <v/>
      </c>
    </row>
    <row r="8">
      <c r="A8" s="4" t="inlineStr">
        <is>
          <t>NPR per patient-day</t>
        </is>
      </c>
      <c r="C8" s="32">
        <f>IF('Census Waterfall'!C12=0,0,'P&amp;L'!C10/'Census Waterfall'!C12)</f>
        <v/>
      </c>
      <c r="D8" s="32">
        <f>IF('Census Waterfall'!D12=0,0,'P&amp;L'!D10/'Census Waterfall'!D12)</f>
        <v/>
      </c>
      <c r="E8" s="32">
        <f>IF('Census Waterfall'!E12=0,0,'P&amp;L'!E10/'Census Waterfall'!E12)</f>
        <v/>
      </c>
      <c r="F8" s="32">
        <f>IF('Census Waterfall'!F12=0,0,'P&amp;L'!F10/'Census Waterfall'!F12)</f>
        <v/>
      </c>
      <c r="G8" s="32">
        <f>IF('Census Waterfall'!G12=0,0,'P&amp;L'!G10/'Census Waterfall'!G12)</f>
        <v/>
      </c>
      <c r="H8" s="32">
        <f>IF('Census Waterfall'!H12=0,0,'P&amp;L'!H10/'Census Waterfall'!H12)</f>
        <v/>
      </c>
      <c r="I8" s="32">
        <f>IF('Census Waterfall'!I12=0,0,'P&amp;L'!I10/'Census Waterfall'!I12)</f>
        <v/>
      </c>
      <c r="J8" s="32">
        <f>IF('Census Waterfall'!J12=0,0,'P&amp;L'!J10/'Census Waterfall'!J12)</f>
        <v/>
      </c>
      <c r="K8" s="32">
        <f>IF('Census Waterfall'!K12=0,0,'P&amp;L'!K10/'Census Waterfall'!K12)</f>
        <v/>
      </c>
      <c r="L8" s="32">
        <f>IF('Census Waterfall'!L12=0,0,'P&amp;L'!L10/'Census Waterfall'!L12)</f>
        <v/>
      </c>
      <c r="M8" s="32">
        <f>IF('Census Waterfall'!M12=0,0,'P&amp;L'!M10/'Census Waterfall'!M12)</f>
        <v/>
      </c>
      <c r="N8" s="32">
        <f>IF('Census Waterfall'!N12=0,0,'P&amp;L'!N10/'Census Waterfall'!N12)</f>
        <v/>
      </c>
      <c r="O8" s="32">
        <f>IF('Census Waterfall'!O12=0,0,'P&amp;L'!O10/'Census Waterfall'!O12)</f>
        <v/>
      </c>
      <c r="P8" s="32">
        <f>IF('Census Waterfall'!P12=0,0,'P&amp;L'!P10/'Census Waterfall'!P12)</f>
        <v/>
      </c>
      <c r="Q8" s="32">
        <f>IF('Census Waterfall'!Q12=0,0,'P&amp;L'!Q10/'Census Waterfall'!Q12)</f>
        <v/>
      </c>
      <c r="R8" s="32">
        <f>IF('Census Waterfall'!R12=0,0,'P&amp;L'!R10/'Census Waterfall'!R12)</f>
        <v/>
      </c>
      <c r="S8" s="32">
        <f>IF('Census Waterfall'!S12=0,0,'P&amp;L'!S10/'Census Waterfall'!S12)</f>
        <v/>
      </c>
      <c r="T8" s="32">
        <f>IF('Census Waterfall'!T12=0,0,'P&amp;L'!T10/'Census Waterfall'!T12)</f>
        <v/>
      </c>
      <c r="U8" s="32">
        <f>IF('Census Waterfall'!U12=0,0,'P&amp;L'!U10/'Census Waterfall'!U12)</f>
        <v/>
      </c>
      <c r="V8" s="32">
        <f>IF('Census Waterfall'!V12=0,0,'P&amp;L'!V10/'Census Waterfall'!V12)</f>
        <v/>
      </c>
      <c r="W8" s="32">
        <f>IF('Census Waterfall'!W12=0,0,'P&amp;L'!W10/'Census Waterfall'!W12)</f>
        <v/>
      </c>
      <c r="X8" s="32">
        <f>IF('Census Waterfall'!X12=0,0,'P&amp;L'!X10/'Census Waterfall'!X12)</f>
        <v/>
      </c>
      <c r="Y8" s="32">
        <f>IF('Census Waterfall'!Y12=0,0,'P&amp;L'!Y10/'Census Waterfall'!Y12)</f>
        <v/>
      </c>
      <c r="Z8" s="32">
        <f>IF('Census Waterfall'!Z12=0,0,'P&amp;L'!Z10/'Census Waterfall'!Z12)</f>
        <v/>
      </c>
      <c r="AA8" s="32">
        <f>IF('Census Waterfall'!AA12=0,0,'P&amp;L'!AA10/'Census Waterfall'!AA12)</f>
        <v/>
      </c>
      <c r="AB8" s="32">
        <f>IF('Census Waterfall'!AB12=0,0,'P&amp;L'!AB10/'Census Waterfall'!AB12)</f>
        <v/>
      </c>
      <c r="AC8" s="32">
        <f>IF('Census Waterfall'!AC12=0,0,'P&amp;L'!AC10/'Census Waterfall'!AC12)</f>
        <v/>
      </c>
      <c r="AD8" s="32">
        <f>IF('Census Waterfall'!AD12=0,0,'P&amp;L'!AD10/'Census Waterfall'!AD12)</f>
        <v/>
      </c>
      <c r="AE8" s="32">
        <f>IF('Census Waterfall'!AE12=0,0,'P&amp;L'!AE10/'Census Waterfall'!AE12)</f>
        <v/>
      </c>
      <c r="AF8" s="32">
        <f>IF('Census Waterfall'!AF12=0,0,'P&amp;L'!AF10/'Census Waterfall'!AF12)</f>
        <v/>
      </c>
      <c r="AG8" s="32">
        <f>IF('Census Waterfall'!AG12=0,0,'P&amp;L'!AG10/'Census Waterfall'!AG12)</f>
        <v/>
      </c>
      <c r="AH8" s="32">
        <f>IF('Census Waterfall'!AH12=0,0,'P&amp;L'!AH10/'Census Waterfall'!AH12)</f>
        <v/>
      </c>
      <c r="AI8" s="32">
        <f>IF('Census Waterfall'!AI12=0,0,'P&amp;L'!AI10/'Census Waterfall'!AI12)</f>
        <v/>
      </c>
      <c r="AJ8" s="32">
        <f>IF('Census Waterfall'!AJ12=0,0,'P&amp;L'!AJ10/'Census Waterfall'!AJ12)</f>
        <v/>
      </c>
      <c r="AK8" s="32">
        <f>IF('Census Waterfall'!AK12=0,0,'P&amp;L'!AK10/'Census Waterfall'!AK12)</f>
        <v/>
      </c>
      <c r="AL8" s="32">
        <f>IF('Census Waterfall'!AL12=0,0,'P&amp;L'!AL10/'Census Waterfall'!AL12)</f>
        <v/>
      </c>
    </row>
    <row r="9">
      <c r="A9" s="4" t="inlineStr">
        <is>
          <t>Direct cost per patient-day (COS/PD)</t>
        </is>
      </c>
      <c r="C9" s="32">
        <f>IF('Census Waterfall'!C12=0,0,'P&amp;L'!C14/'Census Waterfall'!C12)</f>
        <v/>
      </c>
      <c r="D9" s="32">
        <f>IF('Census Waterfall'!D12=0,0,'P&amp;L'!D14/'Census Waterfall'!D12)</f>
        <v/>
      </c>
      <c r="E9" s="32">
        <f>IF('Census Waterfall'!E12=0,0,'P&amp;L'!E14/'Census Waterfall'!E12)</f>
        <v/>
      </c>
      <c r="F9" s="32">
        <f>IF('Census Waterfall'!F12=0,0,'P&amp;L'!F14/'Census Waterfall'!F12)</f>
        <v/>
      </c>
      <c r="G9" s="32">
        <f>IF('Census Waterfall'!G12=0,0,'P&amp;L'!G14/'Census Waterfall'!G12)</f>
        <v/>
      </c>
      <c r="H9" s="32">
        <f>IF('Census Waterfall'!H12=0,0,'P&amp;L'!H14/'Census Waterfall'!H12)</f>
        <v/>
      </c>
      <c r="I9" s="32">
        <f>IF('Census Waterfall'!I12=0,0,'P&amp;L'!I14/'Census Waterfall'!I12)</f>
        <v/>
      </c>
      <c r="J9" s="32">
        <f>IF('Census Waterfall'!J12=0,0,'P&amp;L'!J14/'Census Waterfall'!J12)</f>
        <v/>
      </c>
      <c r="K9" s="32">
        <f>IF('Census Waterfall'!K12=0,0,'P&amp;L'!K14/'Census Waterfall'!K12)</f>
        <v/>
      </c>
      <c r="L9" s="32">
        <f>IF('Census Waterfall'!L12=0,0,'P&amp;L'!L14/'Census Waterfall'!L12)</f>
        <v/>
      </c>
      <c r="M9" s="32">
        <f>IF('Census Waterfall'!M12=0,0,'P&amp;L'!M14/'Census Waterfall'!M12)</f>
        <v/>
      </c>
      <c r="N9" s="32">
        <f>IF('Census Waterfall'!N12=0,0,'P&amp;L'!N14/'Census Waterfall'!N12)</f>
        <v/>
      </c>
      <c r="O9" s="32">
        <f>IF('Census Waterfall'!O12=0,0,'P&amp;L'!O14/'Census Waterfall'!O12)</f>
        <v/>
      </c>
      <c r="P9" s="32">
        <f>IF('Census Waterfall'!P12=0,0,'P&amp;L'!P14/'Census Waterfall'!P12)</f>
        <v/>
      </c>
      <c r="Q9" s="32">
        <f>IF('Census Waterfall'!Q12=0,0,'P&amp;L'!Q14/'Census Waterfall'!Q12)</f>
        <v/>
      </c>
      <c r="R9" s="32">
        <f>IF('Census Waterfall'!R12=0,0,'P&amp;L'!R14/'Census Waterfall'!R12)</f>
        <v/>
      </c>
      <c r="S9" s="32">
        <f>IF('Census Waterfall'!S12=0,0,'P&amp;L'!S14/'Census Waterfall'!S12)</f>
        <v/>
      </c>
      <c r="T9" s="32">
        <f>IF('Census Waterfall'!T12=0,0,'P&amp;L'!T14/'Census Waterfall'!T12)</f>
        <v/>
      </c>
      <c r="U9" s="32">
        <f>IF('Census Waterfall'!U12=0,0,'P&amp;L'!U14/'Census Waterfall'!U12)</f>
        <v/>
      </c>
      <c r="V9" s="32">
        <f>IF('Census Waterfall'!V12=0,0,'P&amp;L'!V14/'Census Waterfall'!V12)</f>
        <v/>
      </c>
      <c r="W9" s="32">
        <f>IF('Census Waterfall'!W12=0,0,'P&amp;L'!W14/'Census Waterfall'!W12)</f>
        <v/>
      </c>
      <c r="X9" s="32">
        <f>IF('Census Waterfall'!X12=0,0,'P&amp;L'!X14/'Census Waterfall'!X12)</f>
        <v/>
      </c>
      <c r="Y9" s="32">
        <f>IF('Census Waterfall'!Y12=0,0,'P&amp;L'!Y14/'Census Waterfall'!Y12)</f>
        <v/>
      </c>
      <c r="Z9" s="32">
        <f>IF('Census Waterfall'!Z12=0,0,'P&amp;L'!Z14/'Census Waterfall'!Z12)</f>
        <v/>
      </c>
      <c r="AA9" s="32">
        <f>IF('Census Waterfall'!AA12=0,0,'P&amp;L'!AA14/'Census Waterfall'!AA12)</f>
        <v/>
      </c>
      <c r="AB9" s="32">
        <f>IF('Census Waterfall'!AB12=0,0,'P&amp;L'!AB14/'Census Waterfall'!AB12)</f>
        <v/>
      </c>
      <c r="AC9" s="32">
        <f>IF('Census Waterfall'!AC12=0,0,'P&amp;L'!AC14/'Census Waterfall'!AC12)</f>
        <v/>
      </c>
      <c r="AD9" s="32">
        <f>IF('Census Waterfall'!AD12=0,0,'P&amp;L'!AD14/'Census Waterfall'!AD12)</f>
        <v/>
      </c>
      <c r="AE9" s="32">
        <f>IF('Census Waterfall'!AE12=0,0,'P&amp;L'!AE14/'Census Waterfall'!AE12)</f>
        <v/>
      </c>
      <c r="AF9" s="32">
        <f>IF('Census Waterfall'!AF12=0,0,'P&amp;L'!AF14/'Census Waterfall'!AF12)</f>
        <v/>
      </c>
      <c r="AG9" s="32">
        <f>IF('Census Waterfall'!AG12=0,0,'P&amp;L'!AG14/'Census Waterfall'!AG12)</f>
        <v/>
      </c>
      <c r="AH9" s="32">
        <f>IF('Census Waterfall'!AH12=0,0,'P&amp;L'!AH14/'Census Waterfall'!AH12)</f>
        <v/>
      </c>
      <c r="AI9" s="32">
        <f>IF('Census Waterfall'!AI12=0,0,'P&amp;L'!AI14/'Census Waterfall'!AI12)</f>
        <v/>
      </c>
      <c r="AJ9" s="32">
        <f>IF('Census Waterfall'!AJ12=0,0,'P&amp;L'!AJ14/'Census Waterfall'!AJ12)</f>
        <v/>
      </c>
      <c r="AK9" s="32">
        <f>IF('Census Waterfall'!AK12=0,0,'P&amp;L'!AK14/'Census Waterfall'!AK12)</f>
        <v/>
      </c>
      <c r="AL9" s="32">
        <f>IF('Census Waterfall'!AL12=0,0,'P&amp;L'!AL14/'Census Waterfall'!AL12)</f>
        <v/>
      </c>
    </row>
    <row r="10">
      <c r="A10" s="4" t="inlineStr">
        <is>
          <t>Contribution per patient-day</t>
        </is>
      </c>
      <c r="C10" s="32">
        <f>IF('Census Waterfall'!C12=0,0,'P&amp;L'!C15/'Census Waterfall'!C12)</f>
        <v/>
      </c>
      <c r="D10" s="32">
        <f>IF('Census Waterfall'!D12=0,0,'P&amp;L'!D15/'Census Waterfall'!D12)</f>
        <v/>
      </c>
      <c r="E10" s="32">
        <f>IF('Census Waterfall'!E12=0,0,'P&amp;L'!E15/'Census Waterfall'!E12)</f>
        <v/>
      </c>
      <c r="F10" s="32">
        <f>IF('Census Waterfall'!F12=0,0,'P&amp;L'!F15/'Census Waterfall'!F12)</f>
        <v/>
      </c>
      <c r="G10" s="32">
        <f>IF('Census Waterfall'!G12=0,0,'P&amp;L'!G15/'Census Waterfall'!G12)</f>
        <v/>
      </c>
      <c r="H10" s="32">
        <f>IF('Census Waterfall'!H12=0,0,'P&amp;L'!H15/'Census Waterfall'!H12)</f>
        <v/>
      </c>
      <c r="I10" s="32">
        <f>IF('Census Waterfall'!I12=0,0,'P&amp;L'!I15/'Census Waterfall'!I12)</f>
        <v/>
      </c>
      <c r="J10" s="32">
        <f>IF('Census Waterfall'!J12=0,0,'P&amp;L'!J15/'Census Waterfall'!J12)</f>
        <v/>
      </c>
      <c r="K10" s="32">
        <f>IF('Census Waterfall'!K12=0,0,'P&amp;L'!K15/'Census Waterfall'!K12)</f>
        <v/>
      </c>
      <c r="L10" s="32">
        <f>IF('Census Waterfall'!L12=0,0,'P&amp;L'!L15/'Census Waterfall'!L12)</f>
        <v/>
      </c>
      <c r="M10" s="32">
        <f>IF('Census Waterfall'!M12=0,0,'P&amp;L'!M15/'Census Waterfall'!M12)</f>
        <v/>
      </c>
      <c r="N10" s="32">
        <f>IF('Census Waterfall'!N12=0,0,'P&amp;L'!N15/'Census Waterfall'!N12)</f>
        <v/>
      </c>
      <c r="O10" s="32">
        <f>IF('Census Waterfall'!O12=0,0,'P&amp;L'!O15/'Census Waterfall'!O12)</f>
        <v/>
      </c>
      <c r="P10" s="32">
        <f>IF('Census Waterfall'!P12=0,0,'P&amp;L'!P15/'Census Waterfall'!P12)</f>
        <v/>
      </c>
      <c r="Q10" s="32">
        <f>IF('Census Waterfall'!Q12=0,0,'P&amp;L'!Q15/'Census Waterfall'!Q12)</f>
        <v/>
      </c>
      <c r="R10" s="32">
        <f>IF('Census Waterfall'!R12=0,0,'P&amp;L'!R15/'Census Waterfall'!R12)</f>
        <v/>
      </c>
      <c r="S10" s="32">
        <f>IF('Census Waterfall'!S12=0,0,'P&amp;L'!S15/'Census Waterfall'!S12)</f>
        <v/>
      </c>
      <c r="T10" s="32">
        <f>IF('Census Waterfall'!T12=0,0,'P&amp;L'!T15/'Census Waterfall'!T12)</f>
        <v/>
      </c>
      <c r="U10" s="32">
        <f>IF('Census Waterfall'!U12=0,0,'P&amp;L'!U15/'Census Waterfall'!U12)</f>
        <v/>
      </c>
      <c r="V10" s="32">
        <f>IF('Census Waterfall'!V12=0,0,'P&amp;L'!V15/'Census Waterfall'!V12)</f>
        <v/>
      </c>
      <c r="W10" s="32">
        <f>IF('Census Waterfall'!W12=0,0,'P&amp;L'!W15/'Census Waterfall'!W12)</f>
        <v/>
      </c>
      <c r="X10" s="32">
        <f>IF('Census Waterfall'!X12=0,0,'P&amp;L'!X15/'Census Waterfall'!X12)</f>
        <v/>
      </c>
      <c r="Y10" s="32">
        <f>IF('Census Waterfall'!Y12=0,0,'P&amp;L'!Y15/'Census Waterfall'!Y12)</f>
        <v/>
      </c>
      <c r="Z10" s="32">
        <f>IF('Census Waterfall'!Z12=0,0,'P&amp;L'!Z15/'Census Waterfall'!Z12)</f>
        <v/>
      </c>
      <c r="AA10" s="32">
        <f>IF('Census Waterfall'!AA12=0,0,'P&amp;L'!AA15/'Census Waterfall'!AA12)</f>
        <v/>
      </c>
      <c r="AB10" s="32">
        <f>IF('Census Waterfall'!AB12=0,0,'P&amp;L'!AB15/'Census Waterfall'!AB12)</f>
        <v/>
      </c>
      <c r="AC10" s="32">
        <f>IF('Census Waterfall'!AC12=0,0,'P&amp;L'!AC15/'Census Waterfall'!AC12)</f>
        <v/>
      </c>
      <c r="AD10" s="32">
        <f>IF('Census Waterfall'!AD12=0,0,'P&amp;L'!AD15/'Census Waterfall'!AD12)</f>
        <v/>
      </c>
      <c r="AE10" s="32">
        <f>IF('Census Waterfall'!AE12=0,0,'P&amp;L'!AE15/'Census Waterfall'!AE12)</f>
        <v/>
      </c>
      <c r="AF10" s="32">
        <f>IF('Census Waterfall'!AF12=0,0,'P&amp;L'!AF15/'Census Waterfall'!AF12)</f>
        <v/>
      </c>
      <c r="AG10" s="32">
        <f>IF('Census Waterfall'!AG12=0,0,'P&amp;L'!AG15/'Census Waterfall'!AG12)</f>
        <v/>
      </c>
      <c r="AH10" s="32">
        <f>IF('Census Waterfall'!AH12=0,0,'P&amp;L'!AH15/'Census Waterfall'!AH12)</f>
        <v/>
      </c>
      <c r="AI10" s="32">
        <f>IF('Census Waterfall'!AI12=0,0,'P&amp;L'!AI15/'Census Waterfall'!AI12)</f>
        <v/>
      </c>
      <c r="AJ10" s="32">
        <f>IF('Census Waterfall'!AJ12=0,0,'P&amp;L'!AJ15/'Census Waterfall'!AJ12)</f>
        <v/>
      </c>
      <c r="AK10" s="32">
        <f>IF('Census Waterfall'!AK12=0,0,'P&amp;L'!AK15/'Census Waterfall'!AK12)</f>
        <v/>
      </c>
      <c r="AL10" s="32">
        <f>IF('Census Waterfall'!AL12=0,0,'P&amp;L'!AL15/'Census Waterfall'!AL12)</f>
        <v/>
      </c>
    </row>
    <row r="11">
      <c r="A11" s="4" t="inlineStr">
        <is>
          <t>Total labor % of NPR</t>
        </is>
      </c>
      <c r="C11" s="11">
        <f>IF('P&amp;L'!C10=0,0,('Staffing'!C37+'Staffing'!C38)/'P&amp;L'!C10)</f>
        <v/>
      </c>
      <c r="D11" s="11">
        <f>IF('P&amp;L'!D10=0,0,('Staffing'!D37+'Staffing'!D38)/'P&amp;L'!D10)</f>
        <v/>
      </c>
      <c r="E11" s="11">
        <f>IF('P&amp;L'!E10=0,0,('Staffing'!E37+'Staffing'!E38)/'P&amp;L'!E10)</f>
        <v/>
      </c>
      <c r="F11" s="11">
        <f>IF('P&amp;L'!F10=0,0,('Staffing'!F37+'Staffing'!F38)/'P&amp;L'!F10)</f>
        <v/>
      </c>
      <c r="G11" s="11">
        <f>IF('P&amp;L'!G10=0,0,('Staffing'!G37+'Staffing'!G38)/'P&amp;L'!G10)</f>
        <v/>
      </c>
      <c r="H11" s="11">
        <f>IF('P&amp;L'!H10=0,0,('Staffing'!H37+'Staffing'!H38)/'P&amp;L'!H10)</f>
        <v/>
      </c>
      <c r="I11" s="11">
        <f>IF('P&amp;L'!I10=0,0,('Staffing'!I37+'Staffing'!I38)/'P&amp;L'!I10)</f>
        <v/>
      </c>
      <c r="J11" s="11">
        <f>IF('P&amp;L'!J10=0,0,('Staffing'!J37+'Staffing'!J38)/'P&amp;L'!J10)</f>
        <v/>
      </c>
      <c r="K11" s="11">
        <f>IF('P&amp;L'!K10=0,0,('Staffing'!K37+'Staffing'!K38)/'P&amp;L'!K10)</f>
        <v/>
      </c>
      <c r="L11" s="11">
        <f>IF('P&amp;L'!L10=0,0,('Staffing'!L37+'Staffing'!L38)/'P&amp;L'!L10)</f>
        <v/>
      </c>
      <c r="M11" s="11">
        <f>IF('P&amp;L'!M10=0,0,('Staffing'!M37+'Staffing'!M38)/'P&amp;L'!M10)</f>
        <v/>
      </c>
      <c r="N11" s="11">
        <f>IF('P&amp;L'!N10=0,0,('Staffing'!N37+'Staffing'!N38)/'P&amp;L'!N10)</f>
        <v/>
      </c>
      <c r="O11" s="11">
        <f>IF('P&amp;L'!O10=0,0,('Staffing'!O37+'Staffing'!O38)/'P&amp;L'!O10)</f>
        <v/>
      </c>
      <c r="P11" s="11">
        <f>IF('P&amp;L'!P10=0,0,('Staffing'!P37+'Staffing'!P38)/'P&amp;L'!P10)</f>
        <v/>
      </c>
      <c r="Q11" s="11">
        <f>IF('P&amp;L'!Q10=0,0,('Staffing'!Q37+'Staffing'!Q38)/'P&amp;L'!Q10)</f>
        <v/>
      </c>
      <c r="R11" s="11">
        <f>IF('P&amp;L'!R10=0,0,('Staffing'!R37+'Staffing'!R38)/'P&amp;L'!R10)</f>
        <v/>
      </c>
      <c r="S11" s="11">
        <f>IF('P&amp;L'!S10=0,0,('Staffing'!S37+'Staffing'!S38)/'P&amp;L'!S10)</f>
        <v/>
      </c>
      <c r="T11" s="11">
        <f>IF('P&amp;L'!T10=0,0,('Staffing'!T37+'Staffing'!T38)/'P&amp;L'!T10)</f>
        <v/>
      </c>
      <c r="U11" s="11">
        <f>IF('P&amp;L'!U10=0,0,('Staffing'!U37+'Staffing'!U38)/'P&amp;L'!U10)</f>
        <v/>
      </c>
      <c r="V11" s="11">
        <f>IF('P&amp;L'!V10=0,0,('Staffing'!V37+'Staffing'!V38)/'P&amp;L'!V10)</f>
        <v/>
      </c>
      <c r="W11" s="11">
        <f>IF('P&amp;L'!W10=0,0,('Staffing'!W37+'Staffing'!W38)/'P&amp;L'!W10)</f>
        <v/>
      </c>
      <c r="X11" s="11">
        <f>IF('P&amp;L'!X10=0,0,('Staffing'!X37+'Staffing'!X38)/'P&amp;L'!X10)</f>
        <v/>
      </c>
      <c r="Y11" s="11">
        <f>IF('P&amp;L'!Y10=0,0,('Staffing'!Y37+'Staffing'!Y38)/'P&amp;L'!Y10)</f>
        <v/>
      </c>
      <c r="Z11" s="11">
        <f>IF('P&amp;L'!Z10=0,0,('Staffing'!Z37+'Staffing'!Z38)/'P&amp;L'!Z10)</f>
        <v/>
      </c>
      <c r="AA11" s="11">
        <f>IF('P&amp;L'!AA10=0,0,('Staffing'!AA37+'Staffing'!AA38)/'P&amp;L'!AA10)</f>
        <v/>
      </c>
      <c r="AB11" s="11">
        <f>IF('P&amp;L'!AB10=0,0,('Staffing'!AB37+'Staffing'!AB38)/'P&amp;L'!AB10)</f>
        <v/>
      </c>
      <c r="AC11" s="11">
        <f>IF('P&amp;L'!AC10=0,0,('Staffing'!AC37+'Staffing'!AC38)/'P&amp;L'!AC10)</f>
        <v/>
      </c>
      <c r="AD11" s="11">
        <f>IF('P&amp;L'!AD10=0,0,('Staffing'!AD37+'Staffing'!AD38)/'P&amp;L'!AD10)</f>
        <v/>
      </c>
      <c r="AE11" s="11">
        <f>IF('P&amp;L'!AE10=0,0,('Staffing'!AE37+'Staffing'!AE38)/'P&amp;L'!AE10)</f>
        <v/>
      </c>
      <c r="AF11" s="11">
        <f>IF('P&amp;L'!AF10=0,0,('Staffing'!AF37+'Staffing'!AF38)/'P&amp;L'!AF10)</f>
        <v/>
      </c>
      <c r="AG11" s="11">
        <f>IF('P&amp;L'!AG10=0,0,('Staffing'!AG37+'Staffing'!AG38)/'P&amp;L'!AG10)</f>
        <v/>
      </c>
      <c r="AH11" s="11">
        <f>IF('P&amp;L'!AH10=0,0,('Staffing'!AH37+'Staffing'!AH38)/'P&amp;L'!AH10)</f>
        <v/>
      </c>
      <c r="AI11" s="11">
        <f>IF('P&amp;L'!AI10=0,0,('Staffing'!AI37+'Staffing'!AI38)/'P&amp;L'!AI10)</f>
        <v/>
      </c>
      <c r="AJ11" s="11">
        <f>IF('P&amp;L'!AJ10=0,0,('Staffing'!AJ37+'Staffing'!AJ38)/'P&amp;L'!AJ10)</f>
        <v/>
      </c>
      <c r="AK11" s="11">
        <f>IF('P&amp;L'!AK10=0,0,('Staffing'!AK37+'Staffing'!AK38)/'P&amp;L'!AK10)</f>
        <v/>
      </c>
      <c r="AL11" s="11">
        <f>IF('P&amp;L'!AL10=0,0,('Staffing'!AL37+'Staffing'!AL38)/'P&amp;L'!AL10)</f>
        <v/>
      </c>
    </row>
    <row r="12">
      <c r="A12" s="10" t="inlineStr">
        <is>
          <t>EBITDA</t>
        </is>
      </c>
      <c r="C12" s="23">
        <f>'P&amp;L'!C24</f>
        <v/>
      </c>
      <c r="D12" s="23">
        <f>'P&amp;L'!D24</f>
        <v/>
      </c>
      <c r="E12" s="23">
        <f>'P&amp;L'!E24</f>
        <v/>
      </c>
      <c r="F12" s="23">
        <f>'P&amp;L'!F24</f>
        <v/>
      </c>
      <c r="G12" s="23">
        <f>'P&amp;L'!G24</f>
        <v/>
      </c>
      <c r="H12" s="23">
        <f>'P&amp;L'!H24</f>
        <v/>
      </c>
      <c r="I12" s="23">
        <f>'P&amp;L'!I24</f>
        <v/>
      </c>
      <c r="J12" s="23">
        <f>'P&amp;L'!J24</f>
        <v/>
      </c>
      <c r="K12" s="23">
        <f>'P&amp;L'!K24</f>
        <v/>
      </c>
      <c r="L12" s="23">
        <f>'P&amp;L'!L24</f>
        <v/>
      </c>
      <c r="M12" s="23">
        <f>'P&amp;L'!M24</f>
        <v/>
      </c>
      <c r="N12" s="23">
        <f>'P&amp;L'!N24</f>
        <v/>
      </c>
      <c r="O12" s="23">
        <f>'P&amp;L'!O24</f>
        <v/>
      </c>
      <c r="P12" s="23">
        <f>'P&amp;L'!P24</f>
        <v/>
      </c>
      <c r="Q12" s="23">
        <f>'P&amp;L'!Q24</f>
        <v/>
      </c>
      <c r="R12" s="23">
        <f>'P&amp;L'!R24</f>
        <v/>
      </c>
      <c r="S12" s="23">
        <f>'P&amp;L'!S24</f>
        <v/>
      </c>
      <c r="T12" s="23">
        <f>'P&amp;L'!T24</f>
        <v/>
      </c>
      <c r="U12" s="23">
        <f>'P&amp;L'!U24</f>
        <v/>
      </c>
      <c r="V12" s="23">
        <f>'P&amp;L'!V24</f>
        <v/>
      </c>
      <c r="W12" s="23">
        <f>'P&amp;L'!W24</f>
        <v/>
      </c>
      <c r="X12" s="23">
        <f>'P&amp;L'!X24</f>
        <v/>
      </c>
      <c r="Y12" s="23">
        <f>'P&amp;L'!Y24</f>
        <v/>
      </c>
      <c r="Z12" s="23">
        <f>'P&amp;L'!Z24</f>
        <v/>
      </c>
      <c r="AA12" s="23">
        <f>'P&amp;L'!AA24</f>
        <v/>
      </c>
      <c r="AB12" s="23">
        <f>'P&amp;L'!AB24</f>
        <v/>
      </c>
      <c r="AC12" s="23">
        <f>'P&amp;L'!AC24</f>
        <v/>
      </c>
      <c r="AD12" s="23">
        <f>'P&amp;L'!AD24</f>
        <v/>
      </c>
      <c r="AE12" s="23">
        <f>'P&amp;L'!AE24</f>
        <v/>
      </c>
      <c r="AF12" s="23">
        <f>'P&amp;L'!AF24</f>
        <v/>
      </c>
      <c r="AG12" s="23">
        <f>'P&amp;L'!AG24</f>
        <v/>
      </c>
      <c r="AH12" s="23">
        <f>'P&amp;L'!AH24</f>
        <v/>
      </c>
      <c r="AI12" s="23">
        <f>'P&amp;L'!AI24</f>
        <v/>
      </c>
      <c r="AJ12" s="23">
        <f>'P&amp;L'!AJ24</f>
        <v/>
      </c>
      <c r="AK12" s="23">
        <f>'P&amp;L'!AK24</f>
        <v/>
      </c>
      <c r="AL12" s="23">
        <f>'P&amp;L'!AL24</f>
        <v/>
      </c>
    </row>
    <row r="13">
      <c r="A13" s="10" t="inlineStr">
        <is>
          <t>EBITDA margin % (pre-debt-service)</t>
        </is>
      </c>
      <c r="C13" s="33">
        <f>'P&amp;L'!C25</f>
        <v/>
      </c>
      <c r="D13" s="33">
        <f>'P&amp;L'!D25</f>
        <v/>
      </c>
      <c r="E13" s="33">
        <f>'P&amp;L'!E25</f>
        <v/>
      </c>
      <c r="F13" s="33">
        <f>'P&amp;L'!F25</f>
        <v/>
      </c>
      <c r="G13" s="33">
        <f>'P&amp;L'!G25</f>
        <v/>
      </c>
      <c r="H13" s="33">
        <f>'P&amp;L'!H25</f>
        <v/>
      </c>
      <c r="I13" s="33">
        <f>'P&amp;L'!I25</f>
        <v/>
      </c>
      <c r="J13" s="33">
        <f>'P&amp;L'!J25</f>
        <v/>
      </c>
      <c r="K13" s="33">
        <f>'P&amp;L'!K25</f>
        <v/>
      </c>
      <c r="L13" s="33">
        <f>'P&amp;L'!L25</f>
        <v/>
      </c>
      <c r="M13" s="33">
        <f>'P&amp;L'!M25</f>
        <v/>
      </c>
      <c r="N13" s="33">
        <f>'P&amp;L'!N25</f>
        <v/>
      </c>
      <c r="O13" s="33">
        <f>'P&amp;L'!O25</f>
        <v/>
      </c>
      <c r="P13" s="33">
        <f>'P&amp;L'!P25</f>
        <v/>
      </c>
      <c r="Q13" s="33">
        <f>'P&amp;L'!Q25</f>
        <v/>
      </c>
      <c r="R13" s="33">
        <f>'P&amp;L'!R25</f>
        <v/>
      </c>
      <c r="S13" s="33">
        <f>'P&amp;L'!S25</f>
        <v/>
      </c>
      <c r="T13" s="33">
        <f>'P&amp;L'!T25</f>
        <v/>
      </c>
      <c r="U13" s="33">
        <f>'P&amp;L'!U25</f>
        <v/>
      </c>
      <c r="V13" s="33">
        <f>'P&amp;L'!V25</f>
        <v/>
      </c>
      <c r="W13" s="33">
        <f>'P&amp;L'!W25</f>
        <v/>
      </c>
      <c r="X13" s="33">
        <f>'P&amp;L'!X25</f>
        <v/>
      </c>
      <c r="Y13" s="33">
        <f>'P&amp;L'!Y25</f>
        <v/>
      </c>
      <c r="Z13" s="33">
        <f>'P&amp;L'!Z25</f>
        <v/>
      </c>
      <c r="AA13" s="33">
        <f>'P&amp;L'!AA25</f>
        <v/>
      </c>
      <c r="AB13" s="33">
        <f>'P&amp;L'!AB25</f>
        <v/>
      </c>
      <c r="AC13" s="33">
        <f>'P&amp;L'!AC25</f>
        <v/>
      </c>
      <c r="AD13" s="33">
        <f>'P&amp;L'!AD25</f>
        <v/>
      </c>
      <c r="AE13" s="33">
        <f>'P&amp;L'!AE25</f>
        <v/>
      </c>
      <c r="AF13" s="33">
        <f>'P&amp;L'!AF25</f>
        <v/>
      </c>
      <c r="AG13" s="33">
        <f>'P&amp;L'!AG25</f>
        <v/>
      </c>
      <c r="AH13" s="33">
        <f>'P&amp;L'!AH25</f>
        <v/>
      </c>
      <c r="AI13" s="33">
        <f>'P&amp;L'!AI25</f>
        <v/>
      </c>
      <c r="AJ13" s="33">
        <f>'P&amp;L'!AJ25</f>
        <v/>
      </c>
      <c r="AK13" s="33">
        <f>'P&amp;L'!AK25</f>
        <v/>
      </c>
      <c r="AL13" s="33">
        <f>'P&amp;L'!AL25</f>
        <v/>
      </c>
    </row>
    <row r="14">
      <c r="A14" s="4" t="inlineStr">
        <is>
          <t>Debt service (P&amp;I, all facilities)</t>
        </is>
      </c>
      <c r="C14" s="22">
        <f>'Cash Flow &amp; Runway'!C19+'Cash Flow &amp; Runway'!C22+'Cash Flow &amp; Runway'!C25+'Cash Flow &amp; Runway'!C14+'Cash Flow &amp; Runway'!C15</f>
        <v/>
      </c>
      <c r="D14" s="22">
        <f>'Cash Flow &amp; Runway'!D19+'Cash Flow &amp; Runway'!D22+'Cash Flow &amp; Runway'!D25+'Cash Flow &amp; Runway'!D14+'Cash Flow &amp; Runway'!D15</f>
        <v/>
      </c>
      <c r="E14" s="22">
        <f>'Cash Flow &amp; Runway'!E19+'Cash Flow &amp; Runway'!E22+'Cash Flow &amp; Runway'!E25+'Cash Flow &amp; Runway'!E14+'Cash Flow &amp; Runway'!E15</f>
        <v/>
      </c>
      <c r="F14" s="22">
        <f>'Cash Flow &amp; Runway'!F19+'Cash Flow &amp; Runway'!F22+'Cash Flow &amp; Runway'!F25+'Cash Flow &amp; Runway'!F14+'Cash Flow &amp; Runway'!F15</f>
        <v/>
      </c>
      <c r="G14" s="22">
        <f>'Cash Flow &amp; Runway'!G19+'Cash Flow &amp; Runway'!G22+'Cash Flow &amp; Runway'!G25+'Cash Flow &amp; Runway'!G14+'Cash Flow &amp; Runway'!G15</f>
        <v/>
      </c>
      <c r="H14" s="22">
        <f>'Cash Flow &amp; Runway'!H19+'Cash Flow &amp; Runway'!H22+'Cash Flow &amp; Runway'!H25+'Cash Flow &amp; Runway'!H14+'Cash Flow &amp; Runway'!H15</f>
        <v/>
      </c>
      <c r="I14" s="22">
        <f>'Cash Flow &amp; Runway'!I19+'Cash Flow &amp; Runway'!I22+'Cash Flow &amp; Runway'!I25+'Cash Flow &amp; Runway'!I14+'Cash Flow &amp; Runway'!I15</f>
        <v/>
      </c>
      <c r="J14" s="22">
        <f>'Cash Flow &amp; Runway'!J19+'Cash Flow &amp; Runway'!J22+'Cash Flow &amp; Runway'!J25+'Cash Flow &amp; Runway'!J14+'Cash Flow &amp; Runway'!J15</f>
        <v/>
      </c>
      <c r="K14" s="22">
        <f>'Cash Flow &amp; Runway'!K19+'Cash Flow &amp; Runway'!K22+'Cash Flow &amp; Runway'!K25+'Cash Flow &amp; Runway'!K14+'Cash Flow &amp; Runway'!K15</f>
        <v/>
      </c>
      <c r="L14" s="22">
        <f>'Cash Flow &amp; Runway'!L19+'Cash Flow &amp; Runway'!L22+'Cash Flow &amp; Runway'!L25+'Cash Flow &amp; Runway'!L14+'Cash Flow &amp; Runway'!L15</f>
        <v/>
      </c>
      <c r="M14" s="22">
        <f>'Cash Flow &amp; Runway'!M19+'Cash Flow &amp; Runway'!M22+'Cash Flow &amp; Runway'!M25+'Cash Flow &amp; Runway'!M14+'Cash Flow &amp; Runway'!M15</f>
        <v/>
      </c>
      <c r="N14" s="22">
        <f>'Cash Flow &amp; Runway'!N19+'Cash Flow &amp; Runway'!N22+'Cash Flow &amp; Runway'!N25+'Cash Flow &amp; Runway'!N14+'Cash Flow &amp; Runway'!N15</f>
        <v/>
      </c>
      <c r="O14" s="22">
        <f>'Cash Flow &amp; Runway'!O19+'Cash Flow &amp; Runway'!O22+'Cash Flow &amp; Runway'!O25+'Cash Flow &amp; Runway'!O14+'Cash Flow &amp; Runway'!O15</f>
        <v/>
      </c>
      <c r="P14" s="22">
        <f>'Cash Flow &amp; Runway'!P19+'Cash Flow &amp; Runway'!P22+'Cash Flow &amp; Runway'!P25+'Cash Flow &amp; Runway'!P14+'Cash Flow &amp; Runway'!P15</f>
        <v/>
      </c>
      <c r="Q14" s="22">
        <f>'Cash Flow &amp; Runway'!Q19+'Cash Flow &amp; Runway'!Q22+'Cash Flow &amp; Runway'!Q25+'Cash Flow &amp; Runway'!Q14+'Cash Flow &amp; Runway'!Q15</f>
        <v/>
      </c>
      <c r="R14" s="22">
        <f>'Cash Flow &amp; Runway'!R19+'Cash Flow &amp; Runway'!R22+'Cash Flow &amp; Runway'!R25+'Cash Flow &amp; Runway'!R14+'Cash Flow &amp; Runway'!R15</f>
        <v/>
      </c>
      <c r="S14" s="22">
        <f>'Cash Flow &amp; Runway'!S19+'Cash Flow &amp; Runway'!S22+'Cash Flow &amp; Runway'!S25+'Cash Flow &amp; Runway'!S14+'Cash Flow &amp; Runway'!S15</f>
        <v/>
      </c>
      <c r="T14" s="22">
        <f>'Cash Flow &amp; Runway'!T19+'Cash Flow &amp; Runway'!T22+'Cash Flow &amp; Runway'!T25+'Cash Flow &amp; Runway'!T14+'Cash Flow &amp; Runway'!T15</f>
        <v/>
      </c>
      <c r="U14" s="22">
        <f>'Cash Flow &amp; Runway'!U19+'Cash Flow &amp; Runway'!U22+'Cash Flow &amp; Runway'!U25+'Cash Flow &amp; Runway'!U14+'Cash Flow &amp; Runway'!U15</f>
        <v/>
      </c>
      <c r="V14" s="22">
        <f>'Cash Flow &amp; Runway'!V19+'Cash Flow &amp; Runway'!V22+'Cash Flow &amp; Runway'!V25+'Cash Flow &amp; Runway'!V14+'Cash Flow &amp; Runway'!V15</f>
        <v/>
      </c>
      <c r="W14" s="22">
        <f>'Cash Flow &amp; Runway'!W19+'Cash Flow &amp; Runway'!W22+'Cash Flow &amp; Runway'!W25+'Cash Flow &amp; Runway'!W14+'Cash Flow &amp; Runway'!W15</f>
        <v/>
      </c>
      <c r="X14" s="22">
        <f>'Cash Flow &amp; Runway'!X19+'Cash Flow &amp; Runway'!X22+'Cash Flow &amp; Runway'!X25+'Cash Flow &amp; Runway'!X14+'Cash Flow &amp; Runway'!X15</f>
        <v/>
      </c>
      <c r="Y14" s="22">
        <f>'Cash Flow &amp; Runway'!Y19+'Cash Flow &amp; Runway'!Y22+'Cash Flow &amp; Runway'!Y25+'Cash Flow &amp; Runway'!Y14+'Cash Flow &amp; Runway'!Y15</f>
        <v/>
      </c>
      <c r="Z14" s="22">
        <f>'Cash Flow &amp; Runway'!Z19+'Cash Flow &amp; Runway'!Z22+'Cash Flow &amp; Runway'!Z25+'Cash Flow &amp; Runway'!Z14+'Cash Flow &amp; Runway'!Z15</f>
        <v/>
      </c>
      <c r="AA14" s="22">
        <f>'Cash Flow &amp; Runway'!AA19+'Cash Flow &amp; Runway'!AA22+'Cash Flow &amp; Runway'!AA25+'Cash Flow &amp; Runway'!AA14+'Cash Flow &amp; Runway'!AA15</f>
        <v/>
      </c>
      <c r="AB14" s="22">
        <f>'Cash Flow &amp; Runway'!AB19+'Cash Flow &amp; Runway'!AB22+'Cash Flow &amp; Runway'!AB25+'Cash Flow &amp; Runway'!AB14+'Cash Flow &amp; Runway'!AB15</f>
        <v/>
      </c>
      <c r="AC14" s="22">
        <f>'Cash Flow &amp; Runway'!AC19+'Cash Flow &amp; Runway'!AC22+'Cash Flow &amp; Runway'!AC25+'Cash Flow &amp; Runway'!AC14+'Cash Flow &amp; Runway'!AC15</f>
        <v/>
      </c>
      <c r="AD14" s="22">
        <f>'Cash Flow &amp; Runway'!AD19+'Cash Flow &amp; Runway'!AD22+'Cash Flow &amp; Runway'!AD25+'Cash Flow &amp; Runway'!AD14+'Cash Flow &amp; Runway'!AD15</f>
        <v/>
      </c>
      <c r="AE14" s="22">
        <f>'Cash Flow &amp; Runway'!AE19+'Cash Flow &amp; Runway'!AE22+'Cash Flow &amp; Runway'!AE25+'Cash Flow &amp; Runway'!AE14+'Cash Flow &amp; Runway'!AE15</f>
        <v/>
      </c>
      <c r="AF14" s="22">
        <f>'Cash Flow &amp; Runway'!AF19+'Cash Flow &amp; Runway'!AF22+'Cash Flow &amp; Runway'!AF25+'Cash Flow &amp; Runway'!AF14+'Cash Flow &amp; Runway'!AF15</f>
        <v/>
      </c>
      <c r="AG14" s="22">
        <f>'Cash Flow &amp; Runway'!AG19+'Cash Flow &amp; Runway'!AG22+'Cash Flow &amp; Runway'!AG25+'Cash Flow &amp; Runway'!AG14+'Cash Flow &amp; Runway'!AG15</f>
        <v/>
      </c>
      <c r="AH14" s="22">
        <f>'Cash Flow &amp; Runway'!AH19+'Cash Flow &amp; Runway'!AH22+'Cash Flow &amp; Runway'!AH25+'Cash Flow &amp; Runway'!AH14+'Cash Flow &amp; Runway'!AH15</f>
        <v/>
      </c>
      <c r="AI14" s="22">
        <f>'Cash Flow &amp; Runway'!AI19+'Cash Flow &amp; Runway'!AI22+'Cash Flow &amp; Runway'!AI25+'Cash Flow &amp; Runway'!AI14+'Cash Flow &amp; Runway'!AI15</f>
        <v/>
      </c>
      <c r="AJ14" s="22">
        <f>'Cash Flow &amp; Runway'!AJ19+'Cash Flow &amp; Runway'!AJ22+'Cash Flow &amp; Runway'!AJ25+'Cash Flow &amp; Runway'!AJ14+'Cash Flow &amp; Runway'!AJ15</f>
        <v/>
      </c>
      <c r="AK14" s="22">
        <f>'Cash Flow &amp; Runway'!AK19+'Cash Flow &amp; Runway'!AK22+'Cash Flow &amp; Runway'!AK25+'Cash Flow &amp; Runway'!AK14+'Cash Flow &amp; Runway'!AK15</f>
        <v/>
      </c>
      <c r="AL14" s="22">
        <f>'Cash Flow &amp; Runway'!AL19+'Cash Flow &amp; Runway'!AL22+'Cash Flow &amp; Runway'!AL25+'Cash Flow &amp; Runway'!AL14+'Cash Flow &amp; Runway'!AL15</f>
        <v/>
      </c>
    </row>
    <row r="15">
      <c r="A15" s="4" t="inlineStr">
        <is>
          <t>DSCR (monthly)</t>
        </is>
      </c>
      <c r="C15" s="29">
        <f>'Cash Flow &amp; Runway'!C45</f>
        <v/>
      </c>
      <c r="D15" s="29">
        <f>'Cash Flow &amp; Runway'!D45</f>
        <v/>
      </c>
      <c r="E15" s="29">
        <f>'Cash Flow &amp; Runway'!E45</f>
        <v/>
      </c>
      <c r="F15" s="29">
        <f>'Cash Flow &amp; Runway'!F45</f>
        <v/>
      </c>
      <c r="G15" s="29">
        <f>'Cash Flow &amp; Runway'!G45</f>
        <v/>
      </c>
      <c r="H15" s="29">
        <f>'Cash Flow &amp; Runway'!H45</f>
        <v/>
      </c>
      <c r="I15" s="29">
        <f>'Cash Flow &amp; Runway'!I45</f>
        <v/>
      </c>
      <c r="J15" s="29">
        <f>'Cash Flow &amp; Runway'!J45</f>
        <v/>
      </c>
      <c r="K15" s="29">
        <f>'Cash Flow &amp; Runway'!K45</f>
        <v/>
      </c>
      <c r="L15" s="29">
        <f>'Cash Flow &amp; Runway'!L45</f>
        <v/>
      </c>
      <c r="M15" s="29">
        <f>'Cash Flow &amp; Runway'!M45</f>
        <v/>
      </c>
      <c r="N15" s="29">
        <f>'Cash Flow &amp; Runway'!N45</f>
        <v/>
      </c>
      <c r="O15" s="29">
        <f>'Cash Flow &amp; Runway'!O45</f>
        <v/>
      </c>
      <c r="P15" s="29">
        <f>'Cash Flow &amp; Runway'!P45</f>
        <v/>
      </c>
      <c r="Q15" s="29">
        <f>'Cash Flow &amp; Runway'!Q45</f>
        <v/>
      </c>
      <c r="R15" s="29">
        <f>'Cash Flow &amp; Runway'!R45</f>
        <v/>
      </c>
      <c r="S15" s="29">
        <f>'Cash Flow &amp; Runway'!S45</f>
        <v/>
      </c>
      <c r="T15" s="29">
        <f>'Cash Flow &amp; Runway'!T45</f>
        <v/>
      </c>
      <c r="U15" s="29">
        <f>'Cash Flow &amp; Runway'!U45</f>
        <v/>
      </c>
      <c r="V15" s="29">
        <f>'Cash Flow &amp; Runway'!V45</f>
        <v/>
      </c>
      <c r="W15" s="29">
        <f>'Cash Flow &amp; Runway'!W45</f>
        <v/>
      </c>
      <c r="X15" s="29">
        <f>'Cash Flow &amp; Runway'!X45</f>
        <v/>
      </c>
      <c r="Y15" s="29">
        <f>'Cash Flow &amp; Runway'!Y45</f>
        <v/>
      </c>
      <c r="Z15" s="29">
        <f>'Cash Flow &amp; Runway'!Z45</f>
        <v/>
      </c>
      <c r="AA15" s="29">
        <f>'Cash Flow &amp; Runway'!AA45</f>
        <v/>
      </c>
      <c r="AB15" s="29">
        <f>'Cash Flow &amp; Runway'!AB45</f>
        <v/>
      </c>
      <c r="AC15" s="29">
        <f>'Cash Flow &amp; Runway'!AC45</f>
        <v/>
      </c>
      <c r="AD15" s="29">
        <f>'Cash Flow &amp; Runway'!AD45</f>
        <v/>
      </c>
      <c r="AE15" s="29">
        <f>'Cash Flow &amp; Runway'!AE45</f>
        <v/>
      </c>
      <c r="AF15" s="29">
        <f>'Cash Flow &amp; Runway'!AF45</f>
        <v/>
      </c>
      <c r="AG15" s="29">
        <f>'Cash Flow &amp; Runway'!AG45</f>
        <v/>
      </c>
      <c r="AH15" s="29">
        <f>'Cash Flow &amp; Runway'!AH45</f>
        <v/>
      </c>
      <c r="AI15" s="29">
        <f>'Cash Flow &amp; Runway'!AI45</f>
        <v/>
      </c>
      <c r="AJ15" s="29">
        <f>'Cash Flow &amp; Runway'!AJ45</f>
        <v/>
      </c>
      <c r="AK15" s="29">
        <f>'Cash Flow &amp; Runway'!AK45</f>
        <v/>
      </c>
      <c r="AL15" s="29">
        <f>'Cash Flow &amp; Runway'!AL45</f>
        <v/>
      </c>
    </row>
    <row r="16">
      <c r="A16" s="4" t="inlineStr">
        <is>
          <t>DSCR TTM (from M12)</t>
        </is>
      </c>
      <c r="C16" s="29">
        <f>"-"</f>
        <v/>
      </c>
      <c r="D16" s="29">
        <f>"-"</f>
        <v/>
      </c>
      <c r="E16" s="29">
        <f>"-"</f>
        <v/>
      </c>
      <c r="F16" s="29">
        <f>"-"</f>
        <v/>
      </c>
      <c r="G16" s="29">
        <f>"-"</f>
        <v/>
      </c>
      <c r="H16" s="29">
        <f>"-"</f>
        <v/>
      </c>
      <c r="I16" s="29">
        <f>"-"</f>
        <v/>
      </c>
      <c r="J16" s="29">
        <f>"-"</f>
        <v/>
      </c>
      <c r="K16" s="29">
        <f>"-"</f>
        <v/>
      </c>
      <c r="L16" s="29">
        <f>"-"</f>
        <v/>
      </c>
      <c r="M16" s="29">
        <f>"-"</f>
        <v/>
      </c>
      <c r="N16" s="29">
        <f>SUM('P&amp;L'!C24:N24)/SUM(C14:N14)</f>
        <v/>
      </c>
      <c r="O16" s="29">
        <f>SUM('P&amp;L'!D24:O24)/SUM(D14:O14)</f>
        <v/>
      </c>
      <c r="P16" s="29">
        <f>SUM('P&amp;L'!E24:P24)/SUM(E14:P14)</f>
        <v/>
      </c>
      <c r="Q16" s="29">
        <f>SUM('P&amp;L'!F24:Q24)/SUM(F14:Q14)</f>
        <v/>
      </c>
      <c r="R16" s="29">
        <f>SUM('P&amp;L'!G24:R24)/SUM(G14:R14)</f>
        <v/>
      </c>
      <c r="S16" s="29">
        <f>SUM('P&amp;L'!H24:S24)/SUM(H14:S14)</f>
        <v/>
      </c>
      <c r="T16" s="29">
        <f>SUM('P&amp;L'!I24:T24)/SUM(I14:T14)</f>
        <v/>
      </c>
      <c r="U16" s="29">
        <f>SUM('P&amp;L'!J24:U24)/SUM(J14:U14)</f>
        <v/>
      </c>
      <c r="V16" s="29">
        <f>SUM('P&amp;L'!K24:V24)/SUM(K14:V14)</f>
        <v/>
      </c>
      <c r="W16" s="29">
        <f>SUM('P&amp;L'!L24:W24)/SUM(L14:W14)</f>
        <v/>
      </c>
      <c r="X16" s="29">
        <f>SUM('P&amp;L'!M24:X24)/SUM(M14:X14)</f>
        <v/>
      </c>
      <c r="Y16" s="29">
        <f>SUM('P&amp;L'!N24:Y24)/SUM(N14:Y14)</f>
        <v/>
      </c>
      <c r="Z16" s="29">
        <f>SUM('P&amp;L'!O24:Z24)/SUM(O14:Z14)</f>
        <v/>
      </c>
      <c r="AA16" s="29">
        <f>SUM('P&amp;L'!P24:AA24)/SUM(P14:AA14)</f>
        <v/>
      </c>
      <c r="AB16" s="29">
        <f>SUM('P&amp;L'!Q24:AB24)/SUM(Q14:AB14)</f>
        <v/>
      </c>
      <c r="AC16" s="29">
        <f>SUM('P&amp;L'!R24:AC24)/SUM(R14:AC14)</f>
        <v/>
      </c>
      <c r="AD16" s="29">
        <f>SUM('P&amp;L'!S24:AD24)/SUM(S14:AD14)</f>
        <v/>
      </c>
      <c r="AE16" s="29">
        <f>SUM('P&amp;L'!T24:AE24)/SUM(T14:AE14)</f>
        <v/>
      </c>
      <c r="AF16" s="29">
        <f>SUM('P&amp;L'!U24:AF24)/SUM(U14:AF14)</f>
        <v/>
      </c>
      <c r="AG16" s="29">
        <f>SUM('P&amp;L'!V24:AG24)/SUM(V14:AG14)</f>
        <v/>
      </c>
      <c r="AH16" s="29">
        <f>SUM('P&amp;L'!W24:AH24)/SUM(W14:AH14)</f>
        <v/>
      </c>
      <c r="AI16" s="29">
        <f>SUM('P&amp;L'!X24:AI24)/SUM(X14:AI14)</f>
        <v/>
      </c>
      <c r="AJ16" s="29">
        <f>SUM('P&amp;L'!Y24:AJ24)/SUM(Y14:AJ14)</f>
        <v/>
      </c>
      <c r="AK16" s="29">
        <f>SUM('P&amp;L'!Z24:AK24)/SUM(Z14:AK14)</f>
        <v/>
      </c>
      <c r="AL16" s="29">
        <f>SUM('P&amp;L'!AA24:AL24)/SUM(AA14:AL14)</f>
        <v/>
      </c>
    </row>
    <row r="17">
      <c r="A17" s="4" t="inlineStr">
        <is>
          <t>Covenant headroom vs 1.25x (TTM basis after M12)</t>
        </is>
      </c>
      <c r="C17" s="29">
        <f>"-"</f>
        <v/>
      </c>
      <c r="D17" s="29">
        <f>"-"</f>
        <v/>
      </c>
      <c r="E17" s="29">
        <f>"-"</f>
        <v/>
      </c>
      <c r="F17" s="29">
        <f>"-"</f>
        <v/>
      </c>
      <c r="G17" s="29">
        <f>"-"</f>
        <v/>
      </c>
      <c r="H17" s="29">
        <f>"-"</f>
        <v/>
      </c>
      <c r="I17" s="29">
        <f>"-"</f>
        <v/>
      </c>
      <c r="J17" s="29">
        <f>"-"</f>
        <v/>
      </c>
      <c r="K17" s="29">
        <f>"-"</f>
        <v/>
      </c>
      <c r="L17" s="29">
        <f>"-"</f>
        <v/>
      </c>
      <c r="M17" s="29">
        <f>"-"</f>
        <v/>
      </c>
      <c r="N17" s="29">
        <f>SUM('P&amp;L'!C24:N24)/SUM(C14:N14)-1.25</f>
        <v/>
      </c>
      <c r="O17" s="29">
        <f>SUM('P&amp;L'!D24:O24)/SUM(D14:O14)-1.25</f>
        <v/>
      </c>
      <c r="P17" s="29">
        <f>SUM('P&amp;L'!E24:P24)/SUM(E14:P14)-1.25</f>
        <v/>
      </c>
      <c r="Q17" s="29">
        <f>SUM('P&amp;L'!F24:Q24)/SUM(F14:Q14)-1.25</f>
        <v/>
      </c>
      <c r="R17" s="29">
        <f>SUM('P&amp;L'!G24:R24)/SUM(G14:R14)-1.25</f>
        <v/>
      </c>
      <c r="S17" s="29">
        <f>SUM('P&amp;L'!H24:S24)/SUM(H14:S14)-1.25</f>
        <v/>
      </c>
      <c r="T17" s="29">
        <f>SUM('P&amp;L'!I24:T24)/SUM(I14:T14)-1.25</f>
        <v/>
      </c>
      <c r="U17" s="29">
        <f>SUM('P&amp;L'!J24:U24)/SUM(J14:U14)-1.25</f>
        <v/>
      </c>
      <c r="V17" s="29">
        <f>SUM('P&amp;L'!K24:V24)/SUM(K14:V14)-1.25</f>
        <v/>
      </c>
      <c r="W17" s="29">
        <f>SUM('P&amp;L'!L24:W24)/SUM(L14:W14)-1.25</f>
        <v/>
      </c>
      <c r="X17" s="29">
        <f>SUM('P&amp;L'!M24:X24)/SUM(M14:X14)-1.25</f>
        <v/>
      </c>
      <c r="Y17" s="29">
        <f>SUM('P&amp;L'!N24:Y24)/SUM(N14:Y14)-1.25</f>
        <v/>
      </c>
      <c r="Z17" s="29">
        <f>SUM('P&amp;L'!O24:Z24)/SUM(O14:Z14)-1.25</f>
        <v/>
      </c>
      <c r="AA17" s="29">
        <f>SUM('P&amp;L'!P24:AA24)/SUM(P14:AA14)-1.25</f>
        <v/>
      </c>
      <c r="AB17" s="29">
        <f>SUM('P&amp;L'!Q24:AB24)/SUM(Q14:AB14)-1.25</f>
        <v/>
      </c>
      <c r="AC17" s="29">
        <f>SUM('P&amp;L'!R24:AC24)/SUM(R14:AC14)-1.25</f>
        <v/>
      </c>
      <c r="AD17" s="29">
        <f>SUM('P&amp;L'!S24:AD24)/SUM(S14:AD14)-1.25</f>
        <v/>
      </c>
      <c r="AE17" s="29">
        <f>SUM('P&amp;L'!T24:AE24)/SUM(T14:AE14)-1.25</f>
        <v/>
      </c>
      <c r="AF17" s="29">
        <f>SUM('P&amp;L'!U24:AF24)/SUM(U14:AF14)-1.25</f>
        <v/>
      </c>
      <c r="AG17" s="29">
        <f>SUM('P&amp;L'!V24:AG24)/SUM(V14:AG14)-1.25</f>
        <v/>
      </c>
      <c r="AH17" s="29">
        <f>SUM('P&amp;L'!W24:AH24)/SUM(W14:AH14)-1.25</f>
        <v/>
      </c>
      <c r="AI17" s="29">
        <f>SUM('P&amp;L'!X24:AI24)/SUM(X14:AI14)-1.25</f>
        <v/>
      </c>
      <c r="AJ17" s="29">
        <f>SUM('P&amp;L'!Y24:AJ24)/SUM(Y14:AJ14)-1.25</f>
        <v/>
      </c>
      <c r="AK17" s="29">
        <f>SUM('P&amp;L'!Z24:AK24)/SUM(Z14:AK14)-1.25</f>
        <v/>
      </c>
      <c r="AL17" s="29">
        <f>SUM('P&amp;L'!AA24:AL24)/SUM(AA14:AL14)-1.25</f>
        <v/>
      </c>
    </row>
    <row r="18">
      <c r="A18" s="4" t="inlineStr">
        <is>
          <t>DSO (days: AR / NPR x days-in-month)</t>
        </is>
      </c>
      <c r="C18" s="18">
        <f>IF('P&amp;L'!C10=0,0,'Cash Flow &amp; Runway'!C10/'P&amp;L'!C10*'Control Tower'!$B$29)</f>
        <v/>
      </c>
      <c r="D18" s="18">
        <f>IF('P&amp;L'!D10=0,0,'Cash Flow &amp; Runway'!D10/'P&amp;L'!D10*'Control Tower'!$B$29)</f>
        <v/>
      </c>
      <c r="E18" s="18">
        <f>IF('P&amp;L'!E10=0,0,'Cash Flow &amp; Runway'!E10/'P&amp;L'!E10*'Control Tower'!$B$29)</f>
        <v/>
      </c>
      <c r="F18" s="18">
        <f>IF('P&amp;L'!F10=0,0,'Cash Flow &amp; Runway'!F10/'P&amp;L'!F10*'Control Tower'!$B$29)</f>
        <v/>
      </c>
      <c r="G18" s="18">
        <f>IF('P&amp;L'!G10=0,0,'Cash Flow &amp; Runway'!G10/'P&amp;L'!G10*'Control Tower'!$B$29)</f>
        <v/>
      </c>
      <c r="H18" s="18">
        <f>IF('P&amp;L'!H10=0,0,'Cash Flow &amp; Runway'!H10/'P&amp;L'!H10*'Control Tower'!$B$29)</f>
        <v/>
      </c>
      <c r="I18" s="18">
        <f>IF('P&amp;L'!I10=0,0,'Cash Flow &amp; Runway'!I10/'P&amp;L'!I10*'Control Tower'!$B$29)</f>
        <v/>
      </c>
      <c r="J18" s="18">
        <f>IF('P&amp;L'!J10=0,0,'Cash Flow &amp; Runway'!J10/'P&amp;L'!J10*'Control Tower'!$B$29)</f>
        <v/>
      </c>
      <c r="K18" s="18">
        <f>IF('P&amp;L'!K10=0,0,'Cash Flow &amp; Runway'!K10/'P&amp;L'!K10*'Control Tower'!$B$29)</f>
        <v/>
      </c>
      <c r="L18" s="18">
        <f>IF('P&amp;L'!L10=0,0,'Cash Flow &amp; Runway'!L10/'P&amp;L'!L10*'Control Tower'!$B$29)</f>
        <v/>
      </c>
      <c r="M18" s="18">
        <f>IF('P&amp;L'!M10=0,0,'Cash Flow &amp; Runway'!M10/'P&amp;L'!M10*'Control Tower'!$B$29)</f>
        <v/>
      </c>
      <c r="N18" s="18">
        <f>IF('P&amp;L'!N10=0,0,'Cash Flow &amp; Runway'!N10/'P&amp;L'!N10*'Control Tower'!$B$29)</f>
        <v/>
      </c>
      <c r="O18" s="18">
        <f>IF('P&amp;L'!O10=0,0,'Cash Flow &amp; Runway'!O10/'P&amp;L'!O10*'Control Tower'!$B$29)</f>
        <v/>
      </c>
      <c r="P18" s="18">
        <f>IF('P&amp;L'!P10=0,0,'Cash Flow &amp; Runway'!P10/'P&amp;L'!P10*'Control Tower'!$B$29)</f>
        <v/>
      </c>
      <c r="Q18" s="18">
        <f>IF('P&amp;L'!Q10=0,0,'Cash Flow &amp; Runway'!Q10/'P&amp;L'!Q10*'Control Tower'!$B$29)</f>
        <v/>
      </c>
      <c r="R18" s="18">
        <f>IF('P&amp;L'!R10=0,0,'Cash Flow &amp; Runway'!R10/'P&amp;L'!R10*'Control Tower'!$B$29)</f>
        <v/>
      </c>
      <c r="S18" s="18">
        <f>IF('P&amp;L'!S10=0,0,'Cash Flow &amp; Runway'!S10/'P&amp;L'!S10*'Control Tower'!$B$29)</f>
        <v/>
      </c>
      <c r="T18" s="18">
        <f>IF('P&amp;L'!T10=0,0,'Cash Flow &amp; Runway'!T10/'P&amp;L'!T10*'Control Tower'!$B$29)</f>
        <v/>
      </c>
      <c r="U18" s="18">
        <f>IF('P&amp;L'!U10=0,0,'Cash Flow &amp; Runway'!U10/'P&amp;L'!U10*'Control Tower'!$B$29)</f>
        <v/>
      </c>
      <c r="V18" s="18">
        <f>IF('P&amp;L'!V10=0,0,'Cash Flow &amp; Runway'!V10/'P&amp;L'!V10*'Control Tower'!$B$29)</f>
        <v/>
      </c>
      <c r="W18" s="18">
        <f>IF('P&amp;L'!W10=0,0,'Cash Flow &amp; Runway'!W10/'P&amp;L'!W10*'Control Tower'!$B$29)</f>
        <v/>
      </c>
      <c r="X18" s="18">
        <f>IF('P&amp;L'!X10=0,0,'Cash Flow &amp; Runway'!X10/'P&amp;L'!X10*'Control Tower'!$B$29)</f>
        <v/>
      </c>
      <c r="Y18" s="18">
        <f>IF('P&amp;L'!Y10=0,0,'Cash Flow &amp; Runway'!Y10/'P&amp;L'!Y10*'Control Tower'!$B$29)</f>
        <v/>
      </c>
      <c r="Z18" s="18">
        <f>IF('P&amp;L'!Z10=0,0,'Cash Flow &amp; Runway'!Z10/'P&amp;L'!Z10*'Control Tower'!$B$29)</f>
        <v/>
      </c>
      <c r="AA18" s="18">
        <f>IF('P&amp;L'!AA10=0,0,'Cash Flow &amp; Runway'!AA10/'P&amp;L'!AA10*'Control Tower'!$B$29)</f>
        <v/>
      </c>
      <c r="AB18" s="18">
        <f>IF('P&amp;L'!AB10=0,0,'Cash Flow &amp; Runway'!AB10/'P&amp;L'!AB10*'Control Tower'!$B$29)</f>
        <v/>
      </c>
      <c r="AC18" s="18">
        <f>IF('P&amp;L'!AC10=0,0,'Cash Flow &amp; Runway'!AC10/'P&amp;L'!AC10*'Control Tower'!$B$29)</f>
        <v/>
      </c>
      <c r="AD18" s="18">
        <f>IF('P&amp;L'!AD10=0,0,'Cash Flow &amp; Runway'!AD10/'P&amp;L'!AD10*'Control Tower'!$B$29)</f>
        <v/>
      </c>
      <c r="AE18" s="18">
        <f>IF('P&amp;L'!AE10=0,0,'Cash Flow &amp; Runway'!AE10/'P&amp;L'!AE10*'Control Tower'!$B$29)</f>
        <v/>
      </c>
      <c r="AF18" s="18">
        <f>IF('P&amp;L'!AF10=0,0,'Cash Flow &amp; Runway'!AF10/'P&amp;L'!AF10*'Control Tower'!$B$29)</f>
        <v/>
      </c>
      <c r="AG18" s="18">
        <f>IF('P&amp;L'!AG10=0,0,'Cash Flow &amp; Runway'!AG10/'P&amp;L'!AG10*'Control Tower'!$B$29)</f>
        <v/>
      </c>
      <c r="AH18" s="18">
        <f>IF('P&amp;L'!AH10=0,0,'Cash Flow &amp; Runway'!AH10/'P&amp;L'!AH10*'Control Tower'!$B$29)</f>
        <v/>
      </c>
      <c r="AI18" s="18">
        <f>IF('P&amp;L'!AI10=0,0,'Cash Flow &amp; Runway'!AI10/'P&amp;L'!AI10*'Control Tower'!$B$29)</f>
        <v/>
      </c>
      <c r="AJ18" s="18">
        <f>IF('P&amp;L'!AJ10=0,0,'Cash Flow &amp; Runway'!AJ10/'P&amp;L'!AJ10*'Control Tower'!$B$29)</f>
        <v/>
      </c>
      <c r="AK18" s="18">
        <f>IF('P&amp;L'!AK10=0,0,'Cash Flow &amp; Runway'!AK10/'P&amp;L'!AK10*'Control Tower'!$B$29)</f>
        <v/>
      </c>
      <c r="AL18" s="18">
        <f>IF('P&amp;L'!AL10=0,0,'Cash Flow &amp; Runway'!AL10/'P&amp;L'!AL10*'Control Tower'!$B$29)</f>
        <v/>
      </c>
    </row>
    <row r="19">
      <c r="A19" s="4" t="inlineStr">
        <is>
          <t>Ending cash</t>
        </is>
      </c>
      <c r="C19" s="22">
        <f>'Cash Flow &amp; Runway'!C43</f>
        <v/>
      </c>
      <c r="D19" s="22">
        <f>'Cash Flow &amp; Runway'!D43</f>
        <v/>
      </c>
      <c r="E19" s="22">
        <f>'Cash Flow &amp; Runway'!E43</f>
        <v/>
      </c>
      <c r="F19" s="22">
        <f>'Cash Flow &amp; Runway'!F43</f>
        <v/>
      </c>
      <c r="G19" s="22">
        <f>'Cash Flow &amp; Runway'!G43</f>
        <v/>
      </c>
      <c r="H19" s="22">
        <f>'Cash Flow &amp; Runway'!H43</f>
        <v/>
      </c>
      <c r="I19" s="22">
        <f>'Cash Flow &amp; Runway'!I43</f>
        <v/>
      </c>
      <c r="J19" s="22">
        <f>'Cash Flow &amp; Runway'!J43</f>
        <v/>
      </c>
      <c r="K19" s="22">
        <f>'Cash Flow &amp; Runway'!K43</f>
        <v/>
      </c>
      <c r="L19" s="22">
        <f>'Cash Flow &amp; Runway'!L43</f>
        <v/>
      </c>
      <c r="M19" s="22">
        <f>'Cash Flow &amp; Runway'!M43</f>
        <v/>
      </c>
      <c r="N19" s="22">
        <f>'Cash Flow &amp; Runway'!N43</f>
        <v/>
      </c>
      <c r="O19" s="22">
        <f>'Cash Flow &amp; Runway'!O43</f>
        <v/>
      </c>
      <c r="P19" s="22">
        <f>'Cash Flow &amp; Runway'!P43</f>
        <v/>
      </c>
      <c r="Q19" s="22">
        <f>'Cash Flow &amp; Runway'!Q43</f>
        <v/>
      </c>
      <c r="R19" s="22">
        <f>'Cash Flow &amp; Runway'!R43</f>
        <v/>
      </c>
      <c r="S19" s="22">
        <f>'Cash Flow &amp; Runway'!S43</f>
        <v/>
      </c>
      <c r="T19" s="22">
        <f>'Cash Flow &amp; Runway'!T43</f>
        <v/>
      </c>
      <c r="U19" s="22">
        <f>'Cash Flow &amp; Runway'!U43</f>
        <v/>
      </c>
      <c r="V19" s="22">
        <f>'Cash Flow &amp; Runway'!V43</f>
        <v/>
      </c>
      <c r="W19" s="22">
        <f>'Cash Flow &amp; Runway'!W43</f>
        <v/>
      </c>
      <c r="X19" s="22">
        <f>'Cash Flow &amp; Runway'!X43</f>
        <v/>
      </c>
      <c r="Y19" s="22">
        <f>'Cash Flow &amp; Runway'!Y43</f>
        <v/>
      </c>
      <c r="Z19" s="22">
        <f>'Cash Flow &amp; Runway'!Z43</f>
        <v/>
      </c>
      <c r="AA19" s="22">
        <f>'Cash Flow &amp; Runway'!AA43</f>
        <v/>
      </c>
      <c r="AB19" s="22">
        <f>'Cash Flow &amp; Runway'!AB43</f>
        <v/>
      </c>
      <c r="AC19" s="22">
        <f>'Cash Flow &amp; Runway'!AC43</f>
        <v/>
      </c>
      <c r="AD19" s="22">
        <f>'Cash Flow &amp; Runway'!AD43</f>
        <v/>
      </c>
      <c r="AE19" s="22">
        <f>'Cash Flow &amp; Runway'!AE43</f>
        <v/>
      </c>
      <c r="AF19" s="22">
        <f>'Cash Flow &amp; Runway'!AF43</f>
        <v/>
      </c>
      <c r="AG19" s="22">
        <f>'Cash Flow &amp; Runway'!AG43</f>
        <v/>
      </c>
      <c r="AH19" s="22">
        <f>'Cash Flow &amp; Runway'!AH43</f>
        <v/>
      </c>
      <c r="AI19" s="22">
        <f>'Cash Flow &amp; Runway'!AI43</f>
        <v/>
      </c>
      <c r="AJ19" s="22">
        <f>'Cash Flow &amp; Runway'!AJ43</f>
        <v/>
      </c>
      <c r="AK19" s="22">
        <f>'Cash Flow &amp; Runway'!AK43</f>
        <v/>
      </c>
      <c r="AL19" s="22">
        <f>'Cash Flow &amp; Runway'!AL43</f>
        <v/>
      </c>
    </row>
    <row r="20">
      <c r="A20" s="10" t="inlineStr">
        <is>
          <t>Additional funding requirement (this month)</t>
        </is>
      </c>
      <c r="C20" s="23">
        <f>'Cash Flow &amp; Runway'!C44</f>
        <v/>
      </c>
      <c r="D20" s="23">
        <f>'Cash Flow &amp; Runway'!D44</f>
        <v/>
      </c>
      <c r="E20" s="23">
        <f>'Cash Flow &amp; Runway'!E44</f>
        <v/>
      </c>
      <c r="F20" s="23">
        <f>'Cash Flow &amp; Runway'!F44</f>
        <v/>
      </c>
      <c r="G20" s="23">
        <f>'Cash Flow &amp; Runway'!G44</f>
        <v/>
      </c>
      <c r="H20" s="23">
        <f>'Cash Flow &amp; Runway'!H44</f>
        <v/>
      </c>
      <c r="I20" s="23">
        <f>'Cash Flow &amp; Runway'!I44</f>
        <v/>
      </c>
      <c r="J20" s="23">
        <f>'Cash Flow &amp; Runway'!J44</f>
        <v/>
      </c>
      <c r="K20" s="23">
        <f>'Cash Flow &amp; Runway'!K44</f>
        <v/>
      </c>
      <c r="L20" s="23">
        <f>'Cash Flow &amp; Runway'!L44</f>
        <v/>
      </c>
      <c r="M20" s="23">
        <f>'Cash Flow &amp; Runway'!M44</f>
        <v/>
      </c>
      <c r="N20" s="23">
        <f>'Cash Flow &amp; Runway'!N44</f>
        <v/>
      </c>
      <c r="O20" s="23">
        <f>'Cash Flow &amp; Runway'!O44</f>
        <v/>
      </c>
      <c r="P20" s="23">
        <f>'Cash Flow &amp; Runway'!P44</f>
        <v/>
      </c>
      <c r="Q20" s="23">
        <f>'Cash Flow &amp; Runway'!Q44</f>
        <v/>
      </c>
      <c r="R20" s="23">
        <f>'Cash Flow &amp; Runway'!R44</f>
        <v/>
      </c>
      <c r="S20" s="23">
        <f>'Cash Flow &amp; Runway'!S44</f>
        <v/>
      </c>
      <c r="T20" s="23">
        <f>'Cash Flow &amp; Runway'!T44</f>
        <v/>
      </c>
      <c r="U20" s="23">
        <f>'Cash Flow &amp; Runway'!U44</f>
        <v/>
      </c>
      <c r="V20" s="23">
        <f>'Cash Flow &amp; Runway'!V44</f>
        <v/>
      </c>
      <c r="W20" s="23">
        <f>'Cash Flow &amp; Runway'!W44</f>
        <v/>
      </c>
      <c r="X20" s="23">
        <f>'Cash Flow &amp; Runway'!X44</f>
        <v/>
      </c>
      <c r="Y20" s="23">
        <f>'Cash Flow &amp; Runway'!Y44</f>
        <v/>
      </c>
      <c r="Z20" s="23">
        <f>'Cash Flow &amp; Runway'!Z44</f>
        <v/>
      </c>
      <c r="AA20" s="23">
        <f>'Cash Flow &amp; Runway'!AA44</f>
        <v/>
      </c>
      <c r="AB20" s="23">
        <f>'Cash Flow &amp; Runway'!AB44</f>
        <v/>
      </c>
      <c r="AC20" s="23">
        <f>'Cash Flow &amp; Runway'!AC44</f>
        <v/>
      </c>
      <c r="AD20" s="23">
        <f>'Cash Flow &amp; Runway'!AD44</f>
        <v/>
      </c>
      <c r="AE20" s="23">
        <f>'Cash Flow &amp; Runway'!AE44</f>
        <v/>
      </c>
      <c r="AF20" s="23">
        <f>'Cash Flow &amp; Runway'!AF44</f>
        <v/>
      </c>
      <c r="AG20" s="23">
        <f>'Cash Flow &amp; Runway'!AG44</f>
        <v/>
      </c>
      <c r="AH20" s="23">
        <f>'Cash Flow &amp; Runway'!AH44</f>
        <v/>
      </c>
      <c r="AI20" s="23">
        <f>'Cash Flow &amp; Runway'!AI44</f>
        <v/>
      </c>
      <c r="AJ20" s="23">
        <f>'Cash Flow &amp; Runway'!AJ44</f>
        <v/>
      </c>
      <c r="AK20" s="23">
        <f>'Cash Flow &amp; Runway'!AK44</f>
        <v/>
      </c>
      <c r="AL20" s="23">
        <f>'Cash Flow &amp; Runway'!AL44</f>
        <v/>
      </c>
    </row>
    <row r="21">
      <c r="A21" s="4" t="inlineStr">
        <is>
          <t>Deferred owner comp balance</t>
        </is>
      </c>
      <c r="C21" s="22">
        <f>'Staffing'!C44</f>
        <v/>
      </c>
      <c r="D21" s="22">
        <f>'Staffing'!D44</f>
        <v/>
      </c>
      <c r="E21" s="22">
        <f>'Staffing'!E44</f>
        <v/>
      </c>
      <c r="F21" s="22">
        <f>'Staffing'!F44</f>
        <v/>
      </c>
      <c r="G21" s="22">
        <f>'Staffing'!G44</f>
        <v/>
      </c>
      <c r="H21" s="22">
        <f>'Staffing'!H44</f>
        <v/>
      </c>
      <c r="I21" s="22">
        <f>'Staffing'!I44</f>
        <v/>
      </c>
      <c r="J21" s="22">
        <f>'Staffing'!J44</f>
        <v/>
      </c>
      <c r="K21" s="22">
        <f>'Staffing'!K44</f>
        <v/>
      </c>
      <c r="L21" s="22">
        <f>'Staffing'!L44</f>
        <v/>
      </c>
      <c r="M21" s="22">
        <f>'Staffing'!M44</f>
        <v/>
      </c>
      <c r="N21" s="22">
        <f>'Staffing'!N44</f>
        <v/>
      </c>
      <c r="O21" s="22">
        <f>'Staffing'!O44</f>
        <v/>
      </c>
      <c r="P21" s="22">
        <f>'Staffing'!P44</f>
        <v/>
      </c>
      <c r="Q21" s="22">
        <f>'Staffing'!Q44</f>
        <v/>
      </c>
      <c r="R21" s="22">
        <f>'Staffing'!R44</f>
        <v/>
      </c>
      <c r="S21" s="22">
        <f>'Staffing'!S44</f>
        <v/>
      </c>
      <c r="T21" s="22">
        <f>'Staffing'!T44</f>
        <v/>
      </c>
      <c r="U21" s="22">
        <f>'Staffing'!U44</f>
        <v/>
      </c>
      <c r="V21" s="22">
        <f>'Staffing'!V44</f>
        <v/>
      </c>
      <c r="W21" s="22">
        <f>'Staffing'!W44</f>
        <v/>
      </c>
      <c r="X21" s="22">
        <f>'Staffing'!X44</f>
        <v/>
      </c>
      <c r="Y21" s="22">
        <f>'Staffing'!Y44</f>
        <v/>
      </c>
      <c r="Z21" s="22">
        <f>'Staffing'!Z44</f>
        <v/>
      </c>
      <c r="AA21" s="22">
        <f>'Staffing'!AA44</f>
        <v/>
      </c>
      <c r="AB21" s="22">
        <f>'Staffing'!AB44</f>
        <v/>
      </c>
      <c r="AC21" s="22">
        <f>'Staffing'!AC44</f>
        <v/>
      </c>
      <c r="AD21" s="22">
        <f>'Staffing'!AD44</f>
        <v/>
      </c>
      <c r="AE21" s="22">
        <f>'Staffing'!AE44</f>
        <v/>
      </c>
      <c r="AF21" s="22">
        <f>'Staffing'!AF44</f>
        <v/>
      </c>
      <c r="AG21" s="22">
        <f>'Staffing'!AG44</f>
        <v/>
      </c>
      <c r="AH21" s="22">
        <f>'Staffing'!AH44</f>
        <v/>
      </c>
      <c r="AI21" s="22">
        <f>'Staffing'!AI44</f>
        <v/>
      </c>
      <c r="AJ21" s="22">
        <f>'Staffing'!AJ44</f>
        <v/>
      </c>
      <c r="AK21" s="22">
        <f>'Staffing'!AK44</f>
        <v/>
      </c>
      <c r="AL21" s="22">
        <f>'Staffing'!AL44</f>
        <v/>
      </c>
    </row>
    <row r="22">
      <c r="A22" s="4" t="inlineStr">
        <is>
          <t>Days cash on hand (vs monthly opex)</t>
        </is>
      </c>
      <c r="C22" s="18">
        <f>IF(('Staffing'!C39+'Operating Budget'!C12+'Operating Budget'!C18+'Operating Budget'!C31)=0,0,'Cash Flow &amp; Runway'!C43/('Staffing'!C39+'Operating Budget'!C12+'Operating Budget'!C18+'Operating Budget'!C31)*'Control Tower'!$B$29)</f>
        <v/>
      </c>
      <c r="D22" s="18">
        <f>IF(('Staffing'!D39+'Operating Budget'!D12+'Operating Budget'!D18+'Operating Budget'!D31)=0,0,'Cash Flow &amp; Runway'!D43/('Staffing'!D39+'Operating Budget'!D12+'Operating Budget'!D18+'Operating Budget'!D31)*'Control Tower'!$B$29)</f>
        <v/>
      </c>
      <c r="E22" s="18">
        <f>IF(('Staffing'!E39+'Operating Budget'!E12+'Operating Budget'!E18+'Operating Budget'!E31)=0,0,'Cash Flow &amp; Runway'!E43/('Staffing'!E39+'Operating Budget'!E12+'Operating Budget'!E18+'Operating Budget'!E31)*'Control Tower'!$B$29)</f>
        <v/>
      </c>
      <c r="F22" s="18">
        <f>IF(('Staffing'!F39+'Operating Budget'!F12+'Operating Budget'!F18+'Operating Budget'!F31)=0,0,'Cash Flow &amp; Runway'!F43/('Staffing'!F39+'Operating Budget'!F12+'Operating Budget'!F18+'Operating Budget'!F31)*'Control Tower'!$B$29)</f>
        <v/>
      </c>
      <c r="G22" s="18">
        <f>IF(('Staffing'!G39+'Operating Budget'!G12+'Operating Budget'!G18+'Operating Budget'!G31)=0,0,'Cash Flow &amp; Runway'!G43/('Staffing'!G39+'Operating Budget'!G12+'Operating Budget'!G18+'Operating Budget'!G31)*'Control Tower'!$B$29)</f>
        <v/>
      </c>
      <c r="H22" s="18">
        <f>IF(('Staffing'!H39+'Operating Budget'!H12+'Operating Budget'!H18+'Operating Budget'!H31)=0,0,'Cash Flow &amp; Runway'!H43/('Staffing'!H39+'Operating Budget'!H12+'Operating Budget'!H18+'Operating Budget'!H31)*'Control Tower'!$B$29)</f>
        <v/>
      </c>
      <c r="I22" s="18">
        <f>IF(('Staffing'!I39+'Operating Budget'!I12+'Operating Budget'!I18+'Operating Budget'!I31)=0,0,'Cash Flow &amp; Runway'!I43/('Staffing'!I39+'Operating Budget'!I12+'Operating Budget'!I18+'Operating Budget'!I31)*'Control Tower'!$B$29)</f>
        <v/>
      </c>
      <c r="J22" s="18">
        <f>IF(('Staffing'!J39+'Operating Budget'!J12+'Operating Budget'!J18+'Operating Budget'!J31)=0,0,'Cash Flow &amp; Runway'!J43/('Staffing'!J39+'Operating Budget'!J12+'Operating Budget'!J18+'Operating Budget'!J31)*'Control Tower'!$B$29)</f>
        <v/>
      </c>
      <c r="K22" s="18">
        <f>IF(('Staffing'!K39+'Operating Budget'!K12+'Operating Budget'!K18+'Operating Budget'!K31)=0,0,'Cash Flow &amp; Runway'!K43/('Staffing'!K39+'Operating Budget'!K12+'Operating Budget'!K18+'Operating Budget'!K31)*'Control Tower'!$B$29)</f>
        <v/>
      </c>
      <c r="L22" s="18">
        <f>IF(('Staffing'!L39+'Operating Budget'!L12+'Operating Budget'!L18+'Operating Budget'!L31)=0,0,'Cash Flow &amp; Runway'!L43/('Staffing'!L39+'Operating Budget'!L12+'Operating Budget'!L18+'Operating Budget'!L31)*'Control Tower'!$B$29)</f>
        <v/>
      </c>
      <c r="M22" s="18">
        <f>IF(('Staffing'!M39+'Operating Budget'!M12+'Operating Budget'!M18+'Operating Budget'!M31)=0,0,'Cash Flow &amp; Runway'!M43/('Staffing'!M39+'Operating Budget'!M12+'Operating Budget'!M18+'Operating Budget'!M31)*'Control Tower'!$B$29)</f>
        <v/>
      </c>
      <c r="N22" s="18">
        <f>IF(('Staffing'!N39+'Operating Budget'!N12+'Operating Budget'!N18+'Operating Budget'!N31)=0,0,'Cash Flow &amp; Runway'!N43/('Staffing'!N39+'Operating Budget'!N12+'Operating Budget'!N18+'Operating Budget'!N31)*'Control Tower'!$B$29)</f>
        <v/>
      </c>
      <c r="O22" s="18">
        <f>IF(('Staffing'!O39+'Operating Budget'!O12+'Operating Budget'!O18+'Operating Budget'!O31)=0,0,'Cash Flow &amp; Runway'!O43/('Staffing'!O39+'Operating Budget'!O12+'Operating Budget'!O18+'Operating Budget'!O31)*'Control Tower'!$B$29)</f>
        <v/>
      </c>
      <c r="P22" s="18">
        <f>IF(('Staffing'!P39+'Operating Budget'!P12+'Operating Budget'!P18+'Operating Budget'!P31)=0,0,'Cash Flow &amp; Runway'!P43/('Staffing'!P39+'Operating Budget'!P12+'Operating Budget'!P18+'Operating Budget'!P31)*'Control Tower'!$B$29)</f>
        <v/>
      </c>
      <c r="Q22" s="18">
        <f>IF(('Staffing'!Q39+'Operating Budget'!Q12+'Operating Budget'!Q18+'Operating Budget'!Q31)=0,0,'Cash Flow &amp; Runway'!Q43/('Staffing'!Q39+'Operating Budget'!Q12+'Operating Budget'!Q18+'Operating Budget'!Q31)*'Control Tower'!$B$29)</f>
        <v/>
      </c>
      <c r="R22" s="18">
        <f>IF(('Staffing'!R39+'Operating Budget'!R12+'Operating Budget'!R18+'Operating Budget'!R31)=0,0,'Cash Flow &amp; Runway'!R43/('Staffing'!R39+'Operating Budget'!R12+'Operating Budget'!R18+'Operating Budget'!R31)*'Control Tower'!$B$29)</f>
        <v/>
      </c>
      <c r="S22" s="18">
        <f>IF(('Staffing'!S39+'Operating Budget'!S12+'Operating Budget'!S18+'Operating Budget'!S31)=0,0,'Cash Flow &amp; Runway'!S43/('Staffing'!S39+'Operating Budget'!S12+'Operating Budget'!S18+'Operating Budget'!S31)*'Control Tower'!$B$29)</f>
        <v/>
      </c>
      <c r="T22" s="18">
        <f>IF(('Staffing'!T39+'Operating Budget'!T12+'Operating Budget'!T18+'Operating Budget'!T31)=0,0,'Cash Flow &amp; Runway'!T43/('Staffing'!T39+'Operating Budget'!T12+'Operating Budget'!T18+'Operating Budget'!T31)*'Control Tower'!$B$29)</f>
        <v/>
      </c>
      <c r="U22" s="18">
        <f>IF(('Staffing'!U39+'Operating Budget'!U12+'Operating Budget'!U18+'Operating Budget'!U31)=0,0,'Cash Flow &amp; Runway'!U43/('Staffing'!U39+'Operating Budget'!U12+'Operating Budget'!U18+'Operating Budget'!U31)*'Control Tower'!$B$29)</f>
        <v/>
      </c>
      <c r="V22" s="18">
        <f>IF(('Staffing'!V39+'Operating Budget'!V12+'Operating Budget'!V18+'Operating Budget'!V31)=0,0,'Cash Flow &amp; Runway'!V43/('Staffing'!V39+'Operating Budget'!V12+'Operating Budget'!V18+'Operating Budget'!V31)*'Control Tower'!$B$29)</f>
        <v/>
      </c>
      <c r="W22" s="18">
        <f>IF(('Staffing'!W39+'Operating Budget'!W12+'Operating Budget'!W18+'Operating Budget'!W31)=0,0,'Cash Flow &amp; Runway'!W43/('Staffing'!W39+'Operating Budget'!W12+'Operating Budget'!W18+'Operating Budget'!W31)*'Control Tower'!$B$29)</f>
        <v/>
      </c>
      <c r="X22" s="18">
        <f>IF(('Staffing'!X39+'Operating Budget'!X12+'Operating Budget'!X18+'Operating Budget'!X31)=0,0,'Cash Flow &amp; Runway'!X43/('Staffing'!X39+'Operating Budget'!X12+'Operating Budget'!X18+'Operating Budget'!X31)*'Control Tower'!$B$29)</f>
        <v/>
      </c>
      <c r="Y22" s="18">
        <f>IF(('Staffing'!Y39+'Operating Budget'!Y12+'Operating Budget'!Y18+'Operating Budget'!Y31)=0,0,'Cash Flow &amp; Runway'!Y43/('Staffing'!Y39+'Operating Budget'!Y12+'Operating Budget'!Y18+'Operating Budget'!Y31)*'Control Tower'!$B$29)</f>
        <v/>
      </c>
      <c r="Z22" s="18">
        <f>IF(('Staffing'!Z39+'Operating Budget'!Z12+'Operating Budget'!Z18+'Operating Budget'!Z31)=0,0,'Cash Flow &amp; Runway'!Z43/('Staffing'!Z39+'Operating Budget'!Z12+'Operating Budget'!Z18+'Operating Budget'!Z31)*'Control Tower'!$B$29)</f>
        <v/>
      </c>
      <c r="AA22" s="18">
        <f>IF(('Staffing'!AA39+'Operating Budget'!AA12+'Operating Budget'!AA18+'Operating Budget'!AA31)=0,0,'Cash Flow &amp; Runway'!AA43/('Staffing'!AA39+'Operating Budget'!AA12+'Operating Budget'!AA18+'Operating Budget'!AA31)*'Control Tower'!$B$29)</f>
        <v/>
      </c>
      <c r="AB22" s="18">
        <f>IF(('Staffing'!AB39+'Operating Budget'!AB12+'Operating Budget'!AB18+'Operating Budget'!AB31)=0,0,'Cash Flow &amp; Runway'!AB43/('Staffing'!AB39+'Operating Budget'!AB12+'Operating Budget'!AB18+'Operating Budget'!AB31)*'Control Tower'!$B$29)</f>
        <v/>
      </c>
      <c r="AC22" s="18">
        <f>IF(('Staffing'!AC39+'Operating Budget'!AC12+'Operating Budget'!AC18+'Operating Budget'!AC31)=0,0,'Cash Flow &amp; Runway'!AC43/('Staffing'!AC39+'Operating Budget'!AC12+'Operating Budget'!AC18+'Operating Budget'!AC31)*'Control Tower'!$B$29)</f>
        <v/>
      </c>
      <c r="AD22" s="18">
        <f>IF(('Staffing'!AD39+'Operating Budget'!AD12+'Operating Budget'!AD18+'Operating Budget'!AD31)=0,0,'Cash Flow &amp; Runway'!AD43/('Staffing'!AD39+'Operating Budget'!AD12+'Operating Budget'!AD18+'Operating Budget'!AD31)*'Control Tower'!$B$29)</f>
        <v/>
      </c>
      <c r="AE22" s="18">
        <f>IF(('Staffing'!AE39+'Operating Budget'!AE12+'Operating Budget'!AE18+'Operating Budget'!AE31)=0,0,'Cash Flow &amp; Runway'!AE43/('Staffing'!AE39+'Operating Budget'!AE12+'Operating Budget'!AE18+'Operating Budget'!AE31)*'Control Tower'!$B$29)</f>
        <v/>
      </c>
      <c r="AF22" s="18">
        <f>IF(('Staffing'!AF39+'Operating Budget'!AF12+'Operating Budget'!AF18+'Operating Budget'!AF31)=0,0,'Cash Flow &amp; Runway'!AF43/('Staffing'!AF39+'Operating Budget'!AF12+'Operating Budget'!AF18+'Operating Budget'!AF31)*'Control Tower'!$B$29)</f>
        <v/>
      </c>
      <c r="AG22" s="18">
        <f>IF(('Staffing'!AG39+'Operating Budget'!AG12+'Operating Budget'!AG18+'Operating Budget'!AG31)=0,0,'Cash Flow &amp; Runway'!AG43/('Staffing'!AG39+'Operating Budget'!AG12+'Operating Budget'!AG18+'Operating Budget'!AG31)*'Control Tower'!$B$29)</f>
        <v/>
      </c>
      <c r="AH22" s="18">
        <f>IF(('Staffing'!AH39+'Operating Budget'!AH12+'Operating Budget'!AH18+'Operating Budget'!AH31)=0,0,'Cash Flow &amp; Runway'!AH43/('Staffing'!AH39+'Operating Budget'!AH12+'Operating Budget'!AH18+'Operating Budget'!AH31)*'Control Tower'!$B$29)</f>
        <v/>
      </c>
      <c r="AI22" s="18">
        <f>IF(('Staffing'!AI39+'Operating Budget'!AI12+'Operating Budget'!AI18+'Operating Budget'!AI31)=0,0,'Cash Flow &amp; Runway'!AI43/('Staffing'!AI39+'Operating Budget'!AI12+'Operating Budget'!AI18+'Operating Budget'!AI31)*'Control Tower'!$B$29)</f>
        <v/>
      </c>
      <c r="AJ22" s="18">
        <f>IF(('Staffing'!AJ39+'Operating Budget'!AJ12+'Operating Budget'!AJ18+'Operating Budget'!AJ31)=0,0,'Cash Flow &amp; Runway'!AJ43/('Staffing'!AJ39+'Operating Budget'!AJ12+'Operating Budget'!AJ18+'Operating Budget'!AJ31)*'Control Tower'!$B$29)</f>
        <v/>
      </c>
      <c r="AK22" s="18">
        <f>IF(('Staffing'!AK39+'Operating Budget'!AK12+'Operating Budget'!AK18+'Operating Budget'!AK31)=0,0,'Cash Flow &amp; Runway'!AK43/('Staffing'!AK39+'Operating Budget'!AK12+'Operating Budget'!AK18+'Operating Budget'!AK31)*'Control Tower'!$B$29)</f>
        <v/>
      </c>
      <c r="AL22" s="18">
        <f>IF(('Staffing'!AL39+'Operating Budget'!AL12+'Operating Budget'!AL18+'Operating Budget'!AL31)=0,0,'Cash Flow &amp; Runway'!AL43/('Staffing'!AL39+'Operating Budget'!AL12+'Operating Budget'!AL18+'Operating Budget'!AL31)*'Control Tower'!$B$29)</f>
        <v/>
      </c>
    </row>
    <row r="23">
      <c r="A23" s="4" t="inlineStr">
        <is>
          <t>Medicare payments per beneficiary (TTM est.)</t>
        </is>
      </c>
      <c r="C23" s="22">
        <f>"-"</f>
        <v/>
      </c>
      <c r="D23" s="22">
        <f>"-"</f>
        <v/>
      </c>
      <c r="E23" s="22">
        <f>"-"</f>
        <v/>
      </c>
      <c r="F23" s="22">
        <f>"-"</f>
        <v/>
      </c>
      <c r="G23" s="22">
        <f>"-"</f>
        <v/>
      </c>
      <c r="H23" s="22">
        <f>"-"</f>
        <v/>
      </c>
      <c r="I23" s="22">
        <f>"-"</f>
        <v/>
      </c>
      <c r="J23" s="22">
        <f>"-"</f>
        <v/>
      </c>
      <c r="K23" s="22">
        <f>"-"</f>
        <v/>
      </c>
      <c r="L23" s="22">
        <f>"-"</f>
        <v/>
      </c>
      <c r="M23" s="22">
        <f>"-"</f>
        <v/>
      </c>
      <c r="N23" s="22">
        <f>SUM('P&amp;L'!C10:N10)*'Control Tower'!$B$45/MAX(1,SUM('Census Waterfall'!C7:N7))</f>
        <v/>
      </c>
      <c r="O23" s="22">
        <f>SUM('P&amp;L'!D10:O10)*'Control Tower'!$B$45/MAX(1,SUM('Census Waterfall'!D7:O7))</f>
        <v/>
      </c>
      <c r="P23" s="22">
        <f>SUM('P&amp;L'!E10:P10)*'Control Tower'!$B$45/MAX(1,SUM('Census Waterfall'!E7:P7))</f>
        <v/>
      </c>
      <c r="Q23" s="22">
        <f>SUM('P&amp;L'!F10:Q10)*'Control Tower'!$B$45/MAX(1,SUM('Census Waterfall'!F7:Q7))</f>
        <v/>
      </c>
      <c r="R23" s="22">
        <f>SUM('P&amp;L'!G10:R10)*'Control Tower'!$B$45/MAX(1,SUM('Census Waterfall'!G7:R7))</f>
        <v/>
      </c>
      <c r="S23" s="22">
        <f>SUM('P&amp;L'!H10:S10)*'Control Tower'!$B$45/MAX(1,SUM('Census Waterfall'!H7:S7))</f>
        <v/>
      </c>
      <c r="T23" s="22">
        <f>SUM('P&amp;L'!I10:T10)*'Control Tower'!$B$45/MAX(1,SUM('Census Waterfall'!I7:T7))</f>
        <v/>
      </c>
      <c r="U23" s="22">
        <f>SUM('P&amp;L'!J10:U10)*'Control Tower'!$B$45/MAX(1,SUM('Census Waterfall'!J7:U7))</f>
        <v/>
      </c>
      <c r="V23" s="22">
        <f>SUM('P&amp;L'!K10:V10)*'Control Tower'!$B$45/MAX(1,SUM('Census Waterfall'!K7:V7))</f>
        <v/>
      </c>
      <c r="W23" s="22">
        <f>SUM('P&amp;L'!L10:W10)*'Control Tower'!$B$45/MAX(1,SUM('Census Waterfall'!L7:W7))</f>
        <v/>
      </c>
      <c r="X23" s="22">
        <f>SUM('P&amp;L'!M10:X10)*'Control Tower'!$B$45/MAX(1,SUM('Census Waterfall'!M7:X7))</f>
        <v/>
      </c>
      <c r="Y23" s="22">
        <f>SUM('P&amp;L'!N10:Y10)*'Control Tower'!$B$45/MAX(1,SUM('Census Waterfall'!N7:Y7))</f>
        <v/>
      </c>
      <c r="Z23" s="22">
        <f>SUM('P&amp;L'!O10:Z10)*'Control Tower'!$B$45/MAX(1,SUM('Census Waterfall'!O7:Z7))</f>
        <v/>
      </c>
      <c r="AA23" s="22">
        <f>SUM('P&amp;L'!P10:AA10)*'Control Tower'!$B$45/MAX(1,SUM('Census Waterfall'!P7:AA7))</f>
        <v/>
      </c>
      <c r="AB23" s="22">
        <f>SUM('P&amp;L'!Q10:AB10)*'Control Tower'!$B$45/MAX(1,SUM('Census Waterfall'!Q7:AB7))</f>
        <v/>
      </c>
      <c r="AC23" s="22">
        <f>SUM('P&amp;L'!R10:AC10)*'Control Tower'!$B$45/MAX(1,SUM('Census Waterfall'!R7:AC7))</f>
        <v/>
      </c>
      <c r="AD23" s="22">
        <f>SUM('P&amp;L'!S10:AD10)*'Control Tower'!$B$45/MAX(1,SUM('Census Waterfall'!S7:AD7))</f>
        <v/>
      </c>
      <c r="AE23" s="22">
        <f>SUM('P&amp;L'!T10:AE10)*'Control Tower'!$B$45/MAX(1,SUM('Census Waterfall'!T7:AE7))</f>
        <v/>
      </c>
      <c r="AF23" s="22">
        <f>SUM('P&amp;L'!U10:AF10)*'Control Tower'!$B$45/MAX(1,SUM('Census Waterfall'!U7:AF7))</f>
        <v/>
      </c>
      <c r="AG23" s="22">
        <f>SUM('P&amp;L'!V10:AG10)*'Control Tower'!$B$45/MAX(1,SUM('Census Waterfall'!V7:AG7))</f>
        <v/>
      </c>
      <c r="AH23" s="22">
        <f>SUM('P&amp;L'!W10:AH10)*'Control Tower'!$B$45/MAX(1,SUM('Census Waterfall'!W7:AH7))</f>
        <v/>
      </c>
      <c r="AI23" s="22">
        <f>SUM('P&amp;L'!X10:AI10)*'Control Tower'!$B$45/MAX(1,SUM('Census Waterfall'!X7:AI7))</f>
        <v/>
      </c>
      <c r="AJ23" s="22">
        <f>SUM('P&amp;L'!Y10:AJ10)*'Control Tower'!$B$45/MAX(1,SUM('Census Waterfall'!Y7:AJ7))</f>
        <v/>
      </c>
      <c r="AK23" s="22">
        <f>SUM('P&amp;L'!Z10:AK10)*'Control Tower'!$B$45/MAX(1,SUM('Census Waterfall'!Z7:AK7))</f>
        <v/>
      </c>
      <c r="AL23" s="22">
        <f>SUM('P&amp;L'!AA10:AL10)*'Control Tower'!$B$45/MAX(1,SUM('Census Waterfall'!AA7:AL7))</f>
        <v/>
      </c>
    </row>
    <row r="24">
      <c r="A24" s="10" t="inlineStr">
        <is>
          <t>Medicare cap cushion per beneficiary (TTM, + = safe)</t>
        </is>
      </c>
      <c r="C24" s="23">
        <f>"-"</f>
        <v/>
      </c>
      <c r="D24" s="23">
        <f>"-"</f>
        <v/>
      </c>
      <c r="E24" s="23">
        <f>"-"</f>
        <v/>
      </c>
      <c r="F24" s="23">
        <f>"-"</f>
        <v/>
      </c>
      <c r="G24" s="23">
        <f>"-"</f>
        <v/>
      </c>
      <c r="H24" s="23">
        <f>"-"</f>
        <v/>
      </c>
      <c r="I24" s="23">
        <f>"-"</f>
        <v/>
      </c>
      <c r="J24" s="23">
        <f>"-"</f>
        <v/>
      </c>
      <c r="K24" s="23">
        <f>"-"</f>
        <v/>
      </c>
      <c r="L24" s="23">
        <f>"-"</f>
        <v/>
      </c>
      <c r="M24" s="23">
        <f>"-"</f>
        <v/>
      </c>
      <c r="N24" s="23">
        <f>'Control Tower'!$B$135*(1+'Control Tower'!$B$48)^0-SUM('P&amp;L'!C10:N10)*'Control Tower'!$B$45/MAX(1,SUM('Census Waterfall'!C7:N7))</f>
        <v/>
      </c>
      <c r="O24" s="23">
        <f>'Control Tower'!$B$135*(1+'Control Tower'!$B$48)^1-SUM('P&amp;L'!D10:O10)*'Control Tower'!$B$45/MAX(1,SUM('Census Waterfall'!D7:O7))</f>
        <v/>
      </c>
      <c r="P24" s="23">
        <f>'Control Tower'!$B$135*(1+'Control Tower'!$B$48)^1-SUM('P&amp;L'!E10:P10)*'Control Tower'!$B$45/MAX(1,SUM('Census Waterfall'!E7:P7))</f>
        <v/>
      </c>
      <c r="Q24" s="23">
        <f>'Control Tower'!$B$135*(1+'Control Tower'!$B$48)^1-SUM('P&amp;L'!F10:Q10)*'Control Tower'!$B$45/MAX(1,SUM('Census Waterfall'!F7:Q7))</f>
        <v/>
      </c>
      <c r="R24" s="23">
        <f>'Control Tower'!$B$135*(1+'Control Tower'!$B$48)^1-SUM('P&amp;L'!G10:R10)*'Control Tower'!$B$45/MAX(1,SUM('Census Waterfall'!G7:R7))</f>
        <v/>
      </c>
      <c r="S24" s="23">
        <f>'Control Tower'!$B$135*(1+'Control Tower'!$B$48)^1-SUM('P&amp;L'!H10:S10)*'Control Tower'!$B$45/MAX(1,SUM('Census Waterfall'!H7:S7))</f>
        <v/>
      </c>
      <c r="T24" s="23">
        <f>'Control Tower'!$B$135*(1+'Control Tower'!$B$48)^1-SUM('P&amp;L'!I10:T10)*'Control Tower'!$B$45/MAX(1,SUM('Census Waterfall'!I7:T7))</f>
        <v/>
      </c>
      <c r="U24" s="23">
        <f>'Control Tower'!$B$135*(1+'Control Tower'!$B$48)^1-SUM('P&amp;L'!J10:U10)*'Control Tower'!$B$45/MAX(1,SUM('Census Waterfall'!J7:U7))</f>
        <v/>
      </c>
      <c r="V24" s="23">
        <f>'Control Tower'!$B$135*(1+'Control Tower'!$B$48)^1-SUM('P&amp;L'!K10:V10)*'Control Tower'!$B$45/MAX(1,SUM('Census Waterfall'!K7:V7))</f>
        <v/>
      </c>
      <c r="W24" s="23">
        <f>'Control Tower'!$B$135*(1+'Control Tower'!$B$48)^1-SUM('P&amp;L'!L10:W10)*'Control Tower'!$B$45/MAX(1,SUM('Census Waterfall'!L7:W7))</f>
        <v/>
      </c>
      <c r="X24" s="23">
        <f>'Control Tower'!$B$135*(1+'Control Tower'!$B$48)^1-SUM('P&amp;L'!M10:X10)*'Control Tower'!$B$45/MAX(1,SUM('Census Waterfall'!M7:X7))</f>
        <v/>
      </c>
      <c r="Y24" s="23">
        <f>'Control Tower'!$B$135*(1+'Control Tower'!$B$48)^1-SUM('P&amp;L'!N10:Y10)*'Control Tower'!$B$45/MAX(1,SUM('Census Waterfall'!N7:Y7))</f>
        <v/>
      </c>
      <c r="Z24" s="23">
        <f>'Control Tower'!$B$135*(1+'Control Tower'!$B$48)^1-SUM('P&amp;L'!O10:Z10)*'Control Tower'!$B$45/MAX(1,SUM('Census Waterfall'!O7:Z7))</f>
        <v/>
      </c>
      <c r="AA24" s="23">
        <f>'Control Tower'!$B$135*(1+'Control Tower'!$B$48)^2-SUM('P&amp;L'!P10:AA10)*'Control Tower'!$B$45/MAX(1,SUM('Census Waterfall'!P7:AA7))</f>
        <v/>
      </c>
      <c r="AB24" s="23">
        <f>'Control Tower'!$B$135*(1+'Control Tower'!$B$48)^2-SUM('P&amp;L'!Q10:AB10)*'Control Tower'!$B$45/MAX(1,SUM('Census Waterfall'!Q7:AB7))</f>
        <v/>
      </c>
      <c r="AC24" s="23">
        <f>'Control Tower'!$B$135*(1+'Control Tower'!$B$48)^2-SUM('P&amp;L'!R10:AC10)*'Control Tower'!$B$45/MAX(1,SUM('Census Waterfall'!R7:AC7))</f>
        <v/>
      </c>
      <c r="AD24" s="23">
        <f>'Control Tower'!$B$135*(1+'Control Tower'!$B$48)^2-SUM('P&amp;L'!S10:AD10)*'Control Tower'!$B$45/MAX(1,SUM('Census Waterfall'!S7:AD7))</f>
        <v/>
      </c>
      <c r="AE24" s="23">
        <f>'Control Tower'!$B$135*(1+'Control Tower'!$B$48)^2-SUM('P&amp;L'!T10:AE10)*'Control Tower'!$B$45/MAX(1,SUM('Census Waterfall'!T7:AE7))</f>
        <v/>
      </c>
      <c r="AF24" s="23">
        <f>'Control Tower'!$B$135*(1+'Control Tower'!$B$48)^2-SUM('P&amp;L'!U10:AF10)*'Control Tower'!$B$45/MAX(1,SUM('Census Waterfall'!U7:AF7))</f>
        <v/>
      </c>
      <c r="AG24" s="23">
        <f>'Control Tower'!$B$135*(1+'Control Tower'!$B$48)^2-SUM('P&amp;L'!V10:AG10)*'Control Tower'!$B$45/MAX(1,SUM('Census Waterfall'!V7:AG7))</f>
        <v/>
      </c>
      <c r="AH24" s="23">
        <f>'Control Tower'!$B$135*(1+'Control Tower'!$B$48)^2-SUM('P&amp;L'!W10:AH10)*'Control Tower'!$B$45/MAX(1,SUM('Census Waterfall'!W7:AH7))</f>
        <v/>
      </c>
      <c r="AI24" s="23">
        <f>'Control Tower'!$B$135*(1+'Control Tower'!$B$48)^2-SUM('P&amp;L'!X10:AI10)*'Control Tower'!$B$45/MAX(1,SUM('Census Waterfall'!X7:AI7))</f>
        <v/>
      </c>
      <c r="AJ24" s="23">
        <f>'Control Tower'!$B$135*(1+'Control Tower'!$B$48)^2-SUM('P&amp;L'!Y10:AJ10)*'Control Tower'!$B$45/MAX(1,SUM('Census Waterfall'!Y7:AJ7))</f>
        <v/>
      </c>
      <c r="AK24" s="23">
        <f>'Control Tower'!$B$135*(1+'Control Tower'!$B$48)^2-SUM('P&amp;L'!Z10:AK10)*'Control Tower'!$B$45/MAX(1,SUM('Census Waterfall'!Z7:AK7))</f>
        <v/>
      </c>
      <c r="AL24" s="23">
        <f>'Control Tower'!$B$135*(1+'Control Tower'!$B$48)^2-SUM('P&amp;L'!AA10:AL10)*'Control Tower'!$B$45/MAX(1,SUM('Census Waterfall'!AA7:AL7))</f>
        <v/>
      </c>
    </row>
    <row r="26">
      <c r="A26" s="10" t="inlineStr">
        <is>
          <t>Breakeven ADC (fixed costs / contribution per PD / days)</t>
        </is>
      </c>
      <c r="B26" s="19">
        <f>('Staffing'!N38+'Operating Budget'!N18+'Operating Budget'!N31)/(IF('Census Waterfall'!N12=0,1,'P&amp;L'!N15/'Census Waterfall'!N12))/'Control Tower'!$B$29</f>
        <v/>
      </c>
    </row>
    <row r="27">
      <c r="A27" s="10" t="inlineStr">
        <is>
          <t>MASTER CHECK (from Checks tab; 0 = OK)</t>
        </is>
      </c>
      <c r="B27" s="30">
        <f>'Checks'!B12</f>
        <v/>
      </c>
    </row>
    <row r="29">
      <c r="A29" s="3" t="inlineStr">
        <is>
          <t>SOURCES &amp; USES (close through refinance month)</t>
        </is>
      </c>
    </row>
    <row r="30">
      <c r="A30" s="4" t="inlineStr">
        <is>
          <t>Sources: equity on deposit</t>
        </is>
      </c>
      <c r="B30" s="22">
        <f>'Control Tower'!$B$5</f>
        <v/>
      </c>
    </row>
    <row r="31">
      <c r="A31" s="4" t="inlineStr">
        <is>
          <t>Sources: refinance note proceeds</t>
        </is>
      </c>
      <c r="B31" s="22">
        <f>IF('Control Tower'!$B$16=1,'Control Tower'!$B$18,0)</f>
        <v/>
      </c>
    </row>
    <row r="32">
      <c r="A32" s="10" t="inlineStr">
        <is>
          <t>TOTAL SOURCES</t>
        </is>
      </c>
      <c r="B32" s="23">
        <f>B30+B31</f>
        <v/>
      </c>
    </row>
    <row r="33">
      <c r="A33" s="4" t="inlineStr">
        <is>
          <t>Uses: down payment at close</t>
        </is>
      </c>
      <c r="B33" s="22">
        <f>'Control Tower'!$B$8</f>
        <v/>
      </c>
    </row>
    <row r="34">
      <c r="A34" s="4" t="inlineStr">
        <is>
          <t>Uses: seller payoff at refi (principal + accrued interest)</t>
        </is>
      </c>
      <c r="B34" s="22">
        <f>IF('Control Tower'!$B$16=1,SUMPRODUCT(('Cash Flow &amp; Runway'!$C$4:$AL$4='Control Tower'!$B$17)*('Cash Flow &amp; Runway'!$C$14:$AL$14+'Cash Flow &amp; Runway'!$C$15:$AL$15)),0)</f>
        <v/>
      </c>
    </row>
    <row r="35">
      <c r="A35" s="4" t="inlineStr">
        <is>
          <t>Uses: pre-opening / startup spend</t>
        </is>
      </c>
      <c r="B35" s="22">
        <f>'Control Tower'!$B$6</f>
        <v/>
      </c>
    </row>
    <row r="36">
      <c r="A36" s="10" t="inlineStr">
        <is>
          <t>Uses: net working capital retained (residual)</t>
        </is>
      </c>
      <c r="B36" s="23">
        <f>B32-B33-B34-B35</f>
        <v/>
      </c>
    </row>
    <row r="37">
      <c r="A37" s="6" t="inlineStr">
        <is>
          <t>CHECK: sources - uses = 0 by construction; residual must be &gt; 0</t>
        </is>
      </c>
      <c r="B37" s="21">
        <f>IF(B36&gt;0,0,1)</f>
        <v/>
      </c>
    </row>
    <row r="39">
      <c r="A39" s="3" t="inlineStr">
        <is>
          <t>EBITDA BRIDGE - Year 1 to Year 3 (attribution walk)</t>
        </is>
      </c>
    </row>
    <row r="40">
      <c r="A40" s="4" t="inlineStr">
        <is>
          <t>Year 1 EBITDA</t>
        </is>
      </c>
      <c r="B40" s="23">
        <f>SUM('P&amp;L'!C24:N24)</f>
        <v/>
      </c>
    </row>
    <row r="41">
      <c r="A41" s="4" t="inlineStr">
        <is>
          <t>+ Census / volume effect (added PDs at Y1 contribution/PD)</t>
        </is>
      </c>
      <c r="B41" s="22">
        <f>(SUM('Census Waterfall'!AA12:AL12)-SUM('Census Waterfall'!C12:N12))*(SUM('P&amp;L'!C15:N15)/SUM('Census Waterfall'!C12:N12))</f>
        <v/>
      </c>
    </row>
    <row r="42">
      <c r="A42" s="4" t="inlineStr">
        <is>
          <t>+ Rate / margin-per-PD effect (Y3 PDs x change in contribution/PD)</t>
        </is>
      </c>
      <c r="B42" s="22">
        <f>SUM('Census Waterfall'!AA12:AL12)*(SUM('P&amp;L'!AA15:AL15)/SUM('Census Waterfall'!AA12:AL12)-SUM('P&amp;L'!C15:N15)/SUM('Census Waterfall'!C12:N12))</f>
        <v/>
      </c>
    </row>
    <row r="43">
      <c r="A43" s="4" t="inlineStr">
        <is>
          <t>- Overhead growth (indirect labor + facility + G&amp;A)</t>
        </is>
      </c>
      <c r="B43" s="22">
        <f>-((SUM('Staffing'!AA38:AL38)+SUM('Operating Budget'!AA18:AL18)+SUM('Operating Budget'!AA31:AL31))-(SUM('Staffing'!C38:N38)+SUM('Operating Budget'!C18:N18)+SUM('Operating Budget'!C31:N31)))</f>
        <v/>
      </c>
    </row>
    <row r="44">
      <c r="A44" s="10" t="inlineStr">
        <is>
          <t>Year 3 EBITDA (bridge total)</t>
        </is>
      </c>
      <c r="B44" s="23">
        <f>B40+B41+B42+B43</f>
        <v/>
      </c>
    </row>
    <row r="45">
      <c r="A45" s="6" t="inlineStr">
        <is>
          <t>Year 3 EBITDA (actual, tie check = 0)</t>
        </is>
      </c>
      <c r="B45" s="22">
        <f>SUM('P&amp;L'!AA24:AL24)-B44</f>
        <v/>
      </c>
    </row>
  </sheetData>
  <mergeCells count="4">
    <mergeCell ref="A29:D29"/>
    <mergeCell ref="A39:D39"/>
    <mergeCell ref="A2:N2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4.10&amp;C&amp;8 Confidential&amp;R&amp;8 Page &amp;P of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 fitToPage="1"/>
  </sheetPr>
  <dimension ref="A1:N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3-YEAR SUMMARY - annual rollup with per-year and global (3-year) debt-service coverage.</t>
        </is>
      </c>
    </row>
    <row r="4">
      <c r="A4" s="17" t="inlineStr"/>
      <c r="B4" s="17" t="inlineStr">
        <is>
          <t>Year 1</t>
        </is>
      </c>
      <c r="C4" s="17" t="inlineStr">
        <is>
          <t>Year 2</t>
        </is>
      </c>
      <c r="D4" s="17" t="inlineStr">
        <is>
          <t>Year 3</t>
        </is>
      </c>
    </row>
    <row r="5">
      <c r="A5" s="10" t="inlineStr">
        <is>
          <t>Net patient revenue</t>
        </is>
      </c>
      <c r="B5" s="23">
        <f>SUM('P&amp;L'!C10:N10)</f>
        <v/>
      </c>
      <c r="C5" s="23">
        <f>SUM('P&amp;L'!O10:Z10)</f>
        <v/>
      </c>
      <c r="D5" s="23">
        <f>SUM('P&amp;L'!AA10:AL10)</f>
        <v/>
      </c>
    </row>
    <row r="6">
      <c r="A6" s="10" t="inlineStr">
        <is>
          <t>EBITDA</t>
        </is>
      </c>
      <c r="B6" s="23">
        <f>SUM('P&amp;L'!C24:N24)</f>
        <v/>
      </c>
      <c r="C6" s="23">
        <f>SUM('P&amp;L'!O24:Z24)</f>
        <v/>
      </c>
      <c r="D6" s="23">
        <f>SUM('P&amp;L'!AA24:AL24)</f>
        <v/>
      </c>
    </row>
    <row r="7">
      <c r="A7" s="4" t="inlineStr">
        <is>
          <t>Net income</t>
        </is>
      </c>
      <c r="B7" s="22">
        <f>SUM('Cash Flow &amp; Runway'!C34:N34)</f>
        <v/>
      </c>
      <c r="C7" s="22">
        <f>SUM('Cash Flow &amp; Runway'!O34:Z34)</f>
        <v/>
      </c>
      <c r="D7" s="22">
        <f>SUM('Cash Flow &amp; Runway'!AA34:AL34)</f>
        <v/>
      </c>
    </row>
    <row r="8">
      <c r="A8" s="4" t="inlineStr">
        <is>
          <t>Debt service (P&amp;I, all notes)</t>
        </is>
      </c>
      <c r="B8" s="22">
        <f>SUM('Cash Flow &amp; Runway'!C19:N19)+SUM('Cash Flow &amp; Runway'!C22:N22)+SUM('Cash Flow &amp; Runway'!C25:N25)+SUM('Cash Flow &amp; Runway'!C14:N14)+SUM('Cash Flow &amp; Runway'!C15:N15)</f>
        <v/>
      </c>
      <c r="C8" s="22">
        <f>SUM('Cash Flow &amp; Runway'!O19:Z19)+SUM('Cash Flow &amp; Runway'!O22:Z22)+SUM('Cash Flow &amp; Runway'!O25:Z25)+SUM('Cash Flow &amp; Runway'!O14:Z14)+SUM('Cash Flow &amp; Runway'!O15:Z15)</f>
        <v/>
      </c>
      <c r="D8" s="22">
        <f>SUM('Cash Flow &amp; Runway'!AA19:AL19)+SUM('Cash Flow &amp; Runway'!AA22:AL22)+SUM('Cash Flow &amp; Runway'!AA25:AL25)+SUM('Cash Flow &amp; Runway'!AA14:AL14)+SUM('Cash Flow &amp; Runway'!AA15:AL15)</f>
        <v/>
      </c>
    </row>
    <row r="9">
      <c r="A9" s="10" t="inlineStr">
        <is>
          <t>DSCR (per year)</t>
        </is>
      </c>
      <c r="B9" s="34">
        <f>IF(B8=0,"-",B6/B8)</f>
        <v/>
      </c>
      <c r="C9" s="34">
        <f>IF(C8=0,"-",C6/C8)</f>
        <v/>
      </c>
      <c r="D9" s="34">
        <f>IF(D8=0,"-",D6/D8)</f>
        <v/>
      </c>
    </row>
    <row r="11">
      <c r="A11" s="10" t="inlineStr">
        <is>
          <t>GLOBAL 3-YEAR DSCR (operative SBA test)</t>
        </is>
      </c>
      <c r="B11" s="35">
        <f>SUM(B6:D6)/SUM(B8:D8)</f>
        <v/>
      </c>
    </row>
    <row r="12">
      <c r="A12" s="10" t="inlineStr">
        <is>
          <t>Minimum cash across 36 months</t>
        </is>
      </c>
      <c r="B12" s="23">
        <f>'Cash Flow &amp; Runway'!B46</f>
        <v/>
      </c>
    </row>
    <row r="14">
      <c r="A14" s="6" t="inlineStr">
        <is>
          <t>Note: Year-1 coverage reflects the startup ramp (license maturation and the Medicare payment cycle); the global 3-year DSCR is the appropriate coverage measure for the ramp period.</t>
        </is>
      </c>
    </row>
  </sheetData>
  <mergeCells count="2">
    <mergeCell ref="A2:N2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4.10&amp;C&amp;8 Confidential&amp;R&amp;8 Page &amp;P of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538135"/>
    <outlinePr summaryBelow="1" summaryRight="1"/>
    <pageSetUpPr fitToPage="1"/>
  </sheetPr>
  <dimension ref="A1:N23"/>
  <sheetViews>
    <sheetView showGridLines="0" zoomScale="8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2" customHeight="1">
      <c r="A1" s="1" t="inlineStr">
        <is>
          <t>AZALEA HOSPICE - REFUGE OPERATING MODEL</t>
        </is>
      </c>
    </row>
    <row r="2">
      <c r="A2" s="2" t="inlineStr">
        <is>
          <t>Enter ACTUALS monthly (yellow); variances compute. First 12 months.</t>
        </is>
      </c>
    </row>
    <row r="4">
      <c r="C4" s="17" t="inlineStr">
        <is>
          <t>Jul-26</t>
        </is>
      </c>
      <c r="D4" s="17" t="inlineStr">
        <is>
          <t>Aug-26</t>
        </is>
      </c>
      <c r="E4" s="17" t="inlineStr">
        <is>
          <t>Sep-26</t>
        </is>
      </c>
      <c r="F4" s="17" t="inlineStr">
        <is>
          <t>Oct-26</t>
        </is>
      </c>
      <c r="G4" s="17" t="inlineStr">
        <is>
          <t>Nov-26</t>
        </is>
      </c>
      <c r="H4" s="17" t="inlineStr">
        <is>
          <t>Dec-26</t>
        </is>
      </c>
      <c r="I4" s="17" t="inlineStr">
        <is>
          <t>Jan-27</t>
        </is>
      </c>
      <c r="J4" s="17" t="inlineStr">
        <is>
          <t>Feb-27</t>
        </is>
      </c>
      <c r="K4" s="17" t="inlineStr">
        <is>
          <t>Mar-27</t>
        </is>
      </c>
      <c r="L4" s="17" t="inlineStr">
        <is>
          <t>Apr-27</t>
        </is>
      </c>
      <c r="M4" s="17" t="inlineStr">
        <is>
          <t>May-27</t>
        </is>
      </c>
      <c r="N4" s="17" t="inlineStr">
        <is>
          <t>Jun-27</t>
        </is>
      </c>
    </row>
    <row r="5">
      <c r="A5" s="10" t="inlineStr">
        <is>
          <t>Net patient revenue - BUDGET</t>
        </is>
      </c>
      <c r="C5" s="27">
        <f>'P&amp;L'!C10</f>
        <v/>
      </c>
      <c r="D5" s="27">
        <f>'P&amp;L'!D10</f>
        <v/>
      </c>
      <c r="E5" s="27">
        <f>'P&amp;L'!E10</f>
        <v/>
      </c>
      <c r="F5" s="27">
        <f>'P&amp;L'!F10</f>
        <v/>
      </c>
      <c r="G5" s="27">
        <f>'P&amp;L'!G10</f>
        <v/>
      </c>
      <c r="H5" s="27">
        <f>'P&amp;L'!H10</f>
        <v/>
      </c>
      <c r="I5" s="27">
        <f>'P&amp;L'!I10</f>
        <v/>
      </c>
      <c r="J5" s="27">
        <f>'P&amp;L'!J10</f>
        <v/>
      </c>
      <c r="K5" s="27">
        <f>'P&amp;L'!K10</f>
        <v/>
      </c>
      <c r="L5" s="27">
        <f>'P&amp;L'!L10</f>
        <v/>
      </c>
      <c r="M5" s="27">
        <f>'P&amp;L'!M10</f>
        <v/>
      </c>
      <c r="N5" s="27">
        <f>'P&amp;L'!N10</f>
        <v/>
      </c>
    </row>
    <row r="6">
      <c r="A6" s="4" t="inlineStr">
        <is>
          <t>Net patient revenue - ACTUAL [enter]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6" t="inlineStr">
        <is>
          <t>Net patient revenue - variance</t>
        </is>
      </c>
      <c r="C7" s="22">
        <f>IF(C6="","",C6-C5)</f>
        <v/>
      </c>
      <c r="D7" s="22">
        <f>IF(D6="","",D6-D5)</f>
        <v/>
      </c>
      <c r="E7" s="22">
        <f>IF(E6="","",E6-E5)</f>
        <v/>
      </c>
      <c r="F7" s="22">
        <f>IF(F6="","",F6-F5)</f>
        <v/>
      </c>
      <c r="G7" s="22">
        <f>IF(G6="","",G6-G5)</f>
        <v/>
      </c>
      <c r="H7" s="22">
        <f>IF(H6="","",H6-H5)</f>
        <v/>
      </c>
      <c r="I7" s="22">
        <f>IF(I6="","",I6-I5)</f>
        <v/>
      </c>
      <c r="J7" s="22">
        <f>IF(J6="","",J6-J5)</f>
        <v/>
      </c>
      <c r="K7" s="22">
        <f>IF(K6="","",K6-K5)</f>
        <v/>
      </c>
      <c r="L7" s="22">
        <f>IF(L6="","",L6-L5)</f>
        <v/>
      </c>
      <c r="M7" s="22">
        <f>IF(M6="","",M6-M5)</f>
        <v/>
      </c>
      <c r="N7" s="22">
        <f>IF(N6="","",N6-N5)</f>
        <v/>
      </c>
    </row>
    <row r="9">
      <c r="A9" s="10" t="inlineStr">
        <is>
          <t>Total clinical labor - BUDGET</t>
        </is>
      </c>
      <c r="C9" s="27">
        <f>'P&amp;L'!C13</f>
        <v/>
      </c>
      <c r="D9" s="27">
        <f>'P&amp;L'!D13</f>
        <v/>
      </c>
      <c r="E9" s="27">
        <f>'P&amp;L'!E13</f>
        <v/>
      </c>
      <c r="F9" s="27">
        <f>'P&amp;L'!F13</f>
        <v/>
      </c>
      <c r="G9" s="27">
        <f>'P&amp;L'!G13</f>
        <v/>
      </c>
      <c r="H9" s="27">
        <f>'P&amp;L'!H13</f>
        <v/>
      </c>
      <c r="I9" s="27">
        <f>'P&amp;L'!I13</f>
        <v/>
      </c>
      <c r="J9" s="27">
        <f>'P&amp;L'!J13</f>
        <v/>
      </c>
      <c r="K9" s="27">
        <f>'P&amp;L'!K13</f>
        <v/>
      </c>
      <c r="L9" s="27">
        <f>'P&amp;L'!L13</f>
        <v/>
      </c>
      <c r="M9" s="27">
        <f>'P&amp;L'!M13</f>
        <v/>
      </c>
      <c r="N9" s="27">
        <f>'P&amp;L'!N13</f>
        <v/>
      </c>
    </row>
    <row r="10">
      <c r="A10" s="4" t="inlineStr">
        <is>
          <t>Total clinical labor - ACTUAL [enter]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6" t="inlineStr">
        <is>
          <t>Total clinical labor - variance</t>
        </is>
      </c>
      <c r="C11" s="22">
        <f>IF(C10="","",C10-C9)</f>
        <v/>
      </c>
      <c r="D11" s="22">
        <f>IF(D10="","",D10-D9)</f>
        <v/>
      </c>
      <c r="E11" s="22">
        <f>IF(E10="","",E10-E9)</f>
        <v/>
      </c>
      <c r="F11" s="22">
        <f>IF(F10="","",F10-F9)</f>
        <v/>
      </c>
      <c r="G11" s="22">
        <f>IF(G10="","",G10-G9)</f>
        <v/>
      </c>
      <c r="H11" s="22">
        <f>IF(H10="","",H10-H9)</f>
        <v/>
      </c>
      <c r="I11" s="22">
        <f>IF(I10="","",I10-I9)</f>
        <v/>
      </c>
      <c r="J11" s="22">
        <f>IF(J10="","",J10-J9)</f>
        <v/>
      </c>
      <c r="K11" s="22">
        <f>IF(K10="","",K10-K9)</f>
        <v/>
      </c>
      <c r="L11" s="22">
        <f>IF(L10="","",L10-L9)</f>
        <v/>
      </c>
      <c r="M11" s="22">
        <f>IF(M10="","",M10-M9)</f>
        <v/>
      </c>
      <c r="N11" s="22">
        <f>IF(N10="","",N10-N9)</f>
        <v/>
      </c>
    </row>
    <row r="13">
      <c r="A13" s="10" t="inlineStr">
        <is>
          <t>EBITDA - BUDGET</t>
        </is>
      </c>
      <c r="C13" s="27">
        <f>'P&amp;L'!C24</f>
        <v/>
      </c>
      <c r="D13" s="27">
        <f>'P&amp;L'!D24</f>
        <v/>
      </c>
      <c r="E13" s="27">
        <f>'P&amp;L'!E24</f>
        <v/>
      </c>
      <c r="F13" s="27">
        <f>'P&amp;L'!F24</f>
        <v/>
      </c>
      <c r="G13" s="27">
        <f>'P&amp;L'!G24</f>
        <v/>
      </c>
      <c r="H13" s="27">
        <f>'P&amp;L'!H24</f>
        <v/>
      </c>
      <c r="I13" s="27">
        <f>'P&amp;L'!I24</f>
        <v/>
      </c>
      <c r="J13" s="27">
        <f>'P&amp;L'!J24</f>
        <v/>
      </c>
      <c r="K13" s="27">
        <f>'P&amp;L'!K24</f>
        <v/>
      </c>
      <c r="L13" s="27">
        <f>'P&amp;L'!L24</f>
        <v/>
      </c>
      <c r="M13" s="27">
        <f>'P&amp;L'!M24</f>
        <v/>
      </c>
      <c r="N13" s="27">
        <f>'P&amp;L'!N24</f>
        <v/>
      </c>
    </row>
    <row r="14">
      <c r="A14" s="4" t="inlineStr">
        <is>
          <t>EBITDA - ACTUAL [enter]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>
      <c r="A15" s="6" t="inlineStr">
        <is>
          <t>EBITDA - variance</t>
        </is>
      </c>
      <c r="C15" s="22">
        <f>IF(C14="","",C14-C13)</f>
        <v/>
      </c>
      <c r="D15" s="22">
        <f>IF(D14="","",D14-D13)</f>
        <v/>
      </c>
      <c r="E15" s="22">
        <f>IF(E14="","",E14-E13)</f>
        <v/>
      </c>
      <c r="F15" s="22">
        <f>IF(F14="","",F14-F13)</f>
        <v/>
      </c>
      <c r="G15" s="22">
        <f>IF(G14="","",G14-G13)</f>
        <v/>
      </c>
      <c r="H15" s="22">
        <f>IF(H14="","",H14-H13)</f>
        <v/>
      </c>
      <c r="I15" s="22">
        <f>IF(I14="","",I14-I13)</f>
        <v/>
      </c>
      <c r="J15" s="22">
        <f>IF(J14="","",J14-J13)</f>
        <v/>
      </c>
      <c r="K15" s="22">
        <f>IF(K14="","",K14-K13)</f>
        <v/>
      </c>
      <c r="L15" s="22">
        <f>IF(L14="","",L14-L13)</f>
        <v/>
      </c>
      <c r="M15" s="22">
        <f>IF(M14="","",M14-M13)</f>
        <v/>
      </c>
      <c r="N15" s="22">
        <f>IF(N14="","",N14-N13)</f>
        <v/>
      </c>
    </row>
    <row r="17">
      <c r="A17" s="10" t="inlineStr">
        <is>
          <t>Cash collections - BUDGET</t>
        </is>
      </c>
      <c r="C17" s="27">
        <f>'Cash Flow &amp; Runway'!C9</f>
        <v/>
      </c>
      <c r="D17" s="27">
        <f>'Cash Flow &amp; Runway'!D9</f>
        <v/>
      </c>
      <c r="E17" s="27">
        <f>'Cash Flow &amp; Runway'!E9</f>
        <v/>
      </c>
      <c r="F17" s="27">
        <f>'Cash Flow &amp; Runway'!F9</f>
        <v/>
      </c>
      <c r="G17" s="27">
        <f>'Cash Flow &amp; Runway'!G9</f>
        <v/>
      </c>
      <c r="H17" s="27">
        <f>'Cash Flow &amp; Runway'!H9</f>
        <v/>
      </c>
      <c r="I17" s="27">
        <f>'Cash Flow &amp; Runway'!I9</f>
        <v/>
      </c>
      <c r="J17" s="27">
        <f>'Cash Flow &amp; Runway'!J9</f>
        <v/>
      </c>
      <c r="K17" s="27">
        <f>'Cash Flow &amp; Runway'!K9</f>
        <v/>
      </c>
      <c r="L17" s="27">
        <f>'Cash Flow &amp; Runway'!L9</f>
        <v/>
      </c>
      <c r="M17" s="27">
        <f>'Cash Flow &amp; Runway'!M9</f>
        <v/>
      </c>
      <c r="N17" s="27">
        <f>'Cash Flow &amp; Runway'!N9</f>
        <v/>
      </c>
    </row>
    <row r="18">
      <c r="A18" s="4" t="inlineStr">
        <is>
          <t>Cash collections - ACTUAL [enter]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6" t="inlineStr">
        <is>
          <t>Cash collections - variance</t>
        </is>
      </c>
      <c r="C19" s="22">
        <f>IF(C18="","",C18-C17)</f>
        <v/>
      </c>
      <c r="D19" s="22">
        <f>IF(D18="","",D18-D17)</f>
        <v/>
      </c>
      <c r="E19" s="22">
        <f>IF(E18="","",E18-E17)</f>
        <v/>
      </c>
      <c r="F19" s="22">
        <f>IF(F18="","",F18-F17)</f>
        <v/>
      </c>
      <c r="G19" s="22">
        <f>IF(G18="","",G18-G17)</f>
        <v/>
      </c>
      <c r="H19" s="22">
        <f>IF(H18="","",H18-H17)</f>
        <v/>
      </c>
      <c r="I19" s="22">
        <f>IF(I18="","",I18-I17)</f>
        <v/>
      </c>
      <c r="J19" s="22">
        <f>IF(J18="","",J18-J17)</f>
        <v/>
      </c>
      <c r="K19" s="22">
        <f>IF(K18="","",K18-K17)</f>
        <v/>
      </c>
      <c r="L19" s="22">
        <f>IF(L18="","",L18-L17)</f>
        <v/>
      </c>
      <c r="M19" s="22">
        <f>IF(M18="","",M18-M17)</f>
        <v/>
      </c>
      <c r="N19" s="22">
        <f>IF(N18="","",N18-N17)</f>
        <v/>
      </c>
    </row>
    <row r="21">
      <c r="A21" s="10" t="inlineStr">
        <is>
          <t>Ending cash - BUDGET</t>
        </is>
      </c>
      <c r="C21" s="27">
        <f>'Cash Flow &amp; Runway'!C43</f>
        <v/>
      </c>
      <c r="D21" s="27">
        <f>'Cash Flow &amp; Runway'!D43</f>
        <v/>
      </c>
      <c r="E21" s="27">
        <f>'Cash Flow &amp; Runway'!E43</f>
        <v/>
      </c>
      <c r="F21" s="27">
        <f>'Cash Flow &amp; Runway'!F43</f>
        <v/>
      </c>
      <c r="G21" s="27">
        <f>'Cash Flow &amp; Runway'!G43</f>
        <v/>
      </c>
      <c r="H21" s="27">
        <f>'Cash Flow &amp; Runway'!H43</f>
        <v/>
      </c>
      <c r="I21" s="27">
        <f>'Cash Flow &amp; Runway'!I43</f>
        <v/>
      </c>
      <c r="J21" s="27">
        <f>'Cash Flow &amp; Runway'!J43</f>
        <v/>
      </c>
      <c r="K21" s="27">
        <f>'Cash Flow &amp; Runway'!K43</f>
        <v/>
      </c>
      <c r="L21" s="27">
        <f>'Cash Flow &amp; Runway'!L43</f>
        <v/>
      </c>
      <c r="M21" s="27">
        <f>'Cash Flow &amp; Runway'!M43</f>
        <v/>
      </c>
      <c r="N21" s="27">
        <f>'Cash Flow &amp; Runway'!N43</f>
        <v/>
      </c>
    </row>
    <row r="22">
      <c r="A22" s="4" t="inlineStr">
        <is>
          <t>Ending cash - ACTUAL [enter]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6" t="inlineStr">
        <is>
          <t>Ending cash - variance</t>
        </is>
      </c>
      <c r="C23" s="22">
        <f>IF(C22="","",C22-C21)</f>
        <v/>
      </c>
      <c r="D23" s="22">
        <f>IF(D22="","",D22-D21)</f>
        <v/>
      </c>
      <c r="E23" s="22">
        <f>IF(E22="","",E22-E21)</f>
        <v/>
      </c>
      <c r="F23" s="22">
        <f>IF(F22="","",F22-F21)</f>
        <v/>
      </c>
      <c r="G23" s="22">
        <f>IF(G22="","",G22-G21)</f>
        <v/>
      </c>
      <c r="H23" s="22">
        <f>IF(H22="","",H22-H21)</f>
        <v/>
      </c>
      <c r="I23" s="22">
        <f>IF(I22="","",I22-I21)</f>
        <v/>
      </c>
      <c r="J23" s="22">
        <f>IF(J22="","",J22-J21)</f>
        <v/>
      </c>
      <c r="K23" s="22">
        <f>IF(K22="","",K22-K21)</f>
        <v/>
      </c>
      <c r="L23" s="22">
        <f>IF(L22="","",L22-L21)</f>
        <v/>
      </c>
      <c r="M23" s="22">
        <f>IF(M22="","",M22-M21)</f>
        <v/>
      </c>
      <c r="N23" s="22">
        <f>IF(N22="","",N22-N21)</f>
        <v/>
      </c>
    </row>
  </sheetData>
  <mergeCells count="2">
    <mergeCell ref="A2:N2"/>
    <mergeCell ref="A1:N1"/>
  </mergeCells>
  <pageMargins left="0.75" right="0.75" top="1" bottom="1" header="0.5" footer="0.5"/>
  <pageSetup orientation="landscape" fitToHeight="0" fitToWidth="1"/>
  <headerFooter>
    <oddHeader/>
    <oddFooter>&amp;L&amp;8 Azalea Hospice - Proforma Rev 4.10&amp;C&amp;8 Confidential&amp;R&amp;8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2026-07-18T17:58:10Z</dcterms:created>
  <dcterms:modified xmlns:dcterms="http://purl.org/dc/terms/" xmlns:xsi="http://www.w3.org/2001/XMLSchema-instance" xsi:type="dcterms:W3CDTF">2026-07-18T17:58:11Z</dcterms:modified>
</cp:coreProperties>
</file>