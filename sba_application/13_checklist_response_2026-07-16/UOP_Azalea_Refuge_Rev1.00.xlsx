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tructure" sheetId="1" state="visible" r:id="rId1"/>
    <sheet xmlns:r="http://schemas.openxmlformats.org/officeDocument/2006/relationships" name="Working Capital Detail" sheetId="2" state="visible" r:id="rId2"/>
    <sheet xmlns:r="http://schemas.openxmlformats.org/officeDocument/2006/relationships" name="Seller Note &amp; SBA Tak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5">
    <font>
      <name val="Calibri"/>
      <family val="2"/>
      <color theme="1"/>
      <sz val="11"/>
      <scheme val="minor"/>
    </font>
    <font>
      <b val="1"/>
      <color rgb="001F3B2D"/>
      <sz val="12"/>
    </font>
    <font>
      <i val="1"/>
      <sz val="9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EA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PROPOSED SBA 7(a) LOAN STRUCTURE - AZALEA HOSPICE &amp; PALLIATIVE CARE</t>
        </is>
      </c>
    </row>
    <row r="2">
      <c r="A2" s="2" t="inlineStr">
        <is>
          <t>Tyler Hospice Hold, LLC (EIN 41-4966640) | Refuge Hospice acquisition | 7/16/2026</t>
        </is>
      </c>
    </row>
    <row r="4">
      <c r="A4" s="3" t="inlineStr">
        <is>
          <t>USE OF PROCEEDS</t>
        </is>
      </c>
    </row>
    <row r="5">
      <c r="A5" t="inlineStr">
        <is>
          <t>Medicare/Medicaid hospice license - Refuge Hospice, LLC (purchase price)</t>
        </is>
      </c>
      <c r="B5" s="4" t="n">
        <v>500000</v>
      </c>
    </row>
    <row r="6">
      <c r="A6" t="inlineStr">
        <is>
          <t xml:space="preserve">   of which: equity down payment at close (~8/1/2026, 49% interest)</t>
        </is>
      </c>
      <c r="B6" s="4" t="n">
        <v>125000</v>
      </c>
    </row>
    <row r="7">
      <c r="A7" t="inlineStr">
        <is>
          <t xml:space="preserve">   of which: seller-financed balance at 6% (SBA takeout Sept 2026)</t>
        </is>
      </c>
      <c r="B7" s="4">
        <f>B5-B6</f>
        <v/>
      </c>
    </row>
    <row r="8">
      <c r="A8" t="inlineStr">
        <is>
          <t>Working capital reserve (detail + draw timeline on next tab)</t>
        </is>
      </c>
      <c r="B8" s="4">
        <f>'Working Capital Detail'!B24</f>
        <v/>
      </c>
    </row>
    <row r="9">
      <c r="A9" t="inlineStr">
        <is>
          <t>Soft costs (packaging, SBA guaranty fee, legal/closing)</t>
        </is>
      </c>
      <c r="B9" s="4">
        <f>B13+B14+B15+B16</f>
        <v/>
      </c>
    </row>
    <row r="10">
      <c r="A10" s="5" t="inlineStr">
        <is>
          <t>TOTAL PROJECT COST</t>
        </is>
      </c>
      <c r="B10" s="6">
        <f>B5+B8+B9</f>
        <v/>
      </c>
    </row>
    <row r="12">
      <c r="A12" s="2" t="inlineStr">
        <is>
          <t>Soft-cost detail:</t>
        </is>
      </c>
      <c r="D12" s="5" t="inlineStr">
        <is>
          <t>Guaranty fee computation</t>
        </is>
      </c>
    </row>
    <row r="13">
      <c r="A13" t="inlineStr">
        <is>
          <t xml:space="preserve">   7(a) loan packaging</t>
        </is>
      </c>
      <c r="B13" s="4" t="n">
        <v>2500</v>
      </c>
      <c r="D13" t="inlineStr">
        <is>
          <t>Guaranty %</t>
        </is>
      </c>
      <c r="F13" s="7" t="n">
        <v>0.75</v>
      </c>
    </row>
    <row r="14">
      <c r="A14" t="inlineStr">
        <is>
          <t xml:space="preserve">   SBA guaranty fee (estimate - see computation at F13; lender to confirm)</t>
        </is>
      </c>
      <c r="B14" s="4">
        <f>F15</f>
        <v/>
      </c>
      <c r="D14" t="inlineStr">
        <is>
          <t>Guaranteed amount</t>
        </is>
      </c>
      <c r="F14" s="4">
        <f>B20*F13</f>
        <v/>
      </c>
    </row>
    <row r="15">
      <c r="A15" t="inlineStr">
        <is>
          <t xml:space="preserve">   Legal &amp; closing (rounded)</t>
        </is>
      </c>
      <c r="B15" s="4" t="n">
        <v>2400</v>
      </c>
      <c r="D15" t="inlineStr">
        <is>
          <t>Fee (est. 1.7% of guaranteed portion)</t>
        </is>
      </c>
      <c r="F15" s="4">
        <f>ROUND(F14*0.017,0)</f>
        <v/>
      </c>
    </row>
    <row r="16">
      <c r="A16" t="inlineStr">
        <is>
          <t xml:space="preserve">   Contingency / rounding</t>
        </is>
      </c>
      <c r="B16" s="4">
        <f>15000-B13-B14-B15</f>
        <v/>
      </c>
    </row>
    <row r="18">
      <c r="A18" s="3" t="inlineStr">
        <is>
          <t>FINANCE STRUCTURE</t>
        </is>
      </c>
    </row>
    <row r="19">
      <c r="A19" t="inlineStr">
        <is>
          <t>Source</t>
        </is>
      </c>
      <c r="B19" s="5" t="inlineStr">
        <is>
          <t>Amount</t>
        </is>
      </c>
      <c r="C19" s="5" t="inlineStr">
        <is>
          <t>% of project</t>
        </is>
      </c>
    </row>
    <row r="20">
      <c r="A20" t="inlineStr">
        <is>
          <t>SBA 7(a) loan (retires seller balance Sept 2026 + working capital)</t>
        </is>
      </c>
      <c r="B20" s="4" t="n">
        <v>500000</v>
      </c>
      <c r="C20" s="7">
        <f>B20/$B$10</f>
        <v/>
      </c>
    </row>
    <row r="21">
      <c r="A21" t="inlineStr">
        <is>
          <t>Borrower equity injection - James Bullard ($195,000; $100K wired 5/7/2026)</t>
        </is>
      </c>
      <c r="B21" s="4" t="n">
        <v>195000</v>
      </c>
      <c r="C21" s="7">
        <f>B21/$B$10</f>
        <v/>
      </c>
    </row>
    <row r="22">
      <c r="A22" t="inlineStr">
        <is>
          <t>Borrower equity injection - Geoff Schackmann ($55,000)</t>
        </is>
      </c>
      <c r="B22" s="4" t="n">
        <v>55000</v>
      </c>
      <c r="C22" s="7">
        <f>B22/$B$10</f>
        <v/>
      </c>
    </row>
    <row r="23">
      <c r="A23" s="5" t="inlineStr">
        <is>
          <t>TOTAL SOURCES</t>
        </is>
      </c>
      <c r="B23" s="6">
        <f>SUM(B20:B22)</f>
        <v/>
      </c>
      <c r="C23" s="7">
        <f>B23/$B$10</f>
        <v/>
      </c>
    </row>
    <row r="24">
      <c r="A24" t="inlineStr">
        <is>
          <t>Check: sources = uses (0 = tied)</t>
        </is>
      </c>
      <c r="B24" s="4">
        <f>B23-B10</f>
        <v/>
      </c>
    </row>
    <row r="26">
      <c r="A26" s="3" t="inlineStr">
        <is>
          <t>PROPOSED SBA LOAN TERMS &amp; DEBT SERVICE</t>
        </is>
      </c>
    </row>
    <row r="27">
      <c r="A27" t="inlineStr">
        <is>
          <t>Loan amount</t>
        </is>
      </c>
      <c r="B27" s="4">
        <f>B20</f>
        <v/>
      </c>
    </row>
    <row r="28">
      <c r="A28" t="inlineStr">
        <is>
          <t>Interest rate (est. Prime + spread; lender to confirm)</t>
        </is>
      </c>
      <c r="B28" s="8" t="n">
        <v>0.105</v>
      </c>
    </row>
    <row r="29">
      <c r="A29" t="inlineStr">
        <is>
          <t>Term (years)</t>
        </is>
      </c>
      <c r="B29" t="n">
        <v>10</v>
      </c>
    </row>
    <row r="30">
      <c r="A30" t="inlineStr">
        <is>
          <t>Monthly payment</t>
        </is>
      </c>
      <c r="B30" s="4">
        <f>-PMT(B28/12,B29*12,B27)</f>
        <v/>
      </c>
    </row>
    <row r="31">
      <c r="A31" t="inlineStr">
        <is>
          <t>Annual debt service</t>
        </is>
      </c>
      <c r="B31" s="4">
        <f>B30*12</f>
        <v/>
      </c>
    </row>
    <row r="33">
      <c r="A33" s="3" t="inlineStr">
        <is>
          <t>COVERAGE (EBITDA per Rev 3.00 proforma, before debt service)</t>
        </is>
      </c>
    </row>
    <row r="34">
      <c r="A34" t="inlineStr">
        <is>
          <t>Year</t>
        </is>
      </c>
      <c r="B34" s="5" t="inlineStr">
        <is>
          <t>EBITDA</t>
        </is>
      </c>
      <c r="C34" s="5" t="inlineStr">
        <is>
          <t>Debt service</t>
        </is>
      </c>
      <c r="D34" s="5" t="inlineStr">
        <is>
          <t>DSCR</t>
        </is>
      </c>
    </row>
    <row r="35">
      <c r="A35" t="inlineStr">
        <is>
          <t>Year 1</t>
        </is>
      </c>
      <c r="B35" s="4" t="n">
        <v>263000</v>
      </c>
      <c r="C35" s="4">
        <f>$B$31</f>
        <v/>
      </c>
      <c r="D35" s="9">
        <f>B35/C35</f>
        <v/>
      </c>
    </row>
    <row r="36">
      <c r="A36" t="inlineStr">
        <is>
          <t>Year 2</t>
        </is>
      </c>
      <c r="B36" s="4" t="n">
        <v>680000</v>
      </c>
      <c r="C36" s="4">
        <f>$B$31</f>
        <v/>
      </c>
      <c r="D36" s="9">
        <f>B36/C36</f>
        <v/>
      </c>
    </row>
    <row r="37">
      <c r="A37" t="inlineStr">
        <is>
          <t>Year 3</t>
        </is>
      </c>
      <c r="B37" s="4" t="n">
        <v>976000</v>
      </c>
      <c r="C37" s="4">
        <f>$B$31</f>
        <v/>
      </c>
      <c r="D37" s="9">
        <f>B37/C37</f>
        <v/>
      </c>
    </row>
    <row r="39">
      <c r="A39" t="inlineStr">
        <is>
          <t>Note: the Rev 3.00 proforma conservatively models debt service at a 36-month</t>
        </is>
      </c>
    </row>
    <row r="40">
      <c r="A40" t="inlineStr">
        <is>
          <t>amortization ($15,211/mo). Actual 7(a) terms above cut that by more than half.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WORKING CAPITAL RESERVE - COMPONENTS &amp; ANTICIPATED DRAW TIMELINE</t>
        </is>
      </c>
    </row>
    <row r="2">
      <c r="A2" s="2" t="inlineStr">
        <is>
          <t>Responds to SourceFunding note of 6/3: components + draw schedule. Borrower consents to lender-controlled disbursement tied to census milestones.</t>
        </is>
      </c>
    </row>
    <row r="3">
      <c r="A3" s="2" t="inlineStr">
        <is>
          <t>Purpose: fund operations through the Medicare payment lag (NOE-to-cash ~30-60 days) while census ramps to break-even (~17-18 patients, crossed month 2-3 per the Rev 3.00 proforma).</t>
        </is>
      </c>
    </row>
    <row r="5">
      <c r="A5" s="3" t="inlineStr">
        <is>
          <t>Component / month</t>
        </is>
      </c>
      <c r="B5" s="3" t="inlineStr">
        <is>
          <t>Aug-26</t>
        </is>
      </c>
      <c r="C5" s="3" t="inlineStr">
        <is>
          <t>Sep-26</t>
        </is>
      </c>
      <c r="D5" s="3" t="inlineStr">
        <is>
          <t>Oct-26</t>
        </is>
      </c>
      <c r="E5" s="3" t="inlineStr">
        <is>
          <t>Nov-26</t>
        </is>
      </c>
      <c r="F5" s="3" t="inlineStr">
        <is>
          <t>Dec-26</t>
        </is>
      </c>
      <c r="G5" s="3" t="inlineStr">
        <is>
          <t>Jan-27</t>
        </is>
      </c>
      <c r="H5" s="3" t="inlineStr">
        <is>
          <t>Feb-27</t>
        </is>
      </c>
      <c r="I5" s="3" t="inlineStr">
        <is>
          <t>Mar-27</t>
        </is>
      </c>
      <c r="J5" s="3" t="inlineStr">
        <is>
          <t>Apr-27</t>
        </is>
      </c>
      <c r="K5" s="3" t="inlineStr">
        <is>
          <t>May-27</t>
        </is>
      </c>
      <c r="L5" s="3" t="inlineStr">
        <is>
          <t>Jun-27</t>
        </is>
      </c>
      <c r="M5" s="3" t="inlineStr">
        <is>
          <t>Jul-27</t>
        </is>
      </c>
      <c r="N5" s="3" t="inlineStr">
        <is>
          <t>Total</t>
        </is>
      </c>
    </row>
    <row r="6">
      <c r="A6" t="inlineStr">
        <is>
          <t>Clinical payroll &amp; benefits (net of collections)</t>
        </is>
      </c>
      <c r="B6" s="4" t="n">
        <v>24000</v>
      </c>
      <c r="C6" s="4" t="n">
        <v>21000</v>
      </c>
      <c r="D6" s="4" t="n">
        <v>17000</v>
      </c>
      <c r="E6" s="4" t="n">
        <v>13000</v>
      </c>
      <c r="F6" s="4" t="n">
        <v>10000</v>
      </c>
      <c r="G6" s="4" t="n">
        <v>8000</v>
      </c>
      <c r="H6" s="4" t="n">
        <v>6000</v>
      </c>
      <c r="I6" s="4" t="n">
        <v>4000</v>
      </c>
      <c r="J6" s="4" t="n">
        <v>2000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Administrative payroll (net of collections)</t>
        </is>
      </c>
      <c r="B7" s="4" t="n">
        <v>10000</v>
      </c>
      <c r="C7" s="4" t="n">
        <v>9000</v>
      </c>
      <c r="D7" s="4" t="n">
        <v>7000</v>
      </c>
      <c r="E7" s="4" t="n">
        <v>6000</v>
      </c>
      <c r="F7" s="4" t="n">
        <v>5000</v>
      </c>
      <c r="G7" s="4" t="n">
        <v>4000</v>
      </c>
      <c r="H7" s="4" t="n">
        <v>2000</v>
      </c>
      <c r="I7" s="4" t="n">
        <v>2000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Patient care costs (pharmacy, DME, supplies)</t>
        </is>
      </c>
      <c r="B8" s="4" t="n">
        <v>6000</v>
      </c>
      <c r="C8" s="4" t="n">
        <v>5500</v>
      </c>
      <c r="D8" s="4" t="n">
        <v>5000</v>
      </c>
      <c r="E8" s="4" t="n">
        <v>4000</v>
      </c>
      <c r="F8" s="4" t="n">
        <v>3500</v>
      </c>
      <c r="G8" s="4" t="n">
        <v>2500</v>
      </c>
      <c r="H8" s="4" t="n">
        <v>2000</v>
      </c>
      <c r="I8" s="4" t="n">
        <v>1500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Rent + CAM (13387 Hwy 69 N per executed lease)</t>
        </is>
      </c>
      <c r="B9" s="4" t="n">
        <v>2143</v>
      </c>
      <c r="C9" s="4" t="n">
        <v>2143</v>
      </c>
      <c r="D9" s="4" t="n">
        <v>2143</v>
      </c>
      <c r="E9" s="4" t="n">
        <v>2143</v>
      </c>
      <c r="F9" s="4" t="n">
        <v>2143</v>
      </c>
      <c r="G9" s="4" t="n">
        <v>2143</v>
      </c>
      <c r="H9" s="4" t="n">
        <v>2143</v>
      </c>
      <c r="I9" s="4" t="n">
        <v>2149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Insurance (GL/PL, workers comp)</t>
        </is>
      </c>
      <c r="B10" s="4" t="n">
        <v>2000</v>
      </c>
      <c r="C10" s="4" t="n">
        <v>1750</v>
      </c>
      <c r="D10" s="4" t="n">
        <v>1750</v>
      </c>
      <c r="E10" s="4" t="n">
        <v>1500</v>
      </c>
      <c r="F10" s="4" t="n">
        <v>1500</v>
      </c>
      <c r="G10" s="4" t="n">
        <v>1250</v>
      </c>
      <c r="H10" s="4" t="n">
        <v>1250</v>
      </c>
      <c r="I10" s="4" t="n">
        <v>1000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t="inlineStr">
        <is>
          <t>Billing, EMR, IT &amp; communications</t>
        </is>
      </c>
      <c r="B11" s="4" t="n">
        <v>1600</v>
      </c>
      <c r="C11" s="4" t="n">
        <v>1500</v>
      </c>
      <c r="D11" s="4" t="n">
        <v>1400</v>
      </c>
      <c r="E11" s="4" t="n">
        <v>1300</v>
      </c>
      <c r="F11" s="4" t="n">
        <v>1200</v>
      </c>
      <c r="G11" s="4" t="n">
        <v>1200</v>
      </c>
      <c r="H11" s="4" t="n">
        <v>1200</v>
      </c>
      <c r="I11" s="4" t="n">
        <v>1450</v>
      </c>
      <c r="J11" s="4" t="n">
        <v>0</v>
      </c>
      <c r="K11" s="4" t="n">
        <v>0</v>
      </c>
      <c r="L11" s="4" t="n">
        <v>0</v>
      </c>
      <c r="M11" s="4" t="n">
        <v>0</v>
      </c>
      <c r="N11" s="4">
        <f>SUM(B11:M11)</f>
        <v/>
      </c>
    </row>
    <row r="12">
      <c r="A12" t="inlineStr">
        <is>
          <t>Contingency (unallocated)</t>
        </is>
      </c>
      <c r="B12" s="4" t="n">
        <v>0</v>
      </c>
      <c r="C12" s="4" t="n">
        <v>0</v>
      </c>
      <c r="D12" s="4" t="n">
        <v>2000</v>
      </c>
      <c r="E12" s="4" t="n">
        <v>2000</v>
      </c>
      <c r="F12" s="4" t="n">
        <v>2500</v>
      </c>
      <c r="G12" s="4" t="n">
        <v>2500</v>
      </c>
      <c r="H12" s="4" t="n">
        <v>2000</v>
      </c>
      <c r="I12" s="4" t="n">
        <v>2000</v>
      </c>
      <c r="J12" s="4" t="n">
        <v>1000</v>
      </c>
      <c r="K12" s="4" t="n">
        <v>1000</v>
      </c>
      <c r="L12" s="4" t="n">
        <v>0</v>
      </c>
      <c r="M12" s="4" t="n">
        <v>0</v>
      </c>
      <c r="N12" s="4">
        <f>SUM(B12:M12)</f>
        <v/>
      </c>
    </row>
    <row r="13">
      <c r="A13" s="5" t="inlineStr">
        <is>
          <t>Monthly draw</t>
        </is>
      </c>
      <c r="B13" s="6">
        <f>SUM(B6:B12)</f>
        <v/>
      </c>
      <c r="C13" s="6">
        <f>SUM(C6:C12)</f>
        <v/>
      </c>
      <c r="D13" s="6">
        <f>SUM(D6:D12)</f>
        <v/>
      </c>
      <c r="E13" s="6">
        <f>SUM(E6:E12)</f>
        <v/>
      </c>
      <c r="F13" s="6">
        <f>SUM(F6:F12)</f>
        <v/>
      </c>
      <c r="G13" s="6">
        <f>SUM(G6:G12)</f>
        <v/>
      </c>
      <c r="H13" s="6">
        <f>SUM(H6:H12)</f>
        <v/>
      </c>
      <c r="I13" s="6">
        <f>SUM(I6:I12)</f>
        <v/>
      </c>
      <c r="J13" s="6">
        <f>SUM(J6:J12)</f>
        <v/>
      </c>
      <c r="K13" s="6">
        <f>SUM(K6:K12)</f>
        <v/>
      </c>
      <c r="L13" s="6">
        <f>SUM(L6:L12)</f>
        <v/>
      </c>
      <c r="M13" s="6">
        <f>SUM(M6:M12)</f>
        <v/>
      </c>
      <c r="N13" s="6">
        <f>SUM(N6:N12)</f>
        <v/>
      </c>
    </row>
    <row r="14">
      <c r="A14" s="5" t="inlineStr">
        <is>
          <t>Cumulative draw</t>
        </is>
      </c>
      <c r="B14" s="4">
        <f>B13</f>
        <v/>
      </c>
      <c r="C14" s="4">
        <f>B14+C13</f>
        <v/>
      </c>
      <c r="D14" s="4">
        <f>C14+D13</f>
        <v/>
      </c>
      <c r="E14" s="4">
        <f>D14+E13</f>
        <v/>
      </c>
      <c r="F14" s="4">
        <f>E14+F13</f>
        <v/>
      </c>
      <c r="G14" s="4">
        <f>F14+G13</f>
        <v/>
      </c>
      <c r="H14" s="4">
        <f>G14+H13</f>
        <v/>
      </c>
      <c r="I14" s="4">
        <f>H14+I13</f>
        <v/>
      </c>
      <c r="J14" s="4">
        <f>I14+J13</f>
        <v/>
      </c>
      <c r="K14" s="4">
        <f>J14+K13</f>
        <v/>
      </c>
      <c r="L14" s="4">
        <f>K14+L13</f>
        <v/>
      </c>
      <c r="M14" s="4">
        <f>L14+M13</f>
        <v/>
      </c>
    </row>
    <row r="15">
      <c r="A15" s="5" t="inlineStr">
        <is>
          <t>Remaining reserve</t>
        </is>
      </c>
      <c r="B15" s="4">
        <f>$B$24-B14</f>
        <v/>
      </c>
      <c r="C15" s="4">
        <f>$B$24-C14</f>
        <v/>
      </c>
      <c r="D15" s="4">
        <f>$B$24-D14</f>
        <v/>
      </c>
      <c r="E15" s="4">
        <f>$B$24-E14</f>
        <v/>
      </c>
      <c r="F15" s="4">
        <f>$B$24-F14</f>
        <v/>
      </c>
      <c r="G15" s="4">
        <f>$B$24-G14</f>
        <v/>
      </c>
      <c r="H15" s="4">
        <f>$B$24-H14</f>
        <v/>
      </c>
      <c r="I15" s="4">
        <f>$B$24-I14</f>
        <v/>
      </c>
      <c r="J15" s="4">
        <f>$B$24-J14</f>
        <v/>
      </c>
      <c r="K15" s="4">
        <f>$B$24-K14</f>
        <v/>
      </c>
      <c r="L15" s="4">
        <f>$B$24-L14</f>
        <v/>
      </c>
      <c r="M15" s="4">
        <f>$B$24-M14</f>
        <v/>
      </c>
    </row>
    <row r="17">
      <c r="A17" s="5" t="inlineStr">
        <is>
          <t>Notes:</t>
        </is>
      </c>
    </row>
    <row r="18">
      <c r="A18" s="10" t="inlineStr">
        <is>
          <t>Amounts are the projected cash-flow SHORTFALL each month (operating costs less collections), not gross costs;</t>
        </is>
      </c>
    </row>
    <row r="19">
      <c r="A19" s="10" t="inlineStr">
        <is>
          <t>gross monthly operating costs and collections are in the attached Rev 3.00 proforma (36 monthly periods).</t>
        </is>
      </c>
    </row>
    <row r="20">
      <c r="A20" s="10" t="inlineStr">
        <is>
          <t>Draws taper to zero by month 9-10 as Medicare collections catch and pass payroll; reserve is a bridge, not a cushion.</t>
        </is>
      </c>
    </row>
    <row r="21">
      <c r="A21" s="10" t="inlineStr">
        <is>
          <t>Prior structure carried a $672,000 reserve; the current structure needs $235,000 because the acquisition is</t>
        </is>
      </c>
    </row>
    <row r="22">
      <c r="A22" s="10" t="inlineStr">
        <is>
          <t>seller-financed to September (SBA takeout), the license is billing-ready day one, and equity covers the down payment.</t>
        </is>
      </c>
    </row>
    <row r="24">
      <c r="A24" s="3" t="inlineStr">
        <is>
          <t>WORKING CAPITAL RESERVE TOTAL</t>
        </is>
      </c>
      <c r="B24" s="6">
        <f>N13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SELLER NOTE &amp; SBA TAKEOUT TIMELINE (per MIPA dated 7/14/2026)</t>
        </is>
      </c>
    </row>
    <row r="2">
      <c r="A2" s="2" t="inlineStr">
        <is>
          <t>Refuge Hospice, LLC | $500,000 price | prepayable without penalty | payments to DHJR, LP as sellers' agent</t>
        </is>
      </c>
    </row>
    <row r="4">
      <c r="A4" s="3" t="inlineStr">
        <is>
          <t>Event</t>
        </is>
      </c>
      <c r="B4" s="3" t="inlineStr">
        <is>
          <t>Date</t>
        </is>
      </c>
      <c r="C4" s="3" t="inlineStr">
        <is>
          <t>Payment</t>
        </is>
      </c>
      <c r="D4" s="3" t="inlineStr">
        <is>
          <t>Note balance after</t>
        </is>
      </c>
      <c r="E4" s="3" t="inlineStr">
        <is>
          <t>Funded by</t>
        </is>
      </c>
    </row>
    <row r="5">
      <c r="A5" t="inlineStr">
        <is>
          <t>Down payment (49% interest transfers)</t>
        </is>
      </c>
      <c r="B5" t="inlineStr">
        <is>
          <t>~8/1/2026</t>
        </is>
      </c>
      <c r="C5" s="4" t="n">
        <v>125000</v>
      </c>
      <c r="D5" s="4">
        <f>500000-C5</f>
        <v/>
      </c>
      <c r="E5" t="inlineStr">
        <is>
          <t>Equity injection</t>
        </is>
      </c>
    </row>
    <row r="6">
      <c r="A6" t="inlineStr">
        <is>
          <t>SBA 7(a) funds - full note takeout (principal)</t>
        </is>
      </c>
      <c r="B6" t="inlineStr">
        <is>
          <t>Sept 2026</t>
        </is>
      </c>
      <c r="C6" s="4">
        <f>D5</f>
        <v/>
      </c>
      <c r="D6" s="4">
        <f>D5-C6</f>
        <v/>
      </c>
      <c r="E6" t="inlineStr">
        <is>
          <t>SBA loan proceeds</t>
        </is>
      </c>
    </row>
    <row r="7">
      <c r="A7" t="inlineStr">
        <is>
          <t>Accrued interest at takeout (est. 1 month at 6%)</t>
        </is>
      </c>
      <c r="B7" t="inlineStr">
        <is>
          <t>Sept 2026</t>
        </is>
      </c>
      <c r="C7" s="4">
        <f>ROUND(D5*0.06/12,0)</f>
        <v/>
      </c>
      <c r="D7" s="4" t="n">
        <v>0</v>
      </c>
      <c r="E7" t="inlineStr">
        <is>
          <t>SBA loan proceeds</t>
        </is>
      </c>
    </row>
    <row r="9">
      <c r="A9" t="inlineStr">
        <is>
          <t>Remaining 51% of membership interests transfer 1/15/2027 - the first date past 36 months from the</t>
        </is>
      </c>
    </row>
    <row r="10">
      <c r="A10" t="inlineStr">
        <is>
          <t>company's CMS certification effective date (1/8/2024), as required by 42 CFR 424.550(b).</t>
        </is>
      </c>
    </row>
    <row r="12">
      <c r="A12" s="5" t="inlineStr">
        <is>
          <t>If SBA funding is later than September (contract fallback per MIPA):</t>
        </is>
      </c>
    </row>
    <row r="13">
      <c r="A13" t="inlineStr">
        <is>
          <t>Monthly installment (from 9/1/2026)</t>
        </is>
      </c>
      <c r="B13" s="4" t="n">
        <v>31250</v>
      </c>
    </row>
    <row r="14">
      <c r="A14" t="inlineStr">
        <is>
          <t>Final payment 1/15/2027 (per MIPA amortization)</t>
        </is>
      </c>
      <c r="B14" s="11" t="n">
        <v>258489.46</v>
      </c>
    </row>
    <row r="15">
      <c r="A15" t="inlineStr">
        <is>
          <t>The note is prepayable at any time without penalty, so SBA takeout can occur any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2026-07-16T19:08:03Z</dcterms:created>
  <dcterms:modified xmlns:dcterms="http://purl.org/dc/terms/" xmlns:xsi="http://www.w3.org/2001/XMLSchema-instance" xsi:type="dcterms:W3CDTF">2026-07-16T19:08:03Z</dcterms:modified>
</cp:coreProperties>
</file>