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Returns" sheetId="2" state="visible" r:id="rId2"/>
    <sheet name="Investment Options" sheetId="3" state="visible" r:id="rId3"/>
    <sheet name="Unit Economics" sheetId="4" state="visible" r:id="rId4"/>
    <sheet name="Sensitivity" sheetId="5" state="visible" r:id="rId5"/>
    <sheet name="Revenue Model" sheetId="6" state="visible" r:id="rId6"/>
    <sheet name="Staffing &amp; Payroll" sheetId="7" state="visible" r:id="rId7"/>
    <sheet name="Operating Budget" sheetId="8" state="visible" r:id="rId8"/>
    <sheet name="Detailed P&amp;L" sheetId="9" state="visible" r:id="rId9"/>
    <sheet name="Debt Schedule" sheetId="10" state="visible" r:id="rId10"/>
    <sheet name="Cash Flow &amp; BS" sheetId="11" state="visible" r:id="rId11"/>
    <sheet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Inputs!$B$58</definedName>
    <definedName name="aide_caseload">Inputs!$B$59</definedName>
    <definedName name="visits_rn_day">Inputs!$B$60</definedName>
    <definedName name="visits_aide_day">Inputs!$B$61</definedName>
    <definedName name="merit">Inputs!$B$62</definedName>
    <definedName name="benefits_load">Inputs!$B$65</definedName>
    <definedName name="health_pm">Inputs!$B$66</definedName>
    <definedName name="med_director">Inputs!$B$69</definedName>
    <definedName name="supplies_pd">Inputs!$B$72</definedName>
    <definedName name="dme_pd">Inputs!$B$73</definedName>
    <definedName name="pharmacy_pd">Inputs!$B$74</definedName>
    <definedName name="ga_utilities">Inputs!$B$77</definedName>
    <definedName name="ga_internet">Inputs!$B$78</definedName>
    <definedName name="ga_telephone">Inputs!$B$79</definedName>
    <definedName name="ga_bvtm">Inputs!$B$80</definedName>
    <definedName name="ga_billing">Inputs!$B$81</definedName>
    <definedName name="ga_emr">Inputs!$B$82</definedName>
    <definedName name="ga_pcr">Inputs!$B$83</definedName>
    <definedName name="ga_cc">Inputs!$B$84</definedName>
    <definedName name="ga_liability">Inputs!$B$85</definedName>
    <definedName name="ga_training">Inputs!$B$86</definedName>
    <definedName name="ga_other">Inputs!$B$87</definedName>
    <definedName name="ga_bankfees">Inputs!$B$88</definedName>
    <definedName name="ga_rent">Inputs!$B$89</definedName>
    <definedName name="ga_marketing">Inputs!$B$90</definedName>
    <definedName name="qr_fee_pct">Inputs!$B$93</definedName>
    <definedName name="sba_principal">Inputs!$B$96</definedName>
    <definedName name="sba_rate">Inputs!$B$97</definedName>
    <definedName name="sba_term_mo">Inputs!$B$98</definedName>
    <definedName name="equity">Inputs!$B$99</definedName>
    <definedName name="loc_limit">Inputs!$B$100</definedName>
    <definedName name="loc_rate">Inputs!$B$101</definedName>
    <definedName name="min_cash">Inputs!$B$102</definedName>
    <definedName name="capex">Inputs!$B$103</definedName>
    <definedName name="deprec_yrs">Inputs!$B$104</definedName>
    <definedName name="tx_tax">Inputs!$B$105</definedName>
    <definedName name="license_cost">Inputs!$B$106</definedName>
    <definedName name="license_rate">Inputs!$B$107</definedName>
    <definedName name="license_term">Inputs!$B$108</definedName>
    <definedName name="license_amort_yrs">Inputs!$B$109</definedName>
    <definedName name="su_enroll">Inputs!$B$112</definedName>
    <definedName name="su_license">Inputs!$B$113</definedName>
    <definedName name="su_emr">Inputs!$B$114</definedName>
    <definedName name="su_supplies">Inputs!$B$115</definedName>
    <definedName name="su_legal">Inputs!$B$116</definedName>
    <definedName name="su_conting">Inputs!$B$117</definedName>
    <definedName name="ar_days">Inputs!$B$120</definedName>
    <definedName name="ap_days">Inputs!$B$121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72" fontId="5" fillId="4" borderId="1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167" fontId="6" fillId="5" borderId="0" applyAlignment="1" pivotButton="0" quotePrefix="0" xfId="0">
      <alignment horizontal="right" vertical="center"/>
    </xf>
    <xf numFmtId="165" fontId="6" fillId="8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170" fontId="6" fillId="6" borderId="0" applyAlignment="1" pivotButton="0" quotePrefix="0" xfId="0">
      <alignment horizontal="right" vertical="center"/>
    </xf>
    <xf numFmtId="169" fontId="6" fillId="8" borderId="0" applyAlignment="1" pivotButton="0" quotePrefix="0" xfId="0">
      <alignment horizontal="right" vertical="center"/>
    </xf>
    <xf numFmtId="0" fontId="9" fillId="0" borderId="0" pivotButton="0" quotePrefix="0" xfId="0"/>
    <xf numFmtId="164" fontId="5" fillId="4" borderId="1" applyAlignment="1" pivotButton="0" quotePrefix="0" xfId="0">
      <alignment horizontal="center" vertical="center" wrapText="1"/>
    </xf>
    <xf numFmtId="169" fontId="5" fillId="4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2–3%/yr. Applied to gross rates in Y2 (×1.025) and Y3 (×1.025²).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PRN run-rate ($/yr). Source: Paloma payrolls.</t>
      </text>
    </comment>
    <comment ref="C51" authorId="0" shapeId="0">
      <text>
        <t>Visits per patient per month.</t>
      </text>
    </comment>
    <comment ref="D51" authorId="0" shapeId="0">
      <text>
        <t>Per-visit pay rate. Source: Paloma payrolls.</t>
      </text>
    </comment>
    <comment ref="C52" authorId="0" shapeId="0">
      <text>
        <t>Visits per patient per month.</t>
      </text>
    </comment>
    <comment ref="D52" authorId="0" shapeId="0">
      <text>
        <t>Per-visit pay rate. Source: Paloma payrolls.</t>
      </text>
    </comment>
    <comment ref="C53" authorId="0" shapeId="0">
      <text>
        <t>Visits per patient per month.</t>
      </text>
    </comment>
    <comment ref="D53" authorId="0" shapeId="0">
      <text>
        <t>Per-visit pay rate. Source: Paloma payrolls.</t>
      </text>
    </comment>
    <comment ref="C54" authorId="0" shapeId="0">
      <text>
        <t>Visits per patient per month.</t>
      </text>
    </comment>
    <comment ref="D54" authorId="0" shapeId="0">
      <text>
        <t>Per-visit pay rate. Source: Paloma payrolls.</t>
      </text>
    </comment>
    <comment ref="C55" authorId="0" shapeId="0">
      <text>
        <t>Visits per patient per month.</t>
      </text>
    </comment>
    <comment ref="D55" authorId="0" shapeId="0">
      <text>
        <t>Per-visit pay rate. Source: Paloma payrolls.</t>
      </text>
    </comment>
    <comment ref="B58" authorId="0" shapeId="0">
      <text>
        <t>Productivity benchmark for capacity planning.</t>
      </text>
    </comment>
    <comment ref="B59" authorId="0" shapeId="0">
      <text>
        <t>Productivity benchmark for capacity planning.</t>
      </text>
    </comment>
    <comment ref="B60" authorId="0" shapeId="0">
      <text>
        <t>Ops KPI.</t>
      </text>
    </comment>
    <comment ref="B61" authorId="0" shapeId="0">
      <text>
        <t>Ops KPI.</t>
      </text>
    </comment>
    <comment ref="B62" authorId="0" shapeId="0">
      <text>
        <t>Applied to salaried wages from Y2.</t>
      </text>
    </comment>
    <comment ref="B65" authorId="0" shapeId="0">
      <text>
        <t>Blended employer burden (FICA 7.65% + FUTA/SUTA + WC + other). Source: Paloma payrolls Apr-May 2025.</t>
      </text>
    </comment>
    <comment ref="B66" authorId="0" shapeId="0">
      <text>
        <t>Per full-time W-2 employee. FLAG / CONFIRM: go-forward assumption, not in Paloma actuals.</t>
      </text>
    </comment>
    <comment ref="B69" authorId="0" shapeId="0">
      <text>
        <t>1099 contract, flat, NO benefits. Paloma actual ran $1,000/mo; spec models $4,000/mo go-forward. FLAG / CONFIRM: go-forward assumption, not in Paloma actuals.</t>
      </text>
    </comment>
    <comment ref="B72" authorId="0" shapeId="0">
      <text>
        <t>Source: Paloma P&amp;L 2025 (Tyler_PL_2025.xlsx).</t>
      </text>
    </comment>
    <comment ref="B73" authorId="0" shapeId="0">
      <text>
        <t>Source: Paloma P&amp;L 2025 (Tyler_PL_2025.xlsx).</t>
      </text>
    </comment>
    <comment ref="B74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78" authorId="0" shapeId="0">
      <text>
        <t>Source: Paloma P&amp;L 2025 (Tyler_PL_2025.xlsx).</t>
      </text>
    </comment>
    <comment ref="B79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Source: Paloma P&amp;L 2025 (Tyler_PL_2025.xlsx).</t>
      </text>
    </comment>
    <comment ref="B85" authorId="0" shapeId="0">
      <text>
        <t>Source: Paloma P&amp;L 2025 (Tyler_PL_2025.xlsx).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89" authorId="0" shapeId="0">
      <text>
        <t>Paloma actual was $0 (embedded/rent-free). Azalea needs its own lease. FLAG / CONFIRM: go-forward assumption, not in Paloma actuals.</t>
      </text>
    </comment>
    <comment ref="B90" authorId="0" shapeId="0">
      <text>
        <t>Paloma actual was $0. FLAG / CONFIRM: go-forward assumption, not in Paloma actuals.</t>
      </text>
    </comment>
    <comment ref="B93" authorId="0" shapeId="0">
      <text>
        <t>Source: Paloma P&amp;L 2025 (Tyler_PL_2025.xlsx).</t>
      </text>
    </comment>
    <comment ref="B96" authorId="0" shapeId="0">
      <text>
        <t>Sized to fund ramp-period operating need + startup costs. FLAG / CONFIRM: go-forward assumption, not in Paloma actuals.</t>
      </text>
    </comment>
    <comment ref="B97" authorId="0" shapeId="0">
      <text>
        <t>FLAG / CONFIRM: go-forward assumption, not in Paloma actuals.</t>
      </text>
    </comment>
    <comment ref="B98" authorId="0" shapeId="0">
      <text>
        <t>10-year amortization. FLAG / CONFIRM: go-forward assumption, not in Paloma actuals.</t>
      </text>
    </comment>
    <comment ref="B99" authorId="0" shapeId="0">
      <text>
        <t>FLAG / CONFIRM: go-forward assumption, not in Paloma actuals.</t>
      </text>
    </comment>
    <comment ref="B100" authorId="0" shapeId="0">
      <text>
        <t>FLAG / CONFIRM: go-forward assumption, not in Paloma actuals.</t>
      </text>
    </comment>
    <comment ref="B101" authorId="0" shapeId="0">
      <text>
        <t>FLAG / CONFIRM: go-forward assumption, not in Paloma actuals.</t>
      </text>
    </comment>
    <comment ref="B102" authorId="0" shapeId="0">
      <text>
        <t>Operating cash buffer; LOC draws to hold this floor. FLAG / CONFIRM: go-forward assumption, not in Paloma actuals.</t>
      </text>
    </comment>
    <comment ref="B103" authorId="0" shapeId="0">
      <text>
        <t>Computers, office furniture; depreciated straight-line. FLAG / CONFIRM: go-forward assumption, not in Paloma actuals.</t>
      </text>
    </comment>
    <comment ref="B104" authorId="0" shapeId="0">
      <text>
        <t>FLAG / CONFIRM: go-forward assumption, not in Paloma actuals.</t>
      </text>
    </comment>
    <comment ref="B105" authorId="0" shapeId="0">
      <text>
        <t>Applied to revenue when pre-tax income positive.</t>
      </text>
    </comment>
    <comment ref="B106" authorId="0" shapeId="0">
      <text>
        <t>CHOW: acquire Hickory Hospice's existing Medicare-certified provider number (San Antonio + Tyler alternative-delivery site). Eliminates 855A enrollment gap — Azalea bills from day 1.</t>
      </text>
    </comment>
    <comment ref="B107" authorId="0" shapeId="0">
      <text>
        <t>Seller financing on the license acquisition.</t>
      </text>
    </comment>
    <comment ref="B108" authorId="0" shapeId="0">
      <text>
        <t>Monthly P+I amortization.</t>
      </text>
    </comment>
    <comment ref="B109" authorId="0" shapeId="0">
      <text>
        <t>GAAP intangible amortization — non-cash, below EBITDA. No effect on DSCR.</t>
      </text>
    </comment>
    <comment ref="B112" authorId="0" shapeId="0">
      <text>
        <t>Preserves Hickory's existing Medicare number; no fresh enrollment delay.</t>
      </text>
    </comment>
    <comment ref="B113" authorId="0" shapeId="0">
      <text>
        <t>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FLAG / CONFIRM: go-forward assumption, not in Paloma actuals.</t>
      </text>
    </comment>
    <comment ref="B117" authorId="0" shapeId="0">
      <text>
        <t>FLAG / CONFIRM: go-forward assumption, not in Paloma actuals.</t>
      </text>
    </comment>
    <comment ref="B120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21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5" authorId="0" shapeId="0">
      <text>
        <t>Exit enterprise value = multiple × Year-3 EBITDA.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B5" authorId="0" shapeId="0">
      <text>
        <t>Per-investor check size. Tiers $25K / $50K / $100K are common.</t>
      </text>
    </comment>
    <comment ref="B6" authorId="0" shapeId="0">
      <text>
        <t>Years to maturity / exit (model assumes redemption/exit at end).</t>
      </text>
    </comment>
    <comment ref="B7" authorId="0" shapeId="0">
      <text>
        <t>Drives convertible and preferred equity exit value.</t>
      </text>
    </comment>
    <comment ref="B15" authorId="0" shapeId="0">
      <text>
        <t>Senior subordinated debt: 9–12% typical given subordination to SBA.</t>
      </text>
    </comment>
    <comment ref="D15" authorId="0" shapeId="0">
      <text>
        <t>Convertible coupon (lower than straight debt; equity upside compensates).</t>
      </text>
    </comment>
    <comment ref="F15" authorId="0" shapeId="0">
      <text>
        <t>Preferred dividend rate, cumulative.</t>
      </text>
    </comment>
    <comment ref="B16" authorId="0" shapeId="0">
      <text>
        <t>Years; monthly P+I amortization in this model.</t>
      </text>
    </comment>
    <comment ref="D16" authorId="0" shapeId="0">
      <text>
        <t>Years to maturity / conversion trigger.</t>
      </text>
    </comment>
    <comment ref="F16" authorId="0" shapeId="0">
      <text>
        <t>Years to redemption / exit.</t>
      </text>
    </comment>
    <comment ref="D18" authorId="0" shapeId="0">
      <text>
        <t>Discount applied at conversion vs. exit/round price.</t>
      </text>
    </comment>
    <comment ref="D19" authorId="0" shapeId="0">
      <text>
        <t>Implied pre-money cap; conversion uses MIN(cap, exit_val × (1−discount)).</t>
      </text>
    </comment>
    <comment ref="F20" authorId="0" shapeId="0">
      <text>
        <t>1 = participating (1× back, then pro-rata). 0 = non-participating (greater of preference or as-converted).</t>
      </text>
    </comment>
  </commentList>
</comments>
</file>

<file path=xl/comments/comment4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26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CHOW relaunch of Hickory Hospice (San Antonio + Tyler alternative-delivery) · blue = input · black = formula · green = cross-sheet link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 CENSUS —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—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22.9</v>
      </c>
      <c r="G31" s="16" t="n">
        <v>23.8</v>
      </c>
      <c r="H31" s="16" t="n">
        <v>24.6</v>
      </c>
      <c r="I31" s="16" t="n">
        <v>25.5</v>
      </c>
      <c r="J31" s="16" t="n">
        <v>26.4</v>
      </c>
      <c r="K31" s="16" t="n">
        <v>27.3</v>
      </c>
      <c r="L31" s="16" t="n">
        <v>28.1</v>
      </c>
      <c r="M31" s="16" t="n">
        <v>29</v>
      </c>
      <c r="N31" s="16" t="n">
        <v>29.9</v>
      </c>
      <c r="O31" s="16" t="n">
        <v>31.6</v>
      </c>
      <c r="P31" s="16" t="n">
        <v>34.3</v>
      </c>
      <c r="Q31" s="16" t="n">
        <v>36.9</v>
      </c>
      <c r="R31" s="16" t="n">
        <v>39.5</v>
      </c>
      <c r="S31" s="16" t="n">
        <v>42.1</v>
      </c>
      <c r="T31" s="16" t="n">
        <v>44.8</v>
      </c>
      <c r="U31" s="16" t="n">
        <v>47.4</v>
      </c>
      <c r="V31" s="16" t="n">
        <v>50</v>
      </c>
    </row>
    <row r="32">
      <c r="A32" s="4" t="inlineStr">
        <is>
          <t>ADC path —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Capacity hire — 2nd CNA</t>
        </is>
      </c>
      <c r="B43" s="20" t="inlineStr">
        <is>
          <t>CNA / Hospice Aide (capacity-driven, triggers ADC≥25)</t>
        </is>
      </c>
      <c r="C43" s="9" t="n">
        <v>46511</v>
      </c>
      <c r="D43" s="17" t="n">
        <v>7</v>
      </c>
      <c r="E43" s="20" t="inlineStr">
        <is>
          <t>Direct (COGS)</t>
        </is>
      </c>
      <c r="F43" s="20" t="inlineStr">
        <is>
          <t>Filled</t>
        </is>
      </c>
    </row>
    <row r="44">
      <c r="A44" s="4" t="inlineStr">
        <is>
          <t>Capacity hire — 3rd RN</t>
        </is>
      </c>
      <c r="B44" s="20" t="inlineStr">
        <is>
          <t>RN Case Manager (capacity-driven, triggers ADC≥32)</t>
        </is>
      </c>
      <c r="C44" s="9" t="n">
        <v>76256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Capacity hire — 3rd CNA</t>
        </is>
      </c>
      <c r="B45" s="20" t="inlineStr">
        <is>
          <t>CNA / Hospice Aide (capacity-driven, triggers ADC≥38)</t>
        </is>
      </c>
      <c r="C45" s="9" t="n">
        <v>46511</v>
      </c>
      <c r="D45" s="17" t="n">
        <v>22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Capacity hire — 4th RN</t>
        </is>
      </c>
      <c r="B46" s="20" t="inlineStr">
        <is>
          <t>RN Case Manager (capacity-driven, triggers ADC≥45)</t>
        </is>
      </c>
      <c r="C46" s="9" t="n">
        <v>76256</v>
      </c>
      <c r="D46" s="17" t="n">
        <v>31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Rhonda Smith — Office Mgr (PRN, W-2)</t>
        </is>
      </c>
      <c r="B47" s="20" t="inlineStr">
        <is>
          <t>Per-visit / part-time office support</t>
        </is>
      </c>
      <c r="C47" s="9" t="n">
        <v>34000</v>
      </c>
    </row>
    <row r="49">
      <c r="A49" s="3" t="inlineStr">
        <is>
          <t>D2.  PRN / PER-VISIT ROSTER (census-driven)</t>
        </is>
      </c>
    </row>
    <row r="50">
      <c r="A50" s="19" t="inlineStr">
        <is>
          <t>Role</t>
        </is>
      </c>
      <c r="B50" s="19" t="inlineStr"/>
      <c r="C50" s="19" t="inlineStr">
        <is>
          <t>Visits / pt / mo</t>
        </is>
      </c>
      <c r="D50" s="19" t="inlineStr">
        <is>
          <t>Rate / visit</t>
        </is>
      </c>
    </row>
    <row r="51">
      <c r="A51" s="4" t="inlineStr">
        <is>
          <t>PRN On-Call LVN (Kendricks-Tuck, Foster)</t>
        </is>
      </c>
      <c r="C51" s="16" t="n">
        <v>0.6</v>
      </c>
      <c r="D51" s="9" t="n">
        <v>100</v>
      </c>
    </row>
    <row r="52">
      <c r="A52" s="4" t="inlineStr">
        <is>
          <t>PRN Chaplain (Ector, Johnson)</t>
        </is>
      </c>
      <c r="C52" s="16" t="n">
        <v>0.75</v>
      </c>
      <c r="D52" s="9" t="n">
        <v>75</v>
      </c>
    </row>
    <row r="53">
      <c r="A53" s="4" t="inlineStr">
        <is>
          <t>PRN Social Worker (Sanders)</t>
        </is>
      </c>
      <c r="C53" s="16" t="n">
        <v>1</v>
      </c>
      <c r="D53" s="9" t="n">
        <v>75</v>
      </c>
    </row>
    <row r="54">
      <c r="A54" s="4" t="inlineStr">
        <is>
          <t>PRN Nurse Practitioner (Rogers)</t>
        </is>
      </c>
      <c r="C54" s="16" t="n">
        <v>0.15</v>
      </c>
      <c r="D54" s="9" t="n">
        <v>200</v>
      </c>
    </row>
    <row r="55">
      <c r="A55" s="4" t="inlineStr">
        <is>
          <t>PRN CNA / per-visit (Henson, Mills)</t>
        </is>
      </c>
      <c r="C55" s="16" t="n">
        <v>0.5</v>
      </c>
      <c r="D55" s="9" t="n">
        <v>21</v>
      </c>
    </row>
    <row r="57">
      <c r="A57" s="3" t="inlineStr">
        <is>
          <t>E.  STAFFING RATIOS (Y2-Y3 capacity reference)</t>
        </is>
      </c>
    </row>
    <row r="58">
      <c r="A58" s="4" t="inlineStr">
        <is>
          <t>RN case-manager caseload (1 : N ADC)</t>
        </is>
      </c>
      <c r="B58" s="17" t="n">
        <v>15</v>
      </c>
    </row>
    <row r="59">
      <c r="A59" s="4" t="inlineStr">
        <is>
          <t>CNA / aide caseload (1 : N ADC)</t>
        </is>
      </c>
      <c r="B59" s="17" t="n">
        <v>12</v>
      </c>
    </row>
    <row r="60">
      <c r="A60" s="4" t="inlineStr">
        <is>
          <t>Target visits / RN / day</t>
        </is>
      </c>
      <c r="B60" s="16" t="n">
        <v>5.5</v>
      </c>
    </row>
    <row r="61">
      <c r="A61" s="4" t="inlineStr">
        <is>
          <t>Target visits / aide / day</t>
        </is>
      </c>
      <c r="B61" s="16" t="n">
        <v>6</v>
      </c>
    </row>
    <row r="62">
      <c r="A62" s="4" t="inlineStr">
        <is>
          <t>Annual merit / COL increase (Y2, Y3)</t>
        </is>
      </c>
      <c r="B62" s="7" t="n">
        <v>0.03</v>
      </c>
    </row>
    <row r="64">
      <c r="A64" s="3" t="inlineStr">
        <is>
          <t>F.  BENEFITS &amp; EMPLOYER BURDEN</t>
        </is>
      </c>
    </row>
    <row r="65">
      <c r="A65" s="4" t="inlineStr">
        <is>
          <t>Benefits load on W-2 wages</t>
        </is>
      </c>
      <c r="B65" s="7" t="n">
        <v>0.1827</v>
      </c>
    </row>
    <row r="66">
      <c r="A66" s="4" t="inlineStr">
        <is>
          <t>Health insurance ($/FT employee/mo)</t>
        </is>
      </c>
      <c r="B66" s="9" t="n">
        <v>550</v>
      </c>
    </row>
    <row r="68">
      <c r="A68" s="3" t="inlineStr">
        <is>
          <t>F2.  MEDICAL DIRECTOR (1099 — no benefits)</t>
        </is>
      </c>
    </row>
    <row r="69">
      <c r="A69" s="4" t="inlineStr">
        <is>
          <t>Medical Director (1099, $/mo)</t>
        </is>
      </c>
      <c r="B69" s="9" t="n">
        <v>4000</v>
      </c>
    </row>
    <row r="71">
      <c r="A71" s="3" t="inlineStr">
        <is>
          <t>G.  PATIENT-RELATED COGS (per patient-day, trued to actuals)</t>
        </is>
      </c>
    </row>
    <row r="72">
      <c r="A72" s="4" t="inlineStr">
        <is>
          <t>Medical supplies ($/patient-day)</t>
        </is>
      </c>
      <c r="B72" s="22" t="n">
        <v>3.99</v>
      </c>
    </row>
    <row r="73">
      <c r="A73" s="4" t="inlineStr">
        <is>
          <t>DME ($/patient-day)</t>
        </is>
      </c>
      <c r="B73" s="22" t="n">
        <v>1.77</v>
      </c>
    </row>
    <row r="74">
      <c r="A74" s="4" t="inlineStr">
        <is>
          <t>Pharmacy ($/patient-day)</t>
        </is>
      </c>
      <c r="B74" s="22" t="n">
        <v>3.23</v>
      </c>
    </row>
    <row r="76">
      <c r="A76" s="3" t="inlineStr">
        <is>
          <t>G2.  FIXED MONTHLY G&amp;A (trued to actuals)</t>
        </is>
      </c>
    </row>
    <row r="77">
      <c r="A77" s="4" t="inlineStr">
        <is>
          <t>Utilities</t>
        </is>
      </c>
      <c r="B77" s="9" t="n">
        <v>293</v>
      </c>
    </row>
    <row r="78">
      <c r="A78" s="4" t="inlineStr">
        <is>
          <t>Internet</t>
        </is>
      </c>
      <c r="B78" s="9" t="n">
        <v>779</v>
      </c>
    </row>
    <row r="79">
      <c r="A79" s="4" t="inlineStr">
        <is>
          <t>Telephone / fax</t>
        </is>
      </c>
      <c r="B79" s="9" t="n">
        <v>403</v>
      </c>
    </row>
    <row r="80">
      <c r="A80" s="4" t="inlineStr">
        <is>
          <t>After-hours messaging (BVTM)</t>
        </is>
      </c>
      <c r="B80" s="9" t="n">
        <v>48</v>
      </c>
    </row>
    <row r="81">
      <c r="A81" s="4" t="inlineStr">
        <is>
          <t>BCBP billing fee</t>
        </is>
      </c>
      <c r="B81" s="9" t="n">
        <v>1550</v>
      </c>
    </row>
    <row r="82">
      <c r="A82" s="4" t="inlineStr">
        <is>
          <t>EMR system</t>
        </is>
      </c>
      <c r="B82" s="9" t="n">
        <v>1281</v>
      </c>
    </row>
    <row r="83">
      <c r="A83" s="4" t="inlineStr">
        <is>
          <t>PCR (CPM)</t>
        </is>
      </c>
      <c r="B83" s="9" t="n">
        <v>1001</v>
      </c>
    </row>
    <row r="84">
      <c r="A84" s="4" t="inlineStr">
        <is>
          <t>Credit-card fees</t>
        </is>
      </c>
      <c r="B84" s="9" t="n">
        <v>1004</v>
      </c>
    </row>
    <row r="85">
      <c r="A85" s="4" t="inlineStr">
        <is>
          <t>Liability / D&amp;O insurance</t>
        </is>
      </c>
      <c r="B85" s="9" t="n">
        <v>250</v>
      </c>
    </row>
    <row r="86">
      <c r="A86" s="4" t="inlineStr">
        <is>
          <t>Training / CEUs</t>
        </is>
      </c>
      <c r="B86" s="9" t="n">
        <v>100</v>
      </c>
    </row>
    <row r="87">
      <c r="A87" s="4" t="inlineStr">
        <is>
          <t>Other (client)</t>
        </is>
      </c>
      <c r="B87" s="9" t="n">
        <v>1050</v>
      </c>
    </row>
    <row r="88">
      <c r="A88" s="4" t="inlineStr">
        <is>
          <t>Bank / payroll fees</t>
        </is>
      </c>
      <c r="B88" s="9" t="n">
        <v>1750</v>
      </c>
    </row>
    <row r="89">
      <c r="A89" s="4" t="inlineStr">
        <is>
          <t>Facility rent</t>
        </is>
      </c>
      <c r="B89" s="9" t="n">
        <v>3000</v>
      </c>
    </row>
    <row r="90">
      <c r="A90" s="4" t="inlineStr">
        <is>
          <t>Marketing / patient acquisition</t>
        </is>
      </c>
      <c r="B90" s="9" t="n">
        <v>3000</v>
      </c>
    </row>
    <row r="92">
      <c r="A92" s="3" t="inlineStr">
        <is>
          <t>G3.  VARIABLE G&amp;A</t>
        </is>
      </c>
    </row>
    <row r="93">
      <c r="A93" s="4" t="inlineStr">
        <is>
          <t>QR payment fee (% of gross)</t>
        </is>
      </c>
      <c r="B93" s="8" t="n">
        <v>0.0075</v>
      </c>
    </row>
    <row r="95">
      <c r="A95" s="3" t="inlineStr">
        <is>
          <t>H.  CAPITAL STRUCTURE (startup — NO acquisition)</t>
        </is>
      </c>
    </row>
    <row r="96">
      <c r="A96" s="4" t="inlineStr">
        <is>
          <t>SBA 7(a) loan principal ($)</t>
        </is>
      </c>
      <c r="B96" s="9" t="n">
        <v>500000</v>
      </c>
    </row>
    <row r="97">
      <c r="A97" s="4" t="inlineStr">
        <is>
          <t>SBA interest rate (APR)</t>
        </is>
      </c>
      <c r="B97" s="7" t="n">
        <v>0.115</v>
      </c>
    </row>
    <row r="98">
      <c r="A98" s="4" t="inlineStr">
        <is>
          <t>SBA term (months)</t>
        </is>
      </c>
      <c r="B98" s="17" t="n">
        <v>120</v>
      </c>
    </row>
    <row r="99">
      <c r="A99" s="4" t="inlineStr">
        <is>
          <t>Owner equity injection ($)</t>
        </is>
      </c>
      <c r="B99" s="9" t="n">
        <v>250000</v>
      </c>
    </row>
    <row r="100">
      <c r="A100" s="4" t="inlineStr">
        <is>
          <t>Working-capital line limit ($)</t>
        </is>
      </c>
      <c r="B100" s="9" t="n">
        <v>100000</v>
      </c>
    </row>
    <row r="101">
      <c r="A101" s="4" t="inlineStr">
        <is>
          <t>Working-capital line rate (APR)</t>
        </is>
      </c>
      <c r="B101" s="7" t="n">
        <v>0.105</v>
      </c>
    </row>
    <row r="102">
      <c r="A102" s="4" t="inlineStr">
        <is>
          <t>Minimum cash floor ($)</t>
        </is>
      </c>
      <c r="B102" s="9" t="n">
        <v>25000</v>
      </c>
    </row>
    <row r="103">
      <c r="A103" s="4" t="inlineStr">
        <is>
          <t>Startup capex - equipment ($)</t>
        </is>
      </c>
      <c r="B103" s="9" t="n">
        <v>15000</v>
      </c>
    </row>
    <row r="104">
      <c r="A104" s="4" t="inlineStr">
        <is>
          <t>Depreciation / amortization life (yrs)</t>
        </is>
      </c>
      <c r="B104" s="17" t="n">
        <v>5</v>
      </c>
    </row>
    <row r="105">
      <c r="A105" s="4" t="inlineStr">
        <is>
          <t>TX franchise/margin tax (eff.)</t>
        </is>
      </c>
      <c r="B105" s="8" t="n">
        <v>0.00375</v>
      </c>
    </row>
    <row r="106">
      <c r="A106" s="4" t="inlineStr">
        <is>
          <t>Hickory Medicare license — acquisition cost ($)</t>
        </is>
      </c>
      <c r="B106" s="9" t="n">
        <v>300000</v>
      </c>
    </row>
    <row r="107">
      <c r="A107" s="4" t="inlineStr">
        <is>
          <t>License note interest rate (APR)</t>
        </is>
      </c>
      <c r="B107" s="7" t="n">
        <v>0.06</v>
      </c>
    </row>
    <row r="108">
      <c r="A108" s="4" t="inlineStr">
        <is>
          <t>License note term (months)</t>
        </is>
      </c>
      <c r="B108" s="17" t="n">
        <v>36</v>
      </c>
    </row>
    <row r="109">
      <c r="A109" s="4" t="inlineStr">
        <is>
          <t>License intangible amortization life (yrs)</t>
        </is>
      </c>
      <c r="B109" s="17" t="n">
        <v>15</v>
      </c>
    </row>
    <row r="111">
      <c r="A111" s="3" t="inlineStr">
        <is>
          <t>H2.  STARTUP ONE-TIME USES (Sources &amp; Uses)</t>
        </is>
      </c>
    </row>
    <row r="112">
      <c r="A112" s="4" t="inlineStr">
        <is>
          <t>CHOW filing / 855A change-of-ownership</t>
        </is>
      </c>
      <c r="B112" s="9" t="n">
        <v>3000</v>
      </c>
    </row>
    <row r="113">
      <c r="A113" s="4" t="inlineStr">
        <is>
          <t>TX state licensure</t>
        </is>
      </c>
      <c r="B113" s="9" t="n">
        <v>5000</v>
      </c>
    </row>
    <row r="114">
      <c r="A114" s="4" t="inlineStr">
        <is>
          <t>EMR implementation / setup</t>
        </is>
      </c>
      <c r="B114" s="9" t="n">
        <v>10000</v>
      </c>
    </row>
    <row r="115">
      <c r="A115" s="4" t="inlineStr">
        <is>
          <t>Initial medical-supply stock</t>
        </is>
      </c>
      <c r="B115" s="9" t="n">
        <v>10000</v>
      </c>
    </row>
    <row r="116">
      <c r="A116" s="4" t="inlineStr">
        <is>
          <t>Legal / entity formation</t>
        </is>
      </c>
      <c r="B116" s="9" t="n">
        <v>15000</v>
      </c>
    </row>
    <row r="117">
      <c r="A117" s="4" t="inlineStr">
        <is>
          <t>Contingency</t>
        </is>
      </c>
      <c r="B117" s="9" t="n">
        <v>20000</v>
      </c>
    </row>
    <row r="119">
      <c r="A119" s="3" t="inlineStr">
        <is>
          <t>I.  WORKING CAPITAL</t>
        </is>
      </c>
    </row>
    <row r="120">
      <c r="A120" s="4" t="inlineStr">
        <is>
          <t>Accounts-receivable days (Medicare RAP-to-final lag)</t>
        </is>
      </c>
      <c r="B120" s="17" t="n">
        <v>45</v>
      </c>
    </row>
    <row r="121">
      <c r="A121" s="4" t="inlineStr">
        <is>
          <t>Accounts-payable days</t>
        </is>
      </c>
      <c r="B121" s="17" t="n">
        <v>30</v>
      </c>
    </row>
    <row r="123">
      <c r="A123" s="3" t="inlineStr">
        <is>
          <t>DERIVED CAPITAL HELPERS</t>
        </is>
      </c>
    </row>
    <row r="124">
      <c r="A124" s="12" t="inlineStr">
        <is>
          <t>Total startup one-time uses</t>
        </is>
      </c>
      <c r="B124" s="23">
        <f>SUM(B112:B117)</f>
        <v/>
      </c>
    </row>
    <row r="125">
      <c r="A125" s="12" t="inlineStr">
        <is>
          <t>Opening cash = equity + loan - startup - capex</t>
        </is>
      </c>
      <c r="B125" s="23">
        <f>Inputs!$B$99+Inputs!$B$96-Inputs!$B$124-Inputs!$B$103</f>
        <v/>
      </c>
    </row>
    <row r="126">
      <c r="A126" s="4" t="inlineStr">
        <is>
          <t>Monthly D&amp;A (capex+startup over 5 yr, license over 15 yr)</t>
        </is>
      </c>
      <c r="B126" s="24">
        <f>(Inputs!$B$103+Inputs!$B$124)/Inputs!$B$104/12+Inputs!$B$106/Inputs!$B$109/12</f>
        <v/>
      </c>
    </row>
  </sheetData>
  <mergeCells count="18">
    <mergeCell ref="A2:V2"/>
    <mergeCell ref="A16:V16"/>
    <mergeCell ref="A64:V64"/>
    <mergeCell ref="A76:V76"/>
    <mergeCell ref="A68:V68"/>
    <mergeCell ref="A49:V49"/>
    <mergeCell ref="A71:V71"/>
    <mergeCell ref="A95:V95"/>
    <mergeCell ref="A1:V1"/>
    <mergeCell ref="A111:V111"/>
    <mergeCell ref="A123:V123"/>
    <mergeCell ref="A119:V119"/>
    <mergeCell ref="A27:V27"/>
    <mergeCell ref="A92:V92"/>
    <mergeCell ref="A35:V35"/>
    <mergeCell ref="A4:V4"/>
    <mergeCell ref="A57:V57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E21"/>
  <sheetViews>
    <sheetView showGridLines="0" tabSelected="1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Equity Returns — IRR · MOIC · cash-on-cash · 3-yr hold, exit at EBITDA multiple</t>
        </is>
      </c>
    </row>
    <row r="4">
      <c r="A4" s="3" t="inlineStr">
        <is>
          <t>ASSUMPTIONS</t>
        </is>
      </c>
    </row>
    <row r="5">
      <c r="A5" s="4" t="inlineStr">
        <is>
          <t>Exit EBITDA multiple</t>
        </is>
      </c>
      <c r="B5" s="25" t="n">
        <v>5</v>
      </c>
    </row>
    <row r="6">
      <c r="A6" s="4" t="inlineStr">
        <is>
          <t>Equity invested</t>
        </is>
      </c>
      <c r="B6" s="26">
        <f>Inputs!$B$99</f>
        <v/>
      </c>
    </row>
    <row r="8">
      <c r="A8" s="3" t="inlineStr">
        <is>
          <t>EQUITY CASH FLOWS</t>
        </is>
      </c>
    </row>
    <row r="9">
      <c r="B9" s="27" t="inlineStr">
        <is>
          <t>Close</t>
        </is>
      </c>
      <c r="C9" s="27" t="inlineStr">
        <is>
          <t>Year 1</t>
        </is>
      </c>
      <c r="D9" s="27" t="inlineStr">
        <is>
          <t>Year 2</t>
        </is>
      </c>
      <c r="E9" s="27" t="inlineStr">
        <is>
          <t>Year 3</t>
        </is>
      </c>
    </row>
    <row r="10">
      <c r="A10" s="20" t="inlineStr">
        <is>
          <t>Free cash flow to equity</t>
        </is>
      </c>
      <c r="B10" s="24">
        <f>-$B$6</f>
        <v/>
      </c>
      <c r="C10" s="26">
        <f>SUM('Cash Flow &amp; BS'!C13:N13)+SUM('Cash Flow &amp; BS'!C14:N14)</f>
        <v/>
      </c>
      <c r="D10" s="26">
        <f>SUM('Cash Flow &amp; BS'!O13:R13)+SUM('Cash Flow &amp; BS'!O14:R14)</f>
        <v/>
      </c>
      <c r="E10" s="26">
        <f>SUM('Cash Flow &amp; BS'!S13:V13)+SUM('Cash Flow &amp; BS'!S14:V14)</f>
        <v/>
      </c>
    </row>
    <row r="11">
      <c r="A11" s="20" t="inlineStr">
        <is>
          <t>Terminal equity value (exit)</t>
        </is>
      </c>
      <c r="E11" s="26">
        <f>$B$5*SUM('Operating Budget'!S23:V23)-'Debt Schedule'!V15-'Cash Flow &amp; BS'!V20</f>
        <v/>
      </c>
    </row>
    <row r="12">
      <c r="A12" s="28" t="inlineStr">
        <is>
          <t>Net equity cash flow</t>
        </is>
      </c>
      <c r="B12" s="23">
        <f>B10</f>
        <v/>
      </c>
      <c r="C12" s="29">
        <f>C10</f>
        <v/>
      </c>
      <c r="D12" s="29">
        <f>D10</f>
        <v/>
      </c>
      <c r="E12" s="29">
        <f>E10+E11</f>
        <v/>
      </c>
    </row>
    <row r="14">
      <c r="A14" s="3" t="inlineStr">
        <is>
          <t>RETURNS</t>
        </is>
      </c>
    </row>
    <row r="15">
      <c r="A15" s="28" t="inlineStr">
        <is>
          <t>Equity IRR (3-yr)</t>
        </is>
      </c>
      <c r="B15" s="30">
        <f>IRR(B12:E12)</f>
        <v/>
      </c>
    </row>
    <row r="16">
      <c r="A16" s="28" t="inlineStr">
        <is>
          <t>MOIC (gross multiple)</t>
        </is>
      </c>
      <c r="B16" s="31">
        <f>SUM(C12:E12)/$B$6</f>
        <v/>
      </c>
    </row>
    <row r="17">
      <c r="A17" s="28" t="inlineStr">
        <is>
          <t>Avg cash-on-cash (Y1-Y3)</t>
        </is>
      </c>
      <c r="B17" s="32">
        <f>AVERAGE(C10:E10)/$B$6</f>
        <v/>
      </c>
    </row>
    <row r="19">
      <c r="A19" s="33" t="inlineStr">
        <is>
          <t>Base case (ADC 22 flat) is already profitable; switch Census scenario to 2 (Upside) on the Inputs tab to see growth-driven returns. Distribution policy assumes free cash flow to equity is distributed annually; terminal value exits at the EBITDA multiple net of remaining debt.</t>
        </is>
      </c>
    </row>
    <row r="20"/>
    <row r="21"/>
  </sheetData>
  <mergeCells count="6">
    <mergeCell ref="A4:E4"/>
    <mergeCell ref="A19:E21"/>
    <mergeCell ref="A2:E2"/>
    <mergeCell ref="A8:E8"/>
    <mergeCell ref="A1:E1"/>
    <mergeCell ref="A14:E1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H54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Investor Capital — Three Instruments · debt · convertible · preferred equity · choose by yield vs. upside</t>
        </is>
      </c>
    </row>
    <row r="4">
      <c r="A4" s="3" t="inlineStr">
        <is>
          <t>SHARED INPUTS (edit blue cells)</t>
        </is>
      </c>
    </row>
    <row r="5">
      <c r="A5" s="4" t="inlineStr">
        <is>
          <t>Investment amount ($)</t>
        </is>
      </c>
      <c r="B5" s="9" t="n">
        <v>50000</v>
      </c>
    </row>
    <row r="6">
      <c r="A6" s="4" t="inlineStr">
        <is>
          <t>Hold period (years)</t>
        </is>
      </c>
      <c r="B6" s="17" t="n">
        <v>5</v>
      </c>
    </row>
    <row r="7">
      <c r="A7" s="4" t="inlineStr">
        <is>
          <t>Exit EBITDA multiple</t>
        </is>
      </c>
      <c r="B7" s="25" t="n">
        <v>5</v>
      </c>
    </row>
    <row r="8">
      <c r="A8" s="14" t="inlineStr">
        <is>
          <t>Y3 EBITDA (link)</t>
        </is>
      </c>
      <c r="B8" s="26">
        <f>SUM('Operating Budget'!S23:V23)</f>
        <v/>
      </c>
    </row>
    <row r="9">
      <c r="A9" s="4" t="inlineStr">
        <is>
          <t>Equity exit value (Y3 EBITDA × multiple − net debt)</t>
        </is>
      </c>
      <c r="B9" s="26">
        <f>$B$7*$B$8-'Debt Schedule'!V15-'Cash Flow &amp; BS'!V20</f>
        <v/>
      </c>
    </row>
    <row r="11" ht="22" customHeight="1">
      <c r="B11" s="34" t="inlineStr">
        <is>
          <t>OPTION A — Promissory Note</t>
        </is>
      </c>
      <c r="D11" s="34" t="inlineStr">
        <is>
          <t>OPTION B — Convertible Note</t>
        </is>
      </c>
      <c r="F11" s="34" t="inlineStr">
        <is>
          <t>OPTION C — Preferred Equity</t>
        </is>
      </c>
    </row>
    <row r="12">
      <c r="B12" s="35" t="inlineStr">
        <is>
          <t>Pure DEBT</t>
        </is>
      </c>
      <c r="D12" s="35" t="inlineStr">
        <is>
          <t>HYBRID</t>
        </is>
      </c>
      <c r="F12" s="35" t="inlineStr">
        <is>
          <t>EQUITY w/ floor</t>
        </is>
      </c>
    </row>
    <row r="14">
      <c r="A14" s="3" t="inlineStr">
        <is>
          <t>TERMS  (blue = adjust per offer)</t>
        </is>
      </c>
    </row>
    <row r="15">
      <c r="A15" s="4" t="inlineStr">
        <is>
          <t>Interest rate (APR)</t>
        </is>
      </c>
      <c r="B15" s="7" t="n">
        <v>0.1</v>
      </c>
      <c r="D15" s="7" t="n">
        <v>0.07000000000000001</v>
      </c>
      <c r="F15" s="7" t="n">
        <v>0.08</v>
      </c>
    </row>
    <row r="16">
      <c r="A16" s="4" t="inlineStr">
        <is>
          <t>Term / amortization</t>
        </is>
      </c>
      <c r="B16" s="17" t="n">
        <v>5</v>
      </c>
      <c r="D16" s="17" t="n">
        <v>5</v>
      </c>
      <c r="F16" s="17" t="n">
        <v>5</v>
      </c>
    </row>
    <row r="17">
      <c r="A17" s="4" t="inlineStr">
        <is>
          <t>Payment style / conversion / preference</t>
        </is>
      </c>
      <c r="B17" s="21" t="inlineStr">
        <is>
          <t>Monthly P+I</t>
        </is>
      </c>
      <c r="D17" s="21" t="inlineStr">
        <is>
          <t>Discount + valuation cap</t>
        </is>
      </c>
      <c r="F17" s="21" t="inlineStr">
        <is>
          <t>1× liq preference, then participate</t>
        </is>
      </c>
    </row>
    <row r="18">
      <c r="A18" s="4" t="inlineStr">
        <is>
          <t>(Convertible) Discount on equity round</t>
        </is>
      </c>
      <c r="D18" s="7" t="n">
        <v>0.2</v>
      </c>
    </row>
    <row r="19">
      <c r="A19" s="4" t="inlineStr">
        <is>
          <t>(Convertible) Valuation cap ($)</t>
        </is>
      </c>
      <c r="D19" s="9" t="n">
        <v>3000000</v>
      </c>
    </row>
    <row r="20">
      <c r="A20" s="4" t="inlineStr">
        <is>
          <t>(Preferred) Participate after preference</t>
        </is>
      </c>
      <c r="F20" s="17" t="n">
        <v>1</v>
      </c>
    </row>
    <row r="22">
      <c r="A22" s="3" t="inlineStr">
        <is>
          <t>INVESTOR CASH FLOW SCHEDULE  (annual, Year 0 = close)</t>
        </is>
      </c>
    </row>
    <row r="23">
      <c r="A23" s="36" t="inlineStr">
        <is>
          <t>Year</t>
        </is>
      </c>
      <c r="B23" s="27" t="inlineStr">
        <is>
          <t>Y0</t>
        </is>
      </c>
      <c r="C23" s="27" t="inlineStr">
        <is>
          <t>Y1</t>
        </is>
      </c>
      <c r="D23" s="27" t="inlineStr">
        <is>
          <t>Y2</t>
        </is>
      </c>
      <c r="E23" s="27" t="inlineStr">
        <is>
          <t>Y3</t>
        </is>
      </c>
      <c r="F23" s="27" t="inlineStr">
        <is>
          <t>Y4</t>
        </is>
      </c>
      <c r="G23" s="27" t="inlineStr">
        <is>
          <t>Y5</t>
        </is>
      </c>
    </row>
    <row r="24">
      <c r="A24" s="12" t="inlineStr">
        <is>
          <t>OPTION A — Promissory Note</t>
        </is>
      </c>
      <c r="B24" s="23">
        <f>-$B$5</f>
        <v/>
      </c>
      <c r="C24" s="24">
        <f>IF(1&lt;=$B$16,PMT($B$15/12,$B$16*12,-$B$5)*12,0)</f>
        <v/>
      </c>
      <c r="D24" s="24">
        <f>IF(2&lt;=$B$16,PMT($B$15/12,$B$16*12,-$B$5)*12,0)</f>
        <v/>
      </c>
      <c r="E24" s="24">
        <f>IF(3&lt;=$B$16,PMT($B$15/12,$B$16*12,-$B$5)*12,0)</f>
        <v/>
      </c>
      <c r="F24" s="24">
        <f>IF(4&lt;=$B$16,PMT($B$15/12,$B$16*12,-$B$5)*12,0)</f>
        <v/>
      </c>
      <c r="G24" s="24">
        <f>IF(5&lt;=$B$16,PMT($B$15/12,$B$16*12,-$B$5)*12,0)</f>
        <v/>
      </c>
    </row>
    <row r="25">
      <c r="A25" s="12" t="inlineStr">
        <is>
          <t>OPTION B — Convertible Note</t>
        </is>
      </c>
      <c r="B25" s="23">
        <f>-$B$5</f>
        <v/>
      </c>
      <c r="C25" s="24">
        <f>IF(1&lt;$D$16,$B$5*$D$15,IF(1=$D$16,MAX($B$5+$B$5*$D$15,(($B$5/MIN($D$19,$B$9*(1-$D$18)))*$B$9)),0))</f>
        <v/>
      </c>
      <c r="D25" s="24">
        <f>IF(2&lt;$D$16,$B$5*$D$15,IF(2=$D$16,MAX($B$5+$B$5*$D$15,(($B$5/MIN($D$19,$B$9*(1-$D$18)))*$B$9)),0))</f>
        <v/>
      </c>
      <c r="E25" s="24">
        <f>IF(3&lt;$D$16,$B$5*$D$15,IF(3=$D$16,MAX($B$5+$B$5*$D$15,(($B$5/MIN($D$19,$B$9*(1-$D$18)))*$B$9)),0))</f>
        <v/>
      </c>
      <c r="F25" s="24">
        <f>IF(4&lt;$D$16,$B$5*$D$15,IF(4=$D$16,MAX($B$5+$B$5*$D$15,(($B$5/MIN($D$19,$B$9*(1-$D$18)))*$B$9)),0))</f>
        <v/>
      </c>
      <c r="G25" s="24">
        <f>IF(5&lt;$D$16,$B$5*$D$15,IF(5=$D$16,MAX($B$5+$B$5*$D$15,(($B$5/MIN($D$19,$B$9*(1-$D$18)))*$B$9)),0))</f>
        <v/>
      </c>
    </row>
    <row r="26">
      <c r="A26" s="12" t="inlineStr">
        <is>
          <t>OPTION C — Preferred Equity</t>
        </is>
      </c>
      <c r="B26" s="23">
        <f>-$B$5</f>
        <v/>
      </c>
      <c r="C26" s="24">
        <f>IF(1&lt;$F$16,$B$5*$F$15,IF(1=$F$16,$B$5*$F$15+$B$5+IF($F$20=1,($B$5/$B$9)*MAX(0,$B$9-$B$5),MAX($B$5,($B$5/$B$9)*$B$9)-$B$5),0))</f>
        <v/>
      </c>
      <c r="D26" s="24">
        <f>IF(2&lt;$F$16,$B$5*$F$15,IF(2=$F$16,$B$5*$F$15+$B$5+IF($F$20=1,($B$5/$B$9)*MAX(0,$B$9-$B$5),MAX($B$5,($B$5/$B$9)*$B$9)-$B$5),0))</f>
        <v/>
      </c>
      <c r="E26" s="24">
        <f>IF(3&lt;$F$16,$B$5*$F$15,IF(3=$F$16,$B$5*$F$15+$B$5+IF($F$20=1,($B$5/$B$9)*MAX(0,$B$9-$B$5),MAX($B$5,($B$5/$B$9)*$B$9)-$B$5),0))</f>
        <v/>
      </c>
      <c r="F26" s="24">
        <f>IF(4&lt;$F$16,$B$5*$F$15,IF(4=$F$16,$B$5*$F$15+$B$5+IF($F$20=1,($B$5/$B$9)*MAX(0,$B$9-$B$5),MAX($B$5,($B$5/$B$9)*$B$9)-$B$5),0))</f>
        <v/>
      </c>
      <c r="G26" s="24">
        <f>IF(5&lt;$F$16,$B$5*$F$15,IF(5=$F$16,$B$5*$F$15+$B$5+IF($F$20=1,($B$5/$B$9)*MAX(0,$B$9-$B$5),MAX($B$5,($B$5/$B$9)*$B$9)-$B$5),0))</f>
        <v/>
      </c>
    </row>
    <row r="28">
      <c r="A28" s="3" t="inlineStr">
        <is>
          <t>RETURNS COMPARISON  (Y0 = -investment; subsequent years per schedule above)</t>
        </is>
      </c>
    </row>
    <row r="29">
      <c r="A29" s="12" t="inlineStr">
        <is>
          <t>Headline rate (APR / coupon / pref div)</t>
        </is>
      </c>
      <c r="B29" s="32">
        <f>$B$15</f>
        <v/>
      </c>
      <c r="D29" s="32">
        <f>$D$15</f>
        <v/>
      </c>
      <c r="F29" s="32">
        <f>$F$15</f>
        <v/>
      </c>
    </row>
    <row r="30">
      <c r="A30" s="12" t="inlineStr">
        <is>
          <t>Total cash to investor (Y1–Y5)</t>
        </is>
      </c>
      <c r="B30" s="23">
        <f>SUM(C24:G24)</f>
        <v/>
      </c>
      <c r="D30" s="23">
        <f>SUM(C25:G25)</f>
        <v/>
      </c>
      <c r="F30" s="23">
        <f>SUM(C26:G26)</f>
        <v/>
      </c>
    </row>
    <row r="31">
      <c r="A31" s="12" t="inlineStr">
        <is>
          <t>Total profit (cash − investment)</t>
        </is>
      </c>
      <c r="B31" s="23">
        <f>SUM(C24:G24)-$B$5</f>
        <v/>
      </c>
      <c r="D31" s="23">
        <f>SUM(C25:G25)-$B$5</f>
        <v/>
      </c>
      <c r="F31" s="23">
        <f>SUM(C26:G26)-$B$5</f>
        <v/>
      </c>
    </row>
    <row r="32">
      <c r="A32" s="12" t="inlineStr">
        <is>
          <t>MOIC (gross multiple)</t>
        </is>
      </c>
      <c r="B32" s="31">
        <f>SUM(C24:G24)/$B$5</f>
        <v/>
      </c>
      <c r="D32" s="31">
        <f>SUM(C25:G25)/$B$5</f>
        <v/>
      </c>
      <c r="F32" s="31">
        <f>SUM(C26:G26)/$B$5</f>
        <v/>
      </c>
    </row>
    <row r="33">
      <c r="A33" s="12" t="inlineStr">
        <is>
          <t>IRR / effective annual yield</t>
        </is>
      </c>
      <c r="B33" s="30">
        <f>(1+$B$15/12)^12-1</f>
        <v/>
      </c>
      <c r="D33" s="30">
        <f>IRR(B25:G25)</f>
        <v/>
      </c>
      <c r="F33" s="30">
        <f>IRR(B26:G26)</f>
        <v/>
      </c>
    </row>
    <row r="34">
      <c r="A34" s="12" t="inlineStr">
        <is>
          <t>Average annual cash yield (Y1–Y5)</t>
        </is>
      </c>
      <c r="B34" s="32">
        <f>AVERAGE(C24:G24)/$B$5</f>
        <v/>
      </c>
      <c r="D34" s="32">
        <f>AVERAGE(C25:G25)/$B$5</f>
        <v/>
      </c>
      <c r="F34" s="32">
        <f>AVERAGE(C26:G26)/$B$5</f>
        <v/>
      </c>
    </row>
    <row r="36">
      <c r="A36" s="3" t="inlineStr">
        <is>
          <t>RISK &amp; FIT</t>
        </is>
      </c>
    </row>
    <row r="37">
      <c r="A37" s="36" t="inlineStr">
        <is>
          <t>Profile</t>
        </is>
      </c>
      <c r="B37" s="37" t="inlineStr">
        <is>
          <t>Lowest risk · fixed yield</t>
        </is>
      </c>
      <c r="D37" s="37" t="inlineStr">
        <is>
          <t>Medium risk · upside option</t>
        </is>
      </c>
      <c r="F37" s="37" t="inlineStr">
        <is>
          <t>Highest risk · highest upside</t>
        </is>
      </c>
    </row>
    <row r="38">
      <c r="A38" s="20" t="inlineStr">
        <is>
          <t>Security / position</t>
        </is>
      </c>
      <c r="B38" s="33" t="inlineStr">
        <is>
          <t>Senior subordinated debt; subordinate to SBA</t>
        </is>
      </c>
      <c r="D38" s="33" t="inlineStr">
        <is>
          <t>Debt at maturity OR equity at exit (greater)</t>
        </is>
      </c>
      <c r="F38" s="33" t="inlineStr">
        <is>
          <t>Equity; subordinate to all debt</t>
        </is>
      </c>
    </row>
    <row r="39">
      <c r="A39" s="20" t="inlineStr">
        <is>
          <t>Cash flow to investor</t>
        </is>
      </c>
      <c r="B39" s="33" t="inlineStr">
        <is>
          <t>Monthly P+I, predictable</t>
        </is>
      </c>
      <c r="D39" s="33" t="inlineStr">
        <is>
          <t>Annual coupon, lump at exit</t>
        </is>
      </c>
      <c r="F39" s="33" t="inlineStr">
        <is>
          <t>Annual dividend, lump at exit</t>
        </is>
      </c>
    </row>
    <row r="40">
      <c r="A40" s="20" t="inlineStr">
        <is>
          <t>Tax treatment</t>
        </is>
      </c>
      <c r="B40" s="33" t="inlineStr">
        <is>
          <t>Interest = ordinary income</t>
        </is>
      </c>
      <c r="D40" s="33" t="inlineStr">
        <is>
          <t>Interest = ordinary; conversion = capital gain</t>
        </is>
      </c>
      <c r="F40" s="33" t="inlineStr">
        <is>
          <t>Dividends + capital gain on exit</t>
        </is>
      </c>
    </row>
    <row r="41">
      <c r="A41" s="20" t="inlineStr">
        <is>
          <t>Best for</t>
        </is>
      </c>
      <c r="B41" s="33" t="inlineStr">
        <is>
          <t>Yield-focused, risk-averse passive lenders</t>
        </is>
      </c>
      <c r="D41" s="33" t="inlineStr">
        <is>
          <t>Investors who want yield AND a shot at equity upside</t>
        </is>
      </c>
      <c r="F41" s="33" t="inlineStr">
        <is>
          <t>Believers in the upside who can take equity risk</t>
        </is>
      </c>
    </row>
    <row r="43">
      <c r="A43" s="3" t="inlineStr">
        <is>
          <t>ILLUSTRATIVE TIERS  (recompute by changing 'Investment amount' above)</t>
        </is>
      </c>
    </row>
    <row r="44">
      <c r="A44" s="27" t="inlineStr">
        <is>
          <t>Check size</t>
        </is>
      </c>
      <c r="B44" s="27" t="inlineStr">
        <is>
          <t>Option A: 5-yr IRR</t>
        </is>
      </c>
      <c r="C44" s="27" t="inlineStr">
        <is>
          <t>Option A: total cash</t>
        </is>
      </c>
      <c r="D44" s="27" t="inlineStr">
        <is>
          <t>Option B: IRR @5x exit</t>
        </is>
      </c>
      <c r="E44" s="27" t="inlineStr">
        <is>
          <t>Option B: total cash</t>
        </is>
      </c>
      <c r="F44" s="27" t="inlineStr">
        <is>
          <t>Option C: IRR @5x exit</t>
        </is>
      </c>
      <c r="G44" s="27" t="inlineStr">
        <is>
          <t>Option C: total cash</t>
        </is>
      </c>
    </row>
    <row r="45">
      <c r="A45" s="38" t="n">
        <v>25000</v>
      </c>
      <c r="B45" s="39">
        <f>(1+$B$15/12)^12-1</f>
        <v/>
      </c>
      <c r="C45" s="24">
        <f>PMT($B$15/12,$B$16*12,-A45)*12*$B$16</f>
        <v/>
      </c>
      <c r="D45" s="39">
        <f>$D$33</f>
        <v/>
      </c>
      <c r="E45" s="24">
        <f>A45/$B$5*$D$30</f>
        <v/>
      </c>
      <c r="F45" s="39">
        <f>$F$33</f>
        <v/>
      </c>
      <c r="G45" s="24">
        <f>A45/$B$5*$F$30</f>
        <v/>
      </c>
    </row>
    <row r="46">
      <c r="A46" s="38" t="n">
        <v>50000</v>
      </c>
      <c r="B46" s="39">
        <f>(1+$B$15/12)^12-1</f>
        <v/>
      </c>
      <c r="C46" s="24">
        <f>PMT($B$15/12,$B$16*12,-A46)*12*$B$16</f>
        <v/>
      </c>
      <c r="D46" s="39">
        <f>$D$33</f>
        <v/>
      </c>
      <c r="E46" s="24">
        <f>A46/$B$5*$D$30</f>
        <v/>
      </c>
      <c r="F46" s="39">
        <f>$F$33</f>
        <v/>
      </c>
      <c r="G46" s="24">
        <f>A46/$B$5*$F$30</f>
        <v/>
      </c>
    </row>
    <row r="47">
      <c r="A47" s="38" t="n">
        <v>100000</v>
      </c>
      <c r="B47" s="39">
        <f>(1+$B$15/12)^12-1</f>
        <v/>
      </c>
      <c r="C47" s="24">
        <f>PMT($B$15/12,$B$16*12,-A47)*12*$B$16</f>
        <v/>
      </c>
      <c r="D47" s="39">
        <f>$D$33</f>
        <v/>
      </c>
      <c r="E47" s="24">
        <f>A47/$B$5*$D$30</f>
        <v/>
      </c>
      <c r="F47" s="39">
        <f>$F$33</f>
        <v/>
      </c>
      <c r="G47" s="24">
        <f>A47/$B$5*$F$30</f>
        <v/>
      </c>
    </row>
    <row r="48">
      <c r="A48" s="38" t="n">
        <v>250000</v>
      </c>
      <c r="B48" s="39">
        <f>(1+$B$15/12)^12-1</f>
        <v/>
      </c>
      <c r="C48" s="24">
        <f>PMT($B$15/12,$B$16*12,-A48)*12*$B$16</f>
        <v/>
      </c>
      <c r="D48" s="39">
        <f>$D$33</f>
        <v/>
      </c>
      <c r="E48" s="24">
        <f>A48/$B$5*$D$30</f>
        <v/>
      </c>
      <c r="F48" s="39">
        <f>$F$33</f>
        <v/>
      </c>
      <c r="G48" s="24">
        <f>A48/$B$5*$F$30</f>
        <v/>
      </c>
    </row>
    <row r="50">
      <c r="A50" s="33" t="inlineStr">
        <is>
          <t>Conventions: Year-0 cash flow is the investor's check (negative). Subsequent years are cash received. Option A IRR ≈ rate (slight compounding bump from monthly payments). Options B and C IRR/cash scale linearly with check size when terms and exit value are fixed — use the tier menu to size offers, then change 'Investment amount' to see the live cash-flow schedule update. Conversion math: Option B holder receives MAX(principal + final coupon, equity-as-converted) at year = term, where conversion ownership = investment ÷ MIN(cap, exit × (1 − discount)).</t>
        </is>
      </c>
    </row>
    <row r="51"/>
    <row r="52"/>
    <row r="53"/>
    <row r="54"/>
  </sheetData>
  <mergeCells count="48">
    <mergeCell ref="A14:G14"/>
    <mergeCell ref="F11:G11"/>
    <mergeCell ref="F29:G29"/>
    <mergeCell ref="D34:E34"/>
    <mergeCell ref="A22:G22"/>
    <mergeCell ref="F34:G34"/>
    <mergeCell ref="B31:C31"/>
    <mergeCell ref="A1:H1"/>
    <mergeCell ref="D40:E40"/>
    <mergeCell ref="D31:E31"/>
    <mergeCell ref="F40:G40"/>
    <mergeCell ref="A43:G43"/>
    <mergeCell ref="B12:C12"/>
    <mergeCell ref="B39:C39"/>
    <mergeCell ref="F12:G12"/>
    <mergeCell ref="F30:G30"/>
    <mergeCell ref="B11:C11"/>
    <mergeCell ref="D11:E11"/>
    <mergeCell ref="F33:G33"/>
    <mergeCell ref="D32:E32"/>
    <mergeCell ref="F32:G32"/>
    <mergeCell ref="D41:E41"/>
    <mergeCell ref="F41:G41"/>
    <mergeCell ref="A36:G36"/>
    <mergeCell ref="B38:C38"/>
    <mergeCell ref="B29:C29"/>
    <mergeCell ref="F38:G38"/>
    <mergeCell ref="A50:H54"/>
    <mergeCell ref="A2:H2"/>
    <mergeCell ref="B34:C34"/>
    <mergeCell ref="B37:C37"/>
    <mergeCell ref="D37:E37"/>
    <mergeCell ref="F31:G31"/>
    <mergeCell ref="B40:C40"/>
    <mergeCell ref="D12:E12"/>
    <mergeCell ref="D39:E39"/>
    <mergeCell ref="A4:H4"/>
    <mergeCell ref="F37:G37"/>
    <mergeCell ref="B30:C30"/>
    <mergeCell ref="F39:G39"/>
    <mergeCell ref="D30:E30"/>
    <mergeCell ref="B33:C33"/>
    <mergeCell ref="D33:E33"/>
    <mergeCell ref="D29:E29"/>
    <mergeCell ref="A28:H28"/>
    <mergeCell ref="D38:E38"/>
    <mergeCell ref="B32:C32"/>
    <mergeCell ref="B41:C4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D17"/>
  <sheetViews>
    <sheetView showGridLines="0" tabSelected="0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Unit Economics — contribution margin per patient-day</t>
        </is>
      </c>
    </row>
    <row r="4">
      <c r="A4" s="28" t="inlineStr">
        <is>
          <t>Net revenue per patient-day</t>
        </is>
      </c>
      <c r="B4" s="40">
        <f>Inputs!$B$21</f>
        <v/>
      </c>
    </row>
    <row r="5">
      <c r="A5" s="4" t="inlineStr">
        <is>
          <t>Medical supplies / PD</t>
        </is>
      </c>
      <c r="B5" s="40">
        <f>-Inputs!$B$72</f>
        <v/>
      </c>
    </row>
    <row r="6">
      <c r="A6" s="4" t="inlineStr">
        <is>
          <t>DME / PD</t>
        </is>
      </c>
      <c r="B6" s="40">
        <f>-Inputs!$B$73</f>
        <v/>
      </c>
    </row>
    <row r="7">
      <c r="A7" s="4" t="inlineStr">
        <is>
          <t>Pharmacy / PD</t>
        </is>
      </c>
      <c r="B7" s="40">
        <f>-Inputs!$B$74</f>
        <v/>
      </c>
    </row>
    <row r="8">
      <c r="A8" s="4" t="inlineStr">
        <is>
          <t>PRN / per-visit labor / PD</t>
        </is>
      </c>
      <c r="B8" s="40">
        <f>-(Inputs!$C$51*Inputs!$D$51+Inputs!$C$52*Inputs!$D$52+Inputs!$C$53*Inputs!$D$53+Inputs!$C$54*Inputs!$D$54+Inputs!$C$55*Inputs!$D$55)/Inputs!$B$25</f>
        <v/>
      </c>
    </row>
    <row r="9">
      <c r="A9" s="4" t="inlineStr">
        <is>
          <t>QR payment fee / PD</t>
        </is>
      </c>
      <c r="B9" s="40">
        <f>-Inputs!$B$20*Inputs!$B$93</f>
        <v/>
      </c>
    </row>
    <row r="10">
      <c r="A10" s="28" t="inlineStr">
        <is>
          <t>CONTRIBUTION MARGIN / PD</t>
        </is>
      </c>
      <c r="B10" s="41">
        <f>B4-SUM(B5:B9)</f>
        <v/>
      </c>
    </row>
    <row r="11">
      <c r="A11" s="21" t="inlineStr">
        <is>
          <t>Contribution margin %</t>
        </is>
      </c>
      <c r="B11" s="39">
        <f>B10/B4</f>
        <v/>
      </c>
    </row>
    <row r="13">
      <c r="A13" s="4" t="inlineStr">
        <is>
          <t>Daily fixed-cost burden (annual fixed ÷ 365)</t>
        </is>
      </c>
      <c r="B13" s="40">
        <f>((Inputs!$C$37+Inputs!$C$38+Inputs!$C$39+Inputs!$C$40+Inputs!$C$41+Inputs!$C$42+Inputs!$C$43+Inputs!$C$44+Inputs!$C$45+Inputs!$C$46+Inputs!$C$47)*(1+Inputs!$B$65)+Inputs!$B$66*10*12+Inputs!$B$69*12+SUM(Inputs!$B$77:$B$90)*12)/(Inputs!$B$25*12)</f>
        <v/>
      </c>
    </row>
    <row r="14">
      <c r="A14" s="28" t="inlineStr">
        <is>
          <t>Break-even ADC (fixed ÷ contribution/PD)</t>
        </is>
      </c>
      <c r="B14" s="42">
        <f>B13/B10</f>
        <v/>
      </c>
    </row>
    <row r="16">
      <c r="A16" s="33" t="inlineStr">
        <is>
          <t>Low per-PD COGS (~$9, trued to Paloma actuals) drives a high contribution margin; operating leverage improves as census grows beyond the migrated panel.</t>
        </is>
      </c>
    </row>
    <row r="17"/>
  </sheetData>
  <mergeCells count="3">
    <mergeCell ref="A1:D1"/>
    <mergeCell ref="A16:D17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G15"/>
  <sheetViews>
    <sheetView showGridLines="0" tabSelected="0" zoomScale="10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Sensitivity — steady-state annual EBITDA by ADC × net rate/PD</t>
        </is>
      </c>
    </row>
    <row r="4">
      <c r="A4" s="43" t="inlineStr">
        <is>
          <t>EBITDA ($/yr)</t>
        </is>
      </c>
    </row>
    <row r="5">
      <c r="A5" s="27" t="inlineStr">
        <is>
          <t>ADC  ↓  /  net rate →</t>
        </is>
      </c>
      <c r="B5" s="44" t="n">
        <v>170</v>
      </c>
      <c r="C5" s="44" t="n">
        <v>176</v>
      </c>
      <c r="D5" s="44" t="n">
        <v>181</v>
      </c>
      <c r="E5" s="44" t="n">
        <v>186</v>
      </c>
      <c r="F5" s="44" t="n">
        <v>192</v>
      </c>
    </row>
    <row r="6">
      <c r="A6" s="45" t="n">
        <v>16</v>
      </c>
      <c r="B6" s="24">
        <f>$A6*(Inputs!$B$25*12)*(B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C6" s="24">
        <f>$A6*(Inputs!$B$25*12)*(C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D6" s="24">
        <f>$A6*(Inputs!$B$25*12)*(D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E6" s="24">
        <f>$A6*(Inputs!$B$25*12)*(E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F6" s="24">
        <f>$A6*(Inputs!$B$25*12)*(F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</row>
    <row r="7">
      <c r="A7" s="45" t="n">
        <v>18</v>
      </c>
      <c r="B7" s="24">
        <f>$A7*(Inputs!$B$25*12)*(B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C7" s="24">
        <f>$A7*(Inputs!$B$25*12)*(C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D7" s="24">
        <f>$A7*(Inputs!$B$25*12)*(D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E7" s="24">
        <f>$A7*(Inputs!$B$25*12)*(E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F7" s="24">
        <f>$A7*(Inputs!$B$25*12)*(F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</row>
    <row r="8">
      <c r="A8" s="45" t="n">
        <v>20</v>
      </c>
      <c r="B8" s="24">
        <f>$A8*(Inputs!$B$25*12)*(B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C8" s="24">
        <f>$A8*(Inputs!$B$25*12)*(C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D8" s="24">
        <f>$A8*(Inputs!$B$25*12)*(D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E8" s="24">
        <f>$A8*(Inputs!$B$25*12)*(E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F8" s="24">
        <f>$A8*(Inputs!$B$25*12)*(F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</row>
    <row r="9">
      <c r="A9" s="45" t="n">
        <v>22</v>
      </c>
      <c r="B9" s="24">
        <f>$A9*(Inputs!$B$25*12)*(B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C9" s="24">
        <f>$A9*(Inputs!$B$25*12)*(C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D9" s="24">
        <f>$A9*(Inputs!$B$25*12)*(D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E9" s="24">
        <f>$A9*(Inputs!$B$25*12)*(E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F9" s="24">
        <f>$A9*(Inputs!$B$25*12)*(F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</row>
    <row r="10">
      <c r="A10" s="45" t="n">
        <v>26</v>
      </c>
      <c r="B10" s="24">
        <f>$A10*(Inputs!$B$25*12)*(B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C10" s="24">
        <f>$A10*(Inputs!$B$25*12)*(C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D10" s="24">
        <f>$A10*(Inputs!$B$25*12)*(D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E10" s="24">
        <f>$A10*(Inputs!$B$25*12)*(E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F10" s="24">
        <f>$A10*(Inputs!$B$25*12)*(F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</row>
    <row r="11">
      <c r="A11" s="45" t="n">
        <v>30</v>
      </c>
      <c r="B11" s="24">
        <f>$A11*(Inputs!$B$25*12)*(B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C11" s="24">
        <f>$A11*(Inputs!$B$25*12)*(C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D11" s="24">
        <f>$A11*(Inputs!$B$25*12)*(D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E11" s="24">
        <f>$A11*(Inputs!$B$25*12)*(E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F11" s="24">
        <f>$A11*(Inputs!$B$25*12)*(F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</row>
    <row r="12">
      <c r="A12" s="45" t="n">
        <v>35</v>
      </c>
      <c r="B12" s="24">
        <f>$A12*(Inputs!$B$25*12)*(B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C12" s="24">
        <f>$A12*(Inputs!$B$25*12)*(C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D12" s="24">
        <f>$A12*(Inputs!$B$25*12)*(D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E12" s="24">
        <f>$A12*(Inputs!$B$25*12)*(E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  <c r="F12" s="24">
        <f>$A12*(Inputs!$B$25*12)*(F$5-(Inputs!$B$72+Inputs!$B$73+Inputs!$B$74+(Inputs!$C$51*Inputs!$D$51+Inputs!$C$52*Inputs!$D$52+Inputs!$C$53*Inputs!$D$53+Inputs!$C$54*Inputs!$D$54+Inputs!$C$55*Inputs!$D$55)/Inputs!$B$25))-((Inputs!$C$37+Inputs!$C$38+Inputs!$C$39+Inputs!$C$40+Inputs!$C$41+Inputs!$C$42+Inputs!$C$43+Inputs!$C$44+Inputs!$C$45+Inputs!$C$46+Inputs!$C$47)*(1+Inputs!$B$65)+Inputs!$B$66*10*12+Inputs!$B$69*12+SUM(Inputs!$B$77:$B$90)*12)</f>
        <v/>
      </c>
    </row>
    <row r="14">
      <c r="A14" s="33" t="inlineStr">
        <is>
          <t>Steady-state annual approximation: contribution = ADC × 365 × (net rate − variable/PD) less annual fixed cost. Base case ≈ ADC 22 @ $181.</t>
        </is>
      </c>
    </row>
    <row r="15"/>
  </sheetData>
  <mergeCells count="3">
    <mergeCell ref="A2:G2"/>
    <mergeCell ref="A14:G15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46">
        <f>Inputs!$B$20</f>
        <v/>
      </c>
    </row>
    <row r="6">
      <c r="A6" s="4" t="inlineStr">
        <is>
          <t>Blended NET rate ($/PD)</t>
        </is>
      </c>
      <c r="B6" s="46">
        <f>Inputs!$B$21</f>
        <v/>
      </c>
    </row>
    <row r="8">
      <c r="A8" s="47" t="inlineStr">
        <is>
          <t>($ per period)</t>
        </is>
      </c>
      <c r="C8" s="35" t="inlineStr">
        <is>
          <t>YEAR 1 — monthly</t>
        </is>
      </c>
      <c r="O8" s="35" t="inlineStr">
        <is>
          <t>YEAR 2 — quarterly</t>
        </is>
      </c>
      <c r="S8" s="35" t="inlineStr">
        <is>
          <t>YEAR 3 — quarterly</t>
        </is>
      </c>
    </row>
    <row r="9">
      <c r="A9" s="48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20" t="inlineStr">
        <is>
          <t>Average daily census (ADC)</t>
        </is>
      </c>
      <c r="C10" s="49">
        <f>Inputs!C$33</f>
        <v/>
      </c>
      <c r="D10" s="49">
        <f>Inputs!D$33</f>
        <v/>
      </c>
      <c r="E10" s="49">
        <f>Inputs!E$33</f>
        <v/>
      </c>
      <c r="F10" s="49">
        <f>Inputs!F$33</f>
        <v/>
      </c>
      <c r="G10" s="49">
        <f>Inputs!G$33</f>
        <v/>
      </c>
      <c r="H10" s="49">
        <f>Inputs!H$33</f>
        <v/>
      </c>
      <c r="I10" s="49">
        <f>Inputs!I$33</f>
        <v/>
      </c>
      <c r="J10" s="49">
        <f>Inputs!J$33</f>
        <v/>
      </c>
      <c r="K10" s="49">
        <f>Inputs!K$33</f>
        <v/>
      </c>
      <c r="L10" s="49">
        <f>Inputs!L$33</f>
        <v/>
      </c>
      <c r="M10" s="49">
        <f>Inputs!M$33</f>
        <v/>
      </c>
      <c r="N10" s="49">
        <f>Inputs!N$33</f>
        <v/>
      </c>
      <c r="O10" s="49">
        <f>Inputs!O$33</f>
        <v/>
      </c>
      <c r="P10" s="49">
        <f>Inputs!P$33</f>
        <v/>
      </c>
      <c r="Q10" s="49">
        <f>Inputs!Q$33</f>
        <v/>
      </c>
      <c r="R10" s="49">
        <f>Inputs!R$33</f>
        <v/>
      </c>
      <c r="S10" s="49">
        <f>Inputs!S$33</f>
        <v/>
      </c>
      <c r="T10" s="49">
        <f>Inputs!T$33</f>
        <v/>
      </c>
      <c r="U10" s="49">
        <f>Inputs!U$33</f>
        <v/>
      </c>
      <c r="V10" s="49">
        <f>Inputs!V$33</f>
        <v/>
      </c>
    </row>
    <row r="11">
      <c r="A11" s="20" t="inlineStr">
        <is>
          <t>Days in period</t>
        </is>
      </c>
      <c r="C11" s="49">
        <f>Inputs!$B$25*1</f>
        <v/>
      </c>
      <c r="D11" s="49">
        <f>Inputs!$B$25*1</f>
        <v/>
      </c>
      <c r="E11" s="49">
        <f>Inputs!$B$25*1</f>
        <v/>
      </c>
      <c r="F11" s="49">
        <f>Inputs!$B$25*1</f>
        <v/>
      </c>
      <c r="G11" s="49">
        <f>Inputs!$B$25*1</f>
        <v/>
      </c>
      <c r="H11" s="49">
        <f>Inputs!$B$25*1</f>
        <v/>
      </c>
      <c r="I11" s="49">
        <f>Inputs!$B$25*1</f>
        <v/>
      </c>
      <c r="J11" s="49">
        <f>Inputs!$B$25*1</f>
        <v/>
      </c>
      <c r="K11" s="49">
        <f>Inputs!$B$25*1</f>
        <v/>
      </c>
      <c r="L11" s="49">
        <f>Inputs!$B$25*1</f>
        <v/>
      </c>
      <c r="M11" s="49">
        <f>Inputs!$B$25*1</f>
        <v/>
      </c>
      <c r="N11" s="49">
        <f>Inputs!$B$25*1</f>
        <v/>
      </c>
      <c r="O11" s="49">
        <f>Inputs!$B$25*3</f>
        <v/>
      </c>
      <c r="P11" s="49">
        <f>Inputs!$B$25*3</f>
        <v/>
      </c>
      <c r="Q11" s="49">
        <f>Inputs!$B$25*3</f>
        <v/>
      </c>
      <c r="R11" s="49">
        <f>Inputs!$B$25*3</f>
        <v/>
      </c>
      <c r="S11" s="49">
        <f>Inputs!$B$25*3</f>
        <v/>
      </c>
      <c r="T11" s="49">
        <f>Inputs!$B$25*3</f>
        <v/>
      </c>
      <c r="U11" s="49">
        <f>Inputs!$B$25*3</f>
        <v/>
      </c>
      <c r="V11" s="49">
        <f>Inputs!$B$25*3</f>
        <v/>
      </c>
    </row>
    <row r="12">
      <c r="A12" s="28" t="inlineStr">
        <is>
          <t>Patient-days</t>
        </is>
      </c>
      <c r="C12" s="50">
        <f>C10*C11</f>
        <v/>
      </c>
      <c r="D12" s="50">
        <f>D10*D11</f>
        <v/>
      </c>
      <c r="E12" s="50">
        <f>E10*E11</f>
        <v/>
      </c>
      <c r="F12" s="50">
        <f>F10*F11</f>
        <v/>
      </c>
      <c r="G12" s="50">
        <f>G10*G11</f>
        <v/>
      </c>
      <c r="H12" s="50">
        <f>H10*H11</f>
        <v/>
      </c>
      <c r="I12" s="50">
        <f>I10*I11</f>
        <v/>
      </c>
      <c r="J12" s="50">
        <f>J10*J11</f>
        <v/>
      </c>
      <c r="K12" s="50">
        <f>K10*K11</f>
        <v/>
      </c>
      <c r="L12" s="50">
        <f>L10*L11</f>
        <v/>
      </c>
      <c r="M12" s="50">
        <f>M10*M11</f>
        <v/>
      </c>
      <c r="N12" s="50">
        <f>N10*N11</f>
        <v/>
      </c>
      <c r="O12" s="50">
        <f>O10*O11</f>
        <v/>
      </c>
      <c r="P12" s="50">
        <f>P10*P11</f>
        <v/>
      </c>
      <c r="Q12" s="50">
        <f>Q10*Q11</f>
        <v/>
      </c>
      <c r="R12" s="50">
        <f>R10*R11</f>
        <v/>
      </c>
      <c r="S12" s="50">
        <f>S10*S11</f>
        <v/>
      </c>
      <c r="T12" s="50">
        <f>T10*T11</f>
        <v/>
      </c>
      <c r="U12" s="50">
        <f>U10*U11</f>
        <v/>
      </c>
      <c r="V12" s="50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28" t="inlineStr">
        <is>
          <t>NET REVENUE</t>
        </is>
      </c>
      <c r="C17" s="29">
        <f>C14*(1-Inputs!$B$10-Inputs!$B$11)</f>
        <v/>
      </c>
      <c r="D17" s="29">
        <f>D14*(1-Inputs!$B$10-Inputs!$B$11)</f>
        <v/>
      </c>
      <c r="E17" s="29">
        <f>E14*(1-Inputs!$B$10-Inputs!$B$11)</f>
        <v/>
      </c>
      <c r="F17" s="29">
        <f>F14*(1-Inputs!$B$10-Inputs!$B$11)</f>
        <v/>
      </c>
      <c r="G17" s="29">
        <f>G14*(1-Inputs!$B$10-Inputs!$B$11)</f>
        <v/>
      </c>
      <c r="H17" s="29">
        <f>H14*(1-Inputs!$B$10-Inputs!$B$11)</f>
        <v/>
      </c>
      <c r="I17" s="29">
        <f>I14*(1-Inputs!$B$10-Inputs!$B$11)</f>
        <v/>
      </c>
      <c r="J17" s="29">
        <f>J14*(1-Inputs!$B$10-Inputs!$B$11)</f>
        <v/>
      </c>
      <c r="K17" s="29">
        <f>K14*(1-Inputs!$B$10-Inputs!$B$11)</f>
        <v/>
      </c>
      <c r="L17" s="29">
        <f>L14*(1-Inputs!$B$10-Inputs!$B$11)</f>
        <v/>
      </c>
      <c r="M17" s="29">
        <f>M14*(1-Inputs!$B$10-Inputs!$B$11)</f>
        <v/>
      </c>
      <c r="N17" s="29">
        <f>N14*(1-Inputs!$B$10-Inputs!$B$11)</f>
        <v/>
      </c>
      <c r="O17" s="29">
        <f>O14*(1-Inputs!$B$10-Inputs!$B$11)</f>
        <v/>
      </c>
      <c r="P17" s="29">
        <f>P14*(1-Inputs!$B$10-Inputs!$B$11)</f>
        <v/>
      </c>
      <c r="Q17" s="29">
        <f>Q14*(1-Inputs!$B$10-Inputs!$B$11)</f>
        <v/>
      </c>
      <c r="R17" s="29">
        <f>R14*(1-Inputs!$B$10-Inputs!$B$11)</f>
        <v/>
      </c>
      <c r="S17" s="29">
        <f>S14*(1-Inputs!$B$10-Inputs!$B$11)</f>
        <v/>
      </c>
      <c r="T17" s="29">
        <f>T14*(1-Inputs!$B$10-Inputs!$B$11)</f>
        <v/>
      </c>
      <c r="U17" s="29">
        <f>U14*(1-Inputs!$B$10-Inputs!$B$11)</f>
        <v/>
      </c>
      <c r="V17" s="29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42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7" t="inlineStr">
        <is>
          <t>($ per period)</t>
        </is>
      </c>
      <c r="C4" s="35" t="inlineStr">
        <is>
          <t>YEAR 1 — monthly</t>
        </is>
      </c>
      <c r="O4" s="35" t="inlineStr">
        <is>
          <t>YEAR 2 — quarterly</t>
        </is>
      </c>
      <c r="S4" s="35" t="inlineStr">
        <is>
          <t>YEAR 3 —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1" t="inlineStr">
        <is>
          <t>ADC (driver)</t>
        </is>
      </c>
      <c r="C6" s="49">
        <f>'Revenue Model'!C10</f>
        <v/>
      </c>
      <c r="D6" s="49">
        <f>'Revenue Model'!D10</f>
        <v/>
      </c>
      <c r="E6" s="49">
        <f>'Revenue Model'!E10</f>
        <v/>
      </c>
      <c r="F6" s="49">
        <f>'Revenue Model'!F10</f>
        <v/>
      </c>
      <c r="G6" s="49">
        <f>'Revenue Model'!G10</f>
        <v/>
      </c>
      <c r="H6" s="49">
        <f>'Revenue Model'!H10</f>
        <v/>
      </c>
      <c r="I6" s="49">
        <f>'Revenue Model'!I10</f>
        <v/>
      </c>
      <c r="J6" s="49">
        <f>'Revenue Model'!J10</f>
        <v/>
      </c>
      <c r="K6" s="49">
        <f>'Revenue Model'!K10</f>
        <v/>
      </c>
      <c r="L6" s="49">
        <f>'Revenue Model'!L10</f>
        <v/>
      </c>
      <c r="M6" s="49">
        <f>'Revenue Model'!M10</f>
        <v/>
      </c>
      <c r="N6" s="49">
        <f>'Revenue Model'!N10</f>
        <v/>
      </c>
      <c r="O6" s="49">
        <f>'Revenue Model'!O10</f>
        <v/>
      </c>
      <c r="P6" s="49">
        <f>'Revenue Model'!P10</f>
        <v/>
      </c>
      <c r="Q6" s="49">
        <f>'Revenue Model'!Q10</f>
        <v/>
      </c>
      <c r="R6" s="49">
        <f>'Revenue Model'!R10</f>
        <v/>
      </c>
      <c r="S6" s="49">
        <f>'Revenue Model'!S10</f>
        <v/>
      </c>
      <c r="T6" s="49">
        <f>'Revenue Model'!T10</f>
        <v/>
      </c>
      <c r="U6" s="49">
        <f>'Revenue Model'!U10</f>
        <v/>
      </c>
      <c r="V6" s="49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IF(15&gt;=Inputs!$D$37,Inputs!$C$37/12*3*(1+Inputs!$B$62)^1,0)</f>
        <v/>
      </c>
      <c r="P8" s="24">
        <f>IF(18&gt;=Inputs!$D$37,Inputs!$C$37/12*3*(1+Inputs!$B$62)^1,0)</f>
        <v/>
      </c>
      <c r="Q8" s="24">
        <f>IF(21&gt;=Inputs!$D$37,Inputs!$C$37/12*3*(1+Inputs!$B$62)^1,0)</f>
        <v/>
      </c>
      <c r="R8" s="24">
        <f>IF(24&gt;=Inputs!$D$37,Inputs!$C$37/12*3*(1+Inputs!$B$62)^1,0)</f>
        <v/>
      </c>
      <c r="S8" s="24">
        <f>IF(27&gt;=Inputs!$D$37,Inputs!$C$37/12*3*(1+Inputs!$B$62)^2,0)</f>
        <v/>
      </c>
      <c r="T8" s="24">
        <f>IF(30&gt;=Inputs!$D$37,Inputs!$C$37/12*3*(1+Inputs!$B$62)^2,0)</f>
        <v/>
      </c>
      <c r="U8" s="24">
        <f>IF(33&gt;=Inputs!$D$37,Inputs!$C$37/12*3*(1+Inputs!$B$62)^2,0)</f>
        <v/>
      </c>
      <c r="V8" s="24">
        <f>IF(36&gt;=Inputs!$D$37,Inputs!$C$37/12*3*(1+Inputs!$B$62)^2,0)</f>
        <v/>
      </c>
    </row>
    <row r="9">
      <c r="A9" s="4" t="inlineStr">
        <is>
          <t>Angie Frost —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IF(15&gt;=Inputs!$D$38,Inputs!$C$38/12*3*(1+Inputs!$B$62)^1,0)</f>
        <v/>
      </c>
      <c r="P9" s="24">
        <f>IF(18&gt;=Inputs!$D$38,Inputs!$C$38/12*3*(1+Inputs!$B$62)^1,0)</f>
        <v/>
      </c>
      <c r="Q9" s="24">
        <f>IF(21&gt;=Inputs!$D$38,Inputs!$C$38/12*3*(1+Inputs!$B$62)^1,0)</f>
        <v/>
      </c>
      <c r="R9" s="24">
        <f>IF(24&gt;=Inputs!$D$38,Inputs!$C$38/12*3*(1+Inputs!$B$62)^1,0)</f>
        <v/>
      </c>
      <c r="S9" s="24">
        <f>IF(27&gt;=Inputs!$D$38,Inputs!$C$38/12*3*(1+Inputs!$B$62)^2,0)</f>
        <v/>
      </c>
      <c r="T9" s="24">
        <f>IF(30&gt;=Inputs!$D$38,Inputs!$C$38/12*3*(1+Inputs!$B$62)^2,0)</f>
        <v/>
      </c>
      <c r="U9" s="24">
        <f>IF(33&gt;=Inputs!$D$38,Inputs!$C$38/12*3*(1+Inputs!$B$62)^2,0)</f>
        <v/>
      </c>
      <c r="V9" s="24">
        <f>IF(36&gt;=Inputs!$D$38,Inputs!$C$38/12*3*(1+Inputs!$B$62)^2,0)</f>
        <v/>
      </c>
    </row>
    <row r="10">
      <c r="A10" s="4" t="inlineStr">
        <is>
          <t>Tanisha Robison —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IF(15&gt;=Inputs!$D$39,Inputs!$C$39/12*3*(1+Inputs!$B$62)^1,0)</f>
        <v/>
      </c>
      <c r="P10" s="24">
        <f>IF(18&gt;=Inputs!$D$39,Inputs!$C$39/12*3*(1+Inputs!$B$62)^1,0)</f>
        <v/>
      </c>
      <c r="Q10" s="24">
        <f>IF(21&gt;=Inputs!$D$39,Inputs!$C$39/12*3*(1+Inputs!$B$62)^1,0)</f>
        <v/>
      </c>
      <c r="R10" s="24">
        <f>IF(24&gt;=Inputs!$D$39,Inputs!$C$39/12*3*(1+Inputs!$B$62)^1,0)</f>
        <v/>
      </c>
      <c r="S10" s="24">
        <f>IF(27&gt;=Inputs!$D$39,Inputs!$C$39/12*3*(1+Inputs!$B$62)^2,0)</f>
        <v/>
      </c>
      <c r="T10" s="24">
        <f>IF(30&gt;=Inputs!$D$39,Inputs!$C$39/12*3*(1+Inputs!$B$62)^2,0)</f>
        <v/>
      </c>
      <c r="U10" s="24">
        <f>IF(33&gt;=Inputs!$D$39,Inputs!$C$39/12*3*(1+Inputs!$B$62)^2,0)</f>
        <v/>
      </c>
      <c r="V10" s="24">
        <f>IF(36&gt;=Inputs!$D$39,Inputs!$C$39/12*3*(1+Inputs!$B$62)^2,0)</f>
        <v/>
      </c>
    </row>
    <row r="11">
      <c r="A11" s="4" t="inlineStr">
        <is>
          <t>Dana Davenport —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IF(15&gt;=Inputs!$D$40,Inputs!$C$40/12*3*(1+Inputs!$B$62)^1,0)</f>
        <v/>
      </c>
      <c r="P11" s="24">
        <f>IF(18&gt;=Inputs!$D$40,Inputs!$C$40/12*3*(1+Inputs!$B$62)^1,0)</f>
        <v/>
      </c>
      <c r="Q11" s="24">
        <f>IF(21&gt;=Inputs!$D$40,Inputs!$C$40/12*3*(1+Inputs!$B$62)^1,0)</f>
        <v/>
      </c>
      <c r="R11" s="24">
        <f>IF(24&gt;=Inputs!$D$40,Inputs!$C$40/12*3*(1+Inputs!$B$62)^1,0)</f>
        <v/>
      </c>
      <c r="S11" s="24">
        <f>IF(27&gt;=Inputs!$D$40,Inputs!$C$40/12*3*(1+Inputs!$B$62)^2,0)</f>
        <v/>
      </c>
      <c r="T11" s="24">
        <f>IF(30&gt;=Inputs!$D$40,Inputs!$C$40/12*3*(1+Inputs!$B$62)^2,0)</f>
        <v/>
      </c>
      <c r="U11" s="24">
        <f>IF(33&gt;=Inputs!$D$40,Inputs!$C$40/12*3*(1+Inputs!$B$62)^2,0)</f>
        <v/>
      </c>
      <c r="V11" s="24">
        <f>IF(36&gt;=Inputs!$D$40,Inputs!$C$40/12*3*(1+Inputs!$B$62)^2,0)</f>
        <v/>
      </c>
    </row>
    <row r="12">
      <c r="A12" s="4" t="inlineStr">
        <is>
          <t>Silas Shelton —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IF(15&gt;=Inputs!$D$41,Inputs!$C$41/12*3*(1+Inputs!$B$62)^1,0)</f>
        <v/>
      </c>
      <c r="P12" s="24">
        <f>IF(18&gt;=Inputs!$D$41,Inputs!$C$41/12*3*(1+Inputs!$B$62)^1,0)</f>
        <v/>
      </c>
      <c r="Q12" s="24">
        <f>IF(21&gt;=Inputs!$D$41,Inputs!$C$41/12*3*(1+Inputs!$B$62)^1,0)</f>
        <v/>
      </c>
      <c r="R12" s="24">
        <f>IF(24&gt;=Inputs!$D$41,Inputs!$C$41/12*3*(1+Inputs!$B$62)^1,0)</f>
        <v/>
      </c>
      <c r="S12" s="24">
        <f>IF(27&gt;=Inputs!$D$41,Inputs!$C$41/12*3*(1+Inputs!$B$62)^2,0)</f>
        <v/>
      </c>
      <c r="T12" s="24">
        <f>IF(30&gt;=Inputs!$D$41,Inputs!$C$41/12*3*(1+Inputs!$B$62)^2,0)</f>
        <v/>
      </c>
      <c r="U12" s="24">
        <f>IF(33&gt;=Inputs!$D$41,Inputs!$C$41/12*3*(1+Inputs!$B$62)^2,0)</f>
        <v/>
      </c>
      <c r="V12" s="24">
        <f>IF(36&gt;=Inputs!$D$41,Inputs!$C$41/12*3*(1+Inputs!$B$62)^2,0)</f>
        <v/>
      </c>
    </row>
    <row r="13">
      <c r="A13" s="14" t="inlineStr">
        <is>
          <t>Jodi McCollum —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IF(15&gt;=Inputs!$D$42,Inputs!$C$42/12*3*(1+Inputs!$B$62)^1,0)</f>
        <v/>
      </c>
      <c r="P13" s="24">
        <f>IF(18&gt;=Inputs!$D$42,Inputs!$C$42/12*3*(1+Inputs!$B$62)^1,0)</f>
        <v/>
      </c>
      <c r="Q13" s="24">
        <f>IF(21&gt;=Inputs!$D$42,Inputs!$C$42/12*3*(1+Inputs!$B$62)^1,0)</f>
        <v/>
      </c>
      <c r="R13" s="24">
        <f>IF(24&gt;=Inputs!$D$42,Inputs!$C$42/12*3*(1+Inputs!$B$62)^1,0)</f>
        <v/>
      </c>
      <c r="S13" s="24">
        <f>IF(27&gt;=Inputs!$D$42,Inputs!$C$42/12*3*(1+Inputs!$B$62)^2,0)</f>
        <v/>
      </c>
      <c r="T13" s="24">
        <f>IF(30&gt;=Inputs!$D$42,Inputs!$C$42/12*3*(1+Inputs!$B$62)^2,0)</f>
        <v/>
      </c>
      <c r="U13" s="24">
        <f>IF(33&gt;=Inputs!$D$42,Inputs!$C$42/12*3*(1+Inputs!$B$62)^2,0)</f>
        <v/>
      </c>
      <c r="V13" s="24">
        <f>IF(36&gt;=Inputs!$D$42,Inputs!$C$42/12*3*(1+Inputs!$B$62)^2,0)</f>
        <v/>
      </c>
    </row>
    <row r="14">
      <c r="A14" s="4" t="inlineStr">
        <is>
          <t>Capacity hire — 2nd CNA — CNA / Hospice Aide (capacity-driven, triggers ADC≥25)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IF(15&gt;=Inputs!$D$43,Inputs!$C$43/12*3*(1+Inputs!$B$62)^1,0)</f>
        <v/>
      </c>
      <c r="P14" s="24">
        <f>IF(18&gt;=Inputs!$D$43,Inputs!$C$43/12*3*(1+Inputs!$B$62)^1,0)</f>
        <v/>
      </c>
      <c r="Q14" s="24">
        <f>IF(21&gt;=Inputs!$D$43,Inputs!$C$43/12*3*(1+Inputs!$B$62)^1,0)</f>
        <v/>
      </c>
      <c r="R14" s="24">
        <f>IF(24&gt;=Inputs!$D$43,Inputs!$C$43/12*3*(1+Inputs!$B$62)^1,0)</f>
        <v/>
      </c>
      <c r="S14" s="24">
        <f>IF(27&gt;=Inputs!$D$43,Inputs!$C$43/12*3*(1+Inputs!$B$62)^2,0)</f>
        <v/>
      </c>
      <c r="T14" s="24">
        <f>IF(30&gt;=Inputs!$D$43,Inputs!$C$43/12*3*(1+Inputs!$B$62)^2,0)</f>
        <v/>
      </c>
      <c r="U14" s="24">
        <f>IF(33&gt;=Inputs!$D$43,Inputs!$C$43/12*3*(1+Inputs!$B$62)^2,0)</f>
        <v/>
      </c>
      <c r="V14" s="24">
        <f>IF(36&gt;=Inputs!$D$43,Inputs!$C$43/12*3*(1+Inputs!$B$62)^2,0)</f>
        <v/>
      </c>
    </row>
    <row r="15">
      <c r="A15" s="4" t="inlineStr">
        <is>
          <t>Capacity hire — 3rd RN — RN Case Manager (capacity-driven, triggers ADC≥32)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IF(15&gt;=Inputs!$D$44,Inputs!$C$44/12*3*(1+Inputs!$B$62)^1,0)</f>
        <v/>
      </c>
      <c r="P15" s="24">
        <f>IF(18&gt;=Inputs!$D$44,Inputs!$C$44/12*3*(1+Inputs!$B$62)^1,0)</f>
        <v/>
      </c>
      <c r="Q15" s="24">
        <f>IF(21&gt;=Inputs!$D$44,Inputs!$C$44/12*3*(1+Inputs!$B$62)^1,0)</f>
        <v/>
      </c>
      <c r="R15" s="24">
        <f>IF(24&gt;=Inputs!$D$44,Inputs!$C$44/12*3*(1+Inputs!$B$62)^1,0)</f>
        <v/>
      </c>
      <c r="S15" s="24">
        <f>IF(27&gt;=Inputs!$D$44,Inputs!$C$44/12*3*(1+Inputs!$B$62)^2,0)</f>
        <v/>
      </c>
      <c r="T15" s="24">
        <f>IF(30&gt;=Inputs!$D$44,Inputs!$C$44/12*3*(1+Inputs!$B$62)^2,0)</f>
        <v/>
      </c>
      <c r="U15" s="24">
        <f>IF(33&gt;=Inputs!$D$44,Inputs!$C$44/12*3*(1+Inputs!$B$62)^2,0)</f>
        <v/>
      </c>
      <c r="V15" s="24">
        <f>IF(36&gt;=Inputs!$D$44,Inputs!$C$44/12*3*(1+Inputs!$B$62)^2,0)</f>
        <v/>
      </c>
    </row>
    <row r="16">
      <c r="A16" s="4" t="inlineStr">
        <is>
          <t>Capacity hire — 3rd CNA — CNA / Hospice Aide (capacity-driven, triggers ADC≥38)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IF(15&gt;=Inputs!$D$45,Inputs!$C$45/12*3*(1+Inputs!$B$62)^1,0)</f>
        <v/>
      </c>
      <c r="P16" s="24">
        <f>IF(18&gt;=Inputs!$D$45,Inputs!$C$45/12*3*(1+Inputs!$B$62)^1,0)</f>
        <v/>
      </c>
      <c r="Q16" s="24">
        <f>IF(21&gt;=Inputs!$D$45,Inputs!$C$45/12*3*(1+Inputs!$B$62)^1,0)</f>
        <v/>
      </c>
      <c r="R16" s="24">
        <f>IF(24&gt;=Inputs!$D$45,Inputs!$C$45/12*3*(1+Inputs!$B$62)^1,0)</f>
        <v/>
      </c>
      <c r="S16" s="24">
        <f>IF(27&gt;=Inputs!$D$45,Inputs!$C$45/12*3*(1+Inputs!$B$62)^2,0)</f>
        <v/>
      </c>
      <c r="T16" s="24">
        <f>IF(30&gt;=Inputs!$D$45,Inputs!$C$45/12*3*(1+Inputs!$B$62)^2,0)</f>
        <v/>
      </c>
      <c r="U16" s="24">
        <f>IF(33&gt;=Inputs!$D$45,Inputs!$C$45/12*3*(1+Inputs!$B$62)^2,0)</f>
        <v/>
      </c>
      <c r="V16" s="24">
        <f>IF(36&gt;=Inputs!$D$45,Inputs!$C$45/12*3*(1+Inputs!$B$62)^2,0)</f>
        <v/>
      </c>
    </row>
    <row r="17">
      <c r="A17" s="4" t="inlineStr">
        <is>
          <t>Capacity hire — 4th RN — RN Case Manager (capacity-driven, triggers ADC≥45)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IF(15&gt;=Inputs!$D$46,Inputs!$C$46/12*3*(1+Inputs!$B$62)^1,0)</f>
        <v/>
      </c>
      <c r="P17" s="24">
        <f>IF(18&gt;=Inputs!$D$46,Inputs!$C$46/12*3*(1+Inputs!$B$62)^1,0)</f>
        <v/>
      </c>
      <c r="Q17" s="24">
        <f>IF(21&gt;=Inputs!$D$46,Inputs!$C$46/12*3*(1+Inputs!$B$62)^1,0)</f>
        <v/>
      </c>
      <c r="R17" s="24">
        <f>IF(24&gt;=Inputs!$D$46,Inputs!$C$46/12*3*(1+Inputs!$B$62)^1,0)</f>
        <v/>
      </c>
      <c r="S17" s="24">
        <f>IF(27&gt;=Inputs!$D$46,Inputs!$C$46/12*3*(1+Inputs!$B$62)^2,0)</f>
        <v/>
      </c>
      <c r="T17" s="24">
        <f>IF(30&gt;=Inputs!$D$46,Inputs!$C$46/12*3*(1+Inputs!$B$62)^2,0)</f>
        <v/>
      </c>
      <c r="U17" s="24">
        <f>IF(33&gt;=Inputs!$D$46,Inputs!$C$46/12*3*(1+Inputs!$B$62)^2,0)</f>
        <v/>
      </c>
      <c r="V17" s="24">
        <f>IF(36&gt;=Inputs!$D$46,Inputs!$C$46/12*3*(1+Inputs!$B$62)^2,0)</f>
        <v/>
      </c>
    </row>
    <row r="18">
      <c r="A18" s="28" t="inlineStr">
        <is>
          <t>Subtotal — direct-care FT salaries</t>
        </is>
      </c>
      <c r="C18" s="23">
        <f>C9+C10+C13+C14+C15+C16+C17</f>
        <v/>
      </c>
      <c r="D18" s="23">
        <f>D9+D10+D13+D14+D15+D16+D17</f>
        <v/>
      </c>
      <c r="E18" s="23">
        <f>E9+E10+E13+E14+E15+E16+E17</f>
        <v/>
      </c>
      <c r="F18" s="23">
        <f>F9+F10+F13+F14+F15+F16+F17</f>
        <v/>
      </c>
      <c r="G18" s="23">
        <f>G9+G10+G13+G14+G15+G16+G17</f>
        <v/>
      </c>
      <c r="H18" s="23">
        <f>H9+H10+H13+H14+H15+H16+H17</f>
        <v/>
      </c>
      <c r="I18" s="23">
        <f>I9+I10+I13+I14+I15+I16+I17</f>
        <v/>
      </c>
      <c r="J18" s="23">
        <f>J9+J10+J13+J14+J15+J16+J17</f>
        <v/>
      </c>
      <c r="K18" s="23">
        <f>K9+K10+K13+K14+K15+K16+K17</f>
        <v/>
      </c>
      <c r="L18" s="23">
        <f>L9+L10+L13+L14+L15+L16+L17</f>
        <v/>
      </c>
      <c r="M18" s="23">
        <f>M9+M10+M13+M14+M15+M16+M17</f>
        <v/>
      </c>
      <c r="N18" s="23">
        <f>N9+N10+N13+N14+N15+N16+N17</f>
        <v/>
      </c>
      <c r="O18" s="23">
        <f>O9+O10+O13+O14+O15+O16+O17</f>
        <v/>
      </c>
      <c r="P18" s="23">
        <f>P9+P10+P13+P14+P15+P16+P17</f>
        <v/>
      </c>
      <c r="Q18" s="23">
        <f>Q9+Q10+Q13+Q14+Q15+Q16+Q17</f>
        <v/>
      </c>
      <c r="R18" s="23">
        <f>R9+R10+R13+R14+R15+R16+R17</f>
        <v/>
      </c>
      <c r="S18" s="23">
        <f>S9+S10+S13+S14+S15+S16+S17</f>
        <v/>
      </c>
      <c r="T18" s="23">
        <f>T9+T10+T13+T14+T15+T16+T17</f>
        <v/>
      </c>
      <c r="U18" s="23">
        <f>U9+U10+U13+U14+U15+U16+U17</f>
        <v/>
      </c>
      <c r="V18" s="23">
        <f>V9+V10+V13+V14+V15+V16+V17</f>
        <v/>
      </c>
    </row>
    <row r="20">
      <c r="A20" s="3" t="inlineStr">
        <is>
          <t>PRN / PER-VISIT DIRECT CARE (census-driven)</t>
        </is>
      </c>
    </row>
    <row r="21">
      <c r="A21" s="4" t="inlineStr">
        <is>
          <t>PRN On-Call LVN (Kendricks-Tuck, Foster)</t>
        </is>
      </c>
      <c r="C21" s="24">
        <f>C6*Inputs!$C$51*Inputs!$D$51*1</f>
        <v/>
      </c>
      <c r="D21" s="24">
        <f>D6*Inputs!$C$51*Inputs!$D$51*1</f>
        <v/>
      </c>
      <c r="E21" s="24">
        <f>E6*Inputs!$C$51*Inputs!$D$51*1</f>
        <v/>
      </c>
      <c r="F21" s="24">
        <f>F6*Inputs!$C$51*Inputs!$D$51*1</f>
        <v/>
      </c>
      <c r="G21" s="24">
        <f>G6*Inputs!$C$51*Inputs!$D$51*1</f>
        <v/>
      </c>
      <c r="H21" s="24">
        <f>H6*Inputs!$C$51*Inputs!$D$51*1</f>
        <v/>
      </c>
      <c r="I21" s="24">
        <f>I6*Inputs!$C$51*Inputs!$D$51*1</f>
        <v/>
      </c>
      <c r="J21" s="24">
        <f>J6*Inputs!$C$51*Inputs!$D$51*1</f>
        <v/>
      </c>
      <c r="K21" s="24">
        <f>K6*Inputs!$C$51*Inputs!$D$51*1</f>
        <v/>
      </c>
      <c r="L21" s="24">
        <f>L6*Inputs!$C$51*Inputs!$D$51*1</f>
        <v/>
      </c>
      <c r="M21" s="24">
        <f>M6*Inputs!$C$51*Inputs!$D$51*1</f>
        <v/>
      </c>
      <c r="N21" s="24">
        <f>N6*Inputs!$C$51*Inputs!$D$51*1</f>
        <v/>
      </c>
      <c r="O21" s="24">
        <f>O6*Inputs!$C$51*Inputs!$D$51*3</f>
        <v/>
      </c>
      <c r="P21" s="24">
        <f>P6*Inputs!$C$51*Inputs!$D$51*3</f>
        <v/>
      </c>
      <c r="Q21" s="24">
        <f>Q6*Inputs!$C$51*Inputs!$D$51*3</f>
        <v/>
      </c>
      <c r="R21" s="24">
        <f>R6*Inputs!$C$51*Inputs!$D$51*3</f>
        <v/>
      </c>
      <c r="S21" s="24">
        <f>S6*Inputs!$C$51*Inputs!$D$51*3</f>
        <v/>
      </c>
      <c r="T21" s="24">
        <f>T6*Inputs!$C$51*Inputs!$D$51*3</f>
        <v/>
      </c>
      <c r="U21" s="24">
        <f>U6*Inputs!$C$51*Inputs!$D$51*3</f>
        <v/>
      </c>
      <c r="V21" s="24">
        <f>V6*Inputs!$C$51*Inputs!$D$51*3</f>
        <v/>
      </c>
    </row>
    <row r="22">
      <c r="A22" s="4" t="inlineStr">
        <is>
          <t>PRN Chaplain (Ector, Johnson)</t>
        </is>
      </c>
      <c r="C22" s="24">
        <f>C6*Inputs!$C$52*Inputs!$D$52*1</f>
        <v/>
      </c>
      <c r="D22" s="24">
        <f>D6*Inputs!$C$52*Inputs!$D$52*1</f>
        <v/>
      </c>
      <c r="E22" s="24">
        <f>E6*Inputs!$C$52*Inputs!$D$52*1</f>
        <v/>
      </c>
      <c r="F22" s="24">
        <f>F6*Inputs!$C$52*Inputs!$D$52*1</f>
        <v/>
      </c>
      <c r="G22" s="24">
        <f>G6*Inputs!$C$52*Inputs!$D$52*1</f>
        <v/>
      </c>
      <c r="H22" s="24">
        <f>H6*Inputs!$C$52*Inputs!$D$52*1</f>
        <v/>
      </c>
      <c r="I22" s="24">
        <f>I6*Inputs!$C$52*Inputs!$D$52*1</f>
        <v/>
      </c>
      <c r="J22" s="24">
        <f>J6*Inputs!$C$52*Inputs!$D$52*1</f>
        <v/>
      </c>
      <c r="K22" s="24">
        <f>K6*Inputs!$C$52*Inputs!$D$52*1</f>
        <v/>
      </c>
      <c r="L22" s="24">
        <f>L6*Inputs!$C$52*Inputs!$D$52*1</f>
        <v/>
      </c>
      <c r="M22" s="24">
        <f>M6*Inputs!$C$52*Inputs!$D$52*1</f>
        <v/>
      </c>
      <c r="N22" s="24">
        <f>N6*Inputs!$C$52*Inputs!$D$52*1</f>
        <v/>
      </c>
      <c r="O22" s="24">
        <f>O6*Inputs!$C$52*Inputs!$D$52*3</f>
        <v/>
      </c>
      <c r="P22" s="24">
        <f>P6*Inputs!$C$52*Inputs!$D$52*3</f>
        <v/>
      </c>
      <c r="Q22" s="24">
        <f>Q6*Inputs!$C$52*Inputs!$D$52*3</f>
        <v/>
      </c>
      <c r="R22" s="24">
        <f>R6*Inputs!$C$52*Inputs!$D$52*3</f>
        <v/>
      </c>
      <c r="S22" s="24">
        <f>S6*Inputs!$C$52*Inputs!$D$52*3</f>
        <v/>
      </c>
      <c r="T22" s="24">
        <f>T6*Inputs!$C$52*Inputs!$D$52*3</f>
        <v/>
      </c>
      <c r="U22" s="24">
        <f>U6*Inputs!$C$52*Inputs!$D$52*3</f>
        <v/>
      </c>
      <c r="V22" s="24">
        <f>V6*Inputs!$C$52*Inputs!$D$52*3</f>
        <v/>
      </c>
    </row>
    <row r="23">
      <c r="A23" s="4" t="inlineStr">
        <is>
          <t>PRN Social Worker (Sanders)</t>
        </is>
      </c>
      <c r="C23" s="24">
        <f>C6*Inputs!$C$53*Inputs!$D$53*1</f>
        <v/>
      </c>
      <c r="D23" s="24">
        <f>D6*Inputs!$C$53*Inputs!$D$53*1</f>
        <v/>
      </c>
      <c r="E23" s="24">
        <f>E6*Inputs!$C$53*Inputs!$D$53*1</f>
        <v/>
      </c>
      <c r="F23" s="24">
        <f>F6*Inputs!$C$53*Inputs!$D$53*1</f>
        <v/>
      </c>
      <c r="G23" s="24">
        <f>G6*Inputs!$C$53*Inputs!$D$53*1</f>
        <v/>
      </c>
      <c r="H23" s="24">
        <f>H6*Inputs!$C$53*Inputs!$D$53*1</f>
        <v/>
      </c>
      <c r="I23" s="24">
        <f>I6*Inputs!$C$53*Inputs!$D$53*1</f>
        <v/>
      </c>
      <c r="J23" s="24">
        <f>J6*Inputs!$C$53*Inputs!$D$53*1</f>
        <v/>
      </c>
      <c r="K23" s="24">
        <f>K6*Inputs!$C$53*Inputs!$D$53*1</f>
        <v/>
      </c>
      <c r="L23" s="24">
        <f>L6*Inputs!$C$53*Inputs!$D$53*1</f>
        <v/>
      </c>
      <c r="M23" s="24">
        <f>M6*Inputs!$C$53*Inputs!$D$53*1</f>
        <v/>
      </c>
      <c r="N23" s="24">
        <f>N6*Inputs!$C$53*Inputs!$D$53*1</f>
        <v/>
      </c>
      <c r="O23" s="24">
        <f>O6*Inputs!$C$53*Inputs!$D$53*3</f>
        <v/>
      </c>
      <c r="P23" s="24">
        <f>P6*Inputs!$C$53*Inputs!$D$53*3</f>
        <v/>
      </c>
      <c r="Q23" s="24">
        <f>Q6*Inputs!$C$53*Inputs!$D$53*3</f>
        <v/>
      </c>
      <c r="R23" s="24">
        <f>R6*Inputs!$C$53*Inputs!$D$53*3</f>
        <v/>
      </c>
      <c r="S23" s="24">
        <f>S6*Inputs!$C$53*Inputs!$D$53*3</f>
        <v/>
      </c>
      <c r="T23" s="24">
        <f>T6*Inputs!$C$53*Inputs!$D$53*3</f>
        <v/>
      </c>
      <c r="U23" s="24">
        <f>U6*Inputs!$C$53*Inputs!$D$53*3</f>
        <v/>
      </c>
      <c r="V23" s="24">
        <f>V6*Inputs!$C$53*Inputs!$D$53*3</f>
        <v/>
      </c>
    </row>
    <row r="24">
      <c r="A24" s="4" t="inlineStr">
        <is>
          <t>PRN Nurse Practitioner (Rogers)</t>
        </is>
      </c>
      <c r="C24" s="24">
        <f>C6*Inputs!$C$54*Inputs!$D$54*1</f>
        <v/>
      </c>
      <c r="D24" s="24">
        <f>D6*Inputs!$C$54*Inputs!$D$54*1</f>
        <v/>
      </c>
      <c r="E24" s="24">
        <f>E6*Inputs!$C$54*Inputs!$D$54*1</f>
        <v/>
      </c>
      <c r="F24" s="24">
        <f>F6*Inputs!$C$54*Inputs!$D$54*1</f>
        <v/>
      </c>
      <c r="G24" s="24">
        <f>G6*Inputs!$C$54*Inputs!$D$54*1</f>
        <v/>
      </c>
      <c r="H24" s="24">
        <f>H6*Inputs!$C$54*Inputs!$D$54*1</f>
        <v/>
      </c>
      <c r="I24" s="24">
        <f>I6*Inputs!$C$54*Inputs!$D$54*1</f>
        <v/>
      </c>
      <c r="J24" s="24">
        <f>J6*Inputs!$C$54*Inputs!$D$54*1</f>
        <v/>
      </c>
      <c r="K24" s="24">
        <f>K6*Inputs!$C$54*Inputs!$D$54*1</f>
        <v/>
      </c>
      <c r="L24" s="24">
        <f>L6*Inputs!$C$54*Inputs!$D$54*1</f>
        <v/>
      </c>
      <c r="M24" s="24">
        <f>M6*Inputs!$C$54*Inputs!$D$54*1</f>
        <v/>
      </c>
      <c r="N24" s="24">
        <f>N6*Inputs!$C$54*Inputs!$D$54*1</f>
        <v/>
      </c>
      <c r="O24" s="24">
        <f>O6*Inputs!$C$54*Inputs!$D$54*3</f>
        <v/>
      </c>
      <c r="P24" s="24">
        <f>P6*Inputs!$C$54*Inputs!$D$54*3</f>
        <v/>
      </c>
      <c r="Q24" s="24">
        <f>Q6*Inputs!$C$54*Inputs!$D$54*3</f>
        <v/>
      </c>
      <c r="R24" s="24">
        <f>R6*Inputs!$C$54*Inputs!$D$54*3</f>
        <v/>
      </c>
      <c r="S24" s="24">
        <f>S6*Inputs!$C$54*Inputs!$D$54*3</f>
        <v/>
      </c>
      <c r="T24" s="24">
        <f>T6*Inputs!$C$54*Inputs!$D$54*3</f>
        <v/>
      </c>
      <c r="U24" s="24">
        <f>U6*Inputs!$C$54*Inputs!$D$54*3</f>
        <v/>
      </c>
      <c r="V24" s="24">
        <f>V6*Inputs!$C$54*Inputs!$D$54*3</f>
        <v/>
      </c>
    </row>
    <row r="25">
      <c r="A25" s="4" t="inlineStr">
        <is>
          <t>PRN CNA / per-visit (Henson, Mills)</t>
        </is>
      </c>
      <c r="C25" s="24">
        <f>C6*Inputs!$C$55*Inputs!$D$55*1</f>
        <v/>
      </c>
      <c r="D25" s="24">
        <f>D6*Inputs!$C$55*Inputs!$D$55*1</f>
        <v/>
      </c>
      <c r="E25" s="24">
        <f>E6*Inputs!$C$55*Inputs!$D$55*1</f>
        <v/>
      </c>
      <c r="F25" s="24">
        <f>F6*Inputs!$C$55*Inputs!$D$55*1</f>
        <v/>
      </c>
      <c r="G25" s="24">
        <f>G6*Inputs!$C$55*Inputs!$D$55*1</f>
        <v/>
      </c>
      <c r="H25" s="24">
        <f>H6*Inputs!$C$55*Inputs!$D$55*1</f>
        <v/>
      </c>
      <c r="I25" s="24">
        <f>I6*Inputs!$C$55*Inputs!$D$55*1</f>
        <v/>
      </c>
      <c r="J25" s="24">
        <f>J6*Inputs!$C$55*Inputs!$D$55*1</f>
        <v/>
      </c>
      <c r="K25" s="24">
        <f>K6*Inputs!$C$55*Inputs!$D$55*1</f>
        <v/>
      </c>
      <c r="L25" s="24">
        <f>L6*Inputs!$C$55*Inputs!$D$55*1</f>
        <v/>
      </c>
      <c r="M25" s="24">
        <f>M6*Inputs!$C$55*Inputs!$D$55*1</f>
        <v/>
      </c>
      <c r="N25" s="24">
        <f>N6*Inputs!$C$55*Inputs!$D$55*1</f>
        <v/>
      </c>
      <c r="O25" s="24">
        <f>O6*Inputs!$C$55*Inputs!$D$55*3</f>
        <v/>
      </c>
      <c r="P25" s="24">
        <f>P6*Inputs!$C$55*Inputs!$D$55*3</f>
        <v/>
      </c>
      <c r="Q25" s="24">
        <f>Q6*Inputs!$C$55*Inputs!$D$55*3</f>
        <v/>
      </c>
      <c r="R25" s="24">
        <f>R6*Inputs!$C$55*Inputs!$D$55*3</f>
        <v/>
      </c>
      <c r="S25" s="24">
        <f>S6*Inputs!$C$55*Inputs!$D$55*3</f>
        <v/>
      </c>
      <c r="T25" s="24">
        <f>T6*Inputs!$C$55*Inputs!$D$55*3</f>
        <v/>
      </c>
      <c r="U25" s="24">
        <f>U6*Inputs!$C$55*Inputs!$D$55*3</f>
        <v/>
      </c>
      <c r="V25" s="24">
        <f>V6*Inputs!$C$55*Inputs!$D$55*3</f>
        <v/>
      </c>
    </row>
    <row r="26">
      <c r="A26" s="28" t="inlineStr">
        <is>
          <t>Subtotal — PRN visit wages</t>
        </is>
      </c>
      <c r="C26" s="23">
        <f>C21+C22+C23+C24+C25</f>
        <v/>
      </c>
      <c r="D26" s="23">
        <f>D21+D22+D23+D24+D25</f>
        <v/>
      </c>
      <c r="E26" s="23">
        <f>E21+E22+E23+E24+E25</f>
        <v/>
      </c>
      <c r="F26" s="23">
        <f>F21+F22+F23+F24+F25</f>
        <v/>
      </c>
      <c r="G26" s="23">
        <f>G21+G22+G23+G24+G25</f>
        <v/>
      </c>
      <c r="H26" s="23">
        <f>H21+H22+H23+H24+H25</f>
        <v/>
      </c>
      <c r="I26" s="23">
        <f>I21+I22+I23+I24+I25</f>
        <v/>
      </c>
      <c r="J26" s="23">
        <f>J21+J22+J23+J24+J25</f>
        <v/>
      </c>
      <c r="K26" s="23">
        <f>K21+K22+K23+K24+K25</f>
        <v/>
      </c>
      <c r="L26" s="23">
        <f>L21+L22+L23+L24+L25</f>
        <v/>
      </c>
      <c r="M26" s="23">
        <f>M21+M22+M23+M24+M25</f>
        <v/>
      </c>
      <c r="N26" s="23">
        <f>N21+N22+N23+N24+N25</f>
        <v/>
      </c>
      <c r="O26" s="23">
        <f>O21+O22+O23+O24+O25</f>
        <v/>
      </c>
      <c r="P26" s="23">
        <f>P21+P22+P23+P24+P25</f>
        <v/>
      </c>
      <c r="Q26" s="23">
        <f>Q21+Q22+Q23+Q24+Q25</f>
        <v/>
      </c>
      <c r="R26" s="23">
        <f>R21+R22+R23+R24+R25</f>
        <v/>
      </c>
      <c r="S26" s="23">
        <f>S21+S22+S23+S24+S25</f>
        <v/>
      </c>
      <c r="T26" s="23">
        <f>T21+T22+T23+T24+T25</f>
        <v/>
      </c>
      <c r="U26" s="23">
        <f>U21+U22+U23+U24+U25</f>
        <v/>
      </c>
      <c r="V26" s="23">
        <f>V21+V22+V23+V24+V25</f>
        <v/>
      </c>
    </row>
    <row r="27">
      <c r="A27" s="4" t="inlineStr">
        <is>
          <t>Medical Director (1099)</t>
        </is>
      </c>
      <c r="C27" s="24">
        <f>Inputs!$B$69*1</f>
        <v/>
      </c>
      <c r="D27" s="24">
        <f>Inputs!$B$69*1</f>
        <v/>
      </c>
      <c r="E27" s="24">
        <f>Inputs!$B$69*1</f>
        <v/>
      </c>
      <c r="F27" s="24">
        <f>Inputs!$B$69*1</f>
        <v/>
      </c>
      <c r="G27" s="24">
        <f>Inputs!$B$69*1</f>
        <v/>
      </c>
      <c r="H27" s="24">
        <f>Inputs!$B$69*1</f>
        <v/>
      </c>
      <c r="I27" s="24">
        <f>Inputs!$B$69*1</f>
        <v/>
      </c>
      <c r="J27" s="24">
        <f>Inputs!$B$69*1</f>
        <v/>
      </c>
      <c r="K27" s="24">
        <f>Inputs!$B$69*1</f>
        <v/>
      </c>
      <c r="L27" s="24">
        <f>Inputs!$B$69*1</f>
        <v/>
      </c>
      <c r="M27" s="24">
        <f>Inputs!$B$69*1</f>
        <v/>
      </c>
      <c r="N27" s="24">
        <f>Inputs!$B$69*1</f>
        <v/>
      </c>
      <c r="O27" s="24">
        <f>Inputs!$B$69*3</f>
        <v/>
      </c>
      <c r="P27" s="24">
        <f>Inputs!$B$69*3</f>
        <v/>
      </c>
      <c r="Q27" s="24">
        <f>Inputs!$B$69*3</f>
        <v/>
      </c>
      <c r="R27" s="24">
        <f>Inputs!$B$69*3</f>
        <v/>
      </c>
      <c r="S27" s="24">
        <f>Inputs!$B$69*3</f>
        <v/>
      </c>
      <c r="T27" s="24">
        <f>Inputs!$B$69*3</f>
        <v/>
      </c>
      <c r="U27" s="24">
        <f>Inputs!$B$69*3</f>
        <v/>
      </c>
      <c r="V27" s="24">
        <f>Inputs!$B$69*3</f>
        <v/>
      </c>
    </row>
    <row r="29">
      <c r="A29" s="3" t="inlineStr">
        <is>
          <t>INDIRECT LABOR (SG&amp;A overhead)</t>
        </is>
      </c>
    </row>
    <row r="30">
      <c r="A30" s="28" t="inlineStr">
        <is>
          <t>Subtotal — indirect FT salaries</t>
        </is>
      </c>
      <c r="C30" s="23">
        <f>C8+C11+C12</f>
        <v/>
      </c>
      <c r="D30" s="23">
        <f>D8+D11+D12</f>
        <v/>
      </c>
      <c r="E30" s="23">
        <f>E8+E11+E12</f>
        <v/>
      </c>
      <c r="F30" s="23">
        <f>F8+F11+F12</f>
        <v/>
      </c>
      <c r="G30" s="23">
        <f>G8+G11+G12</f>
        <v/>
      </c>
      <c r="H30" s="23">
        <f>H8+H11+H12</f>
        <v/>
      </c>
      <c r="I30" s="23">
        <f>I8+I11+I12</f>
        <v/>
      </c>
      <c r="J30" s="23">
        <f>J8+J11+J12</f>
        <v/>
      </c>
      <c r="K30" s="23">
        <f>K8+K11+K12</f>
        <v/>
      </c>
      <c r="L30" s="23">
        <f>L8+L11+L12</f>
        <v/>
      </c>
      <c r="M30" s="23">
        <f>M8+M11+M12</f>
        <v/>
      </c>
      <c r="N30" s="23">
        <f>N8+N11+N12</f>
        <v/>
      </c>
      <c r="O30" s="23">
        <f>O8+O11+O12</f>
        <v/>
      </c>
      <c r="P30" s="23">
        <f>P8+P11+P12</f>
        <v/>
      </c>
      <c r="Q30" s="23">
        <f>Q8+Q11+Q12</f>
        <v/>
      </c>
      <c r="R30" s="23">
        <f>R8+R11+R12</f>
        <v/>
      </c>
      <c r="S30" s="23">
        <f>S8+S11+S12</f>
        <v/>
      </c>
      <c r="T30" s="23">
        <f>T8+T11+T12</f>
        <v/>
      </c>
      <c r="U30" s="23">
        <f>U8+U11+U12</f>
        <v/>
      </c>
      <c r="V30" s="23">
        <f>V8+V11+V12</f>
        <v/>
      </c>
    </row>
    <row r="31">
      <c r="A31" s="4" t="inlineStr">
        <is>
          <t>Rhonda Smith — Office Mgr (PRN, W-2)</t>
        </is>
      </c>
      <c r="C31" s="24">
        <f>Inputs!$C$47/12*1*1</f>
        <v/>
      </c>
      <c r="D31" s="24">
        <f>Inputs!$C$47/12*1*1</f>
        <v/>
      </c>
      <c r="E31" s="24">
        <f>Inputs!$C$47/12*1*1</f>
        <v/>
      </c>
      <c r="F31" s="24">
        <f>Inputs!$C$47/12*1*1</f>
        <v/>
      </c>
      <c r="G31" s="24">
        <f>Inputs!$C$47/12*1*1</f>
        <v/>
      </c>
      <c r="H31" s="24">
        <f>Inputs!$C$47/12*1*1</f>
        <v/>
      </c>
      <c r="I31" s="24">
        <f>Inputs!$C$47/12*1*1</f>
        <v/>
      </c>
      <c r="J31" s="24">
        <f>Inputs!$C$47/12*1*1</f>
        <v/>
      </c>
      <c r="K31" s="24">
        <f>Inputs!$C$47/12*1*1</f>
        <v/>
      </c>
      <c r="L31" s="24">
        <f>Inputs!$C$47/12*1*1</f>
        <v/>
      </c>
      <c r="M31" s="24">
        <f>Inputs!$C$47/12*1*1</f>
        <v/>
      </c>
      <c r="N31" s="24">
        <f>Inputs!$C$47/12*1*1</f>
        <v/>
      </c>
      <c r="O31" s="24">
        <f>Inputs!$C$47/12*3*(1+Inputs!$B$62)^1</f>
        <v/>
      </c>
      <c r="P31" s="24">
        <f>Inputs!$C$47/12*3*(1+Inputs!$B$62)^1</f>
        <v/>
      </c>
      <c r="Q31" s="24">
        <f>Inputs!$C$47/12*3*(1+Inputs!$B$62)^1</f>
        <v/>
      </c>
      <c r="R31" s="24">
        <f>Inputs!$C$47/12*3*(1+Inputs!$B$62)^1</f>
        <v/>
      </c>
      <c r="S31" s="24">
        <f>Inputs!$C$47/12*3*(1+Inputs!$B$62)^2</f>
        <v/>
      </c>
      <c r="T31" s="24">
        <f>Inputs!$C$47/12*3*(1+Inputs!$B$62)^2</f>
        <v/>
      </c>
      <c r="U31" s="24">
        <f>Inputs!$C$47/12*3*(1+Inputs!$B$62)^2</f>
        <v/>
      </c>
      <c r="V31" s="24">
        <f>Inputs!$C$47/12*3*(1+Inputs!$B$62)^2</f>
        <v/>
      </c>
    </row>
    <row r="33">
      <c r="A33" s="3" t="inlineStr">
        <is>
          <t>EMPLOYER BURDEN &amp; BENEFITS (W-2 only)</t>
        </is>
      </c>
    </row>
    <row r="34">
      <c r="A34" s="21" t="inlineStr">
        <is>
          <t>Direct W-2 wage base (FT direct + PRN)</t>
        </is>
      </c>
      <c r="C34" s="24">
        <f>C18+C26</f>
        <v/>
      </c>
      <c r="D34" s="24">
        <f>D18+D26</f>
        <v/>
      </c>
      <c r="E34" s="24">
        <f>E18+E26</f>
        <v/>
      </c>
      <c r="F34" s="24">
        <f>F18+F26</f>
        <v/>
      </c>
      <c r="G34" s="24">
        <f>G18+G26</f>
        <v/>
      </c>
      <c r="H34" s="24">
        <f>H18+H26</f>
        <v/>
      </c>
      <c r="I34" s="24">
        <f>I18+I26</f>
        <v/>
      </c>
      <c r="J34" s="24">
        <f>J18+J26</f>
        <v/>
      </c>
      <c r="K34" s="24">
        <f>K18+K26</f>
        <v/>
      </c>
      <c r="L34" s="24">
        <f>L18+L26</f>
        <v/>
      </c>
      <c r="M34" s="24">
        <f>M18+M26</f>
        <v/>
      </c>
      <c r="N34" s="24">
        <f>N18+N26</f>
        <v/>
      </c>
      <c r="O34" s="24">
        <f>O18+O26</f>
        <v/>
      </c>
      <c r="P34" s="24">
        <f>P18+P26</f>
        <v/>
      </c>
      <c r="Q34" s="24">
        <f>Q18+Q26</f>
        <v/>
      </c>
      <c r="R34" s="24">
        <f>R18+R26</f>
        <v/>
      </c>
      <c r="S34" s="24">
        <f>S18+S26</f>
        <v/>
      </c>
      <c r="T34" s="24">
        <f>T18+T26</f>
        <v/>
      </c>
      <c r="U34" s="24">
        <f>U18+U26</f>
        <v/>
      </c>
      <c r="V34" s="24">
        <f>V18+V26</f>
        <v/>
      </c>
    </row>
    <row r="35">
      <c r="A35" s="21" t="inlineStr">
        <is>
          <t>Indirect W-2 wage base (FT indirect + Rhonda)</t>
        </is>
      </c>
      <c r="C35" s="24">
        <f>C30+C31</f>
        <v/>
      </c>
      <c r="D35" s="24">
        <f>D30+D31</f>
        <v/>
      </c>
      <c r="E35" s="24">
        <f>E30+E31</f>
        <v/>
      </c>
      <c r="F35" s="24">
        <f>F30+F31</f>
        <v/>
      </c>
      <c r="G35" s="24">
        <f>G30+G31</f>
        <v/>
      </c>
      <c r="H35" s="24">
        <f>H30+H31</f>
        <v/>
      </c>
      <c r="I35" s="24">
        <f>I30+I31</f>
        <v/>
      </c>
      <c r="J35" s="24">
        <f>J30+J31</f>
        <v/>
      </c>
      <c r="K35" s="24">
        <f>K30+K31</f>
        <v/>
      </c>
      <c r="L35" s="24">
        <f>L30+L31</f>
        <v/>
      </c>
      <c r="M35" s="24">
        <f>M30+M31</f>
        <v/>
      </c>
      <c r="N35" s="24">
        <f>N30+N31</f>
        <v/>
      </c>
      <c r="O35" s="24">
        <f>O30+O31</f>
        <v/>
      </c>
      <c r="P35" s="24">
        <f>P30+P31</f>
        <v/>
      </c>
      <c r="Q35" s="24">
        <f>Q30+Q31</f>
        <v/>
      </c>
      <c r="R35" s="24">
        <f>R30+R31</f>
        <v/>
      </c>
      <c r="S35" s="24">
        <f>S30+S31</f>
        <v/>
      </c>
      <c r="T35" s="24">
        <f>T30+T31</f>
        <v/>
      </c>
      <c r="U35" s="24">
        <f>U30+U31</f>
        <v/>
      </c>
      <c r="V35" s="24">
        <f>V30+V31</f>
        <v/>
      </c>
    </row>
    <row r="36">
      <c r="A36" s="4" t="inlineStr">
        <is>
          <t>Burden — direct (load %)</t>
        </is>
      </c>
      <c r="C36" s="24">
        <f>C34*Inputs!$B$65</f>
        <v/>
      </c>
      <c r="D36" s="24">
        <f>D34*Inputs!$B$65</f>
        <v/>
      </c>
      <c r="E36" s="24">
        <f>E34*Inputs!$B$65</f>
        <v/>
      </c>
      <c r="F36" s="24">
        <f>F34*Inputs!$B$65</f>
        <v/>
      </c>
      <c r="G36" s="24">
        <f>G34*Inputs!$B$65</f>
        <v/>
      </c>
      <c r="H36" s="24">
        <f>H34*Inputs!$B$65</f>
        <v/>
      </c>
      <c r="I36" s="24">
        <f>I34*Inputs!$B$65</f>
        <v/>
      </c>
      <c r="J36" s="24">
        <f>J34*Inputs!$B$65</f>
        <v/>
      </c>
      <c r="K36" s="24">
        <f>K34*Inputs!$B$65</f>
        <v/>
      </c>
      <c r="L36" s="24">
        <f>L34*Inputs!$B$65</f>
        <v/>
      </c>
      <c r="M36" s="24">
        <f>M34*Inputs!$B$65</f>
        <v/>
      </c>
      <c r="N36" s="24">
        <f>N34*Inputs!$B$65</f>
        <v/>
      </c>
      <c r="O36" s="24">
        <f>O34*Inputs!$B$65</f>
        <v/>
      </c>
      <c r="P36" s="24">
        <f>P34*Inputs!$B$65</f>
        <v/>
      </c>
      <c r="Q36" s="24">
        <f>Q34*Inputs!$B$65</f>
        <v/>
      </c>
      <c r="R36" s="24">
        <f>R34*Inputs!$B$65</f>
        <v/>
      </c>
      <c r="S36" s="24">
        <f>S34*Inputs!$B$65</f>
        <v/>
      </c>
      <c r="T36" s="24">
        <f>T34*Inputs!$B$65</f>
        <v/>
      </c>
      <c r="U36" s="24">
        <f>U34*Inputs!$B$65</f>
        <v/>
      </c>
      <c r="V36" s="24">
        <f>V34*Inputs!$B$65</f>
        <v/>
      </c>
    </row>
    <row r="37">
      <c r="A37" s="4" t="inlineStr">
        <is>
          <t>Burden — indirect (load %)</t>
        </is>
      </c>
      <c r="C37" s="24">
        <f>C35*Inputs!$B$65</f>
        <v/>
      </c>
      <c r="D37" s="24">
        <f>D35*Inputs!$B$65</f>
        <v/>
      </c>
      <c r="E37" s="24">
        <f>E35*Inputs!$B$65</f>
        <v/>
      </c>
      <c r="F37" s="24">
        <f>F35*Inputs!$B$65</f>
        <v/>
      </c>
      <c r="G37" s="24">
        <f>G35*Inputs!$B$65</f>
        <v/>
      </c>
      <c r="H37" s="24">
        <f>H35*Inputs!$B$65</f>
        <v/>
      </c>
      <c r="I37" s="24">
        <f>I35*Inputs!$B$65</f>
        <v/>
      </c>
      <c r="J37" s="24">
        <f>J35*Inputs!$B$65</f>
        <v/>
      </c>
      <c r="K37" s="24">
        <f>K35*Inputs!$B$65</f>
        <v/>
      </c>
      <c r="L37" s="24">
        <f>L35*Inputs!$B$65</f>
        <v/>
      </c>
      <c r="M37" s="24">
        <f>M35*Inputs!$B$65</f>
        <v/>
      </c>
      <c r="N37" s="24">
        <f>N35*Inputs!$B$65</f>
        <v/>
      </c>
      <c r="O37" s="24">
        <f>O35*Inputs!$B$65</f>
        <v/>
      </c>
      <c r="P37" s="24">
        <f>P35*Inputs!$B$65</f>
        <v/>
      </c>
      <c r="Q37" s="24">
        <f>Q35*Inputs!$B$65</f>
        <v/>
      </c>
      <c r="R37" s="24">
        <f>R35*Inputs!$B$65</f>
        <v/>
      </c>
      <c r="S37" s="24">
        <f>S35*Inputs!$B$65</f>
        <v/>
      </c>
      <c r="T37" s="24">
        <f>T35*Inputs!$B$65</f>
        <v/>
      </c>
      <c r="U37" s="24">
        <f>U35*Inputs!$B$65</f>
        <v/>
      </c>
      <c r="V37" s="24">
        <f>V35*Inputs!$B$65</f>
        <v/>
      </c>
    </row>
    <row r="38">
      <c r="A38" s="4" t="inlineStr">
        <is>
          <t>Health insurance — direct FT</t>
        </is>
      </c>
      <c r="C38" s="24">
        <f>Inputs!$B$66*(IF(1&gt;=Inputs!$D$38,1,0)+IF(1&gt;=Inputs!$D$39,1,0)+IF(1&gt;=Inputs!$D$42,1,0)+IF(1&gt;=Inputs!$D$43,1,0)+IF(1&gt;=Inputs!$D$44,1,0)+IF(1&gt;=Inputs!$D$45,1,0)+IF(1&gt;=Inputs!$D$46,1,0))*1</f>
        <v/>
      </c>
      <c r="D38" s="24">
        <f>Inputs!$B$66*(IF(2&gt;=Inputs!$D$38,1,0)+IF(2&gt;=Inputs!$D$39,1,0)+IF(2&gt;=Inputs!$D$42,1,0)+IF(2&gt;=Inputs!$D$43,1,0)+IF(2&gt;=Inputs!$D$44,1,0)+IF(2&gt;=Inputs!$D$45,1,0)+IF(2&gt;=Inputs!$D$46,1,0))*1</f>
        <v/>
      </c>
      <c r="E38" s="24">
        <f>Inputs!$B$66*(IF(3&gt;=Inputs!$D$38,1,0)+IF(3&gt;=Inputs!$D$39,1,0)+IF(3&gt;=Inputs!$D$42,1,0)+IF(3&gt;=Inputs!$D$43,1,0)+IF(3&gt;=Inputs!$D$44,1,0)+IF(3&gt;=Inputs!$D$45,1,0)+IF(3&gt;=Inputs!$D$46,1,0))*1</f>
        <v/>
      </c>
      <c r="F38" s="24">
        <f>Inputs!$B$66*(IF(4&gt;=Inputs!$D$38,1,0)+IF(4&gt;=Inputs!$D$39,1,0)+IF(4&gt;=Inputs!$D$42,1,0)+IF(4&gt;=Inputs!$D$43,1,0)+IF(4&gt;=Inputs!$D$44,1,0)+IF(4&gt;=Inputs!$D$45,1,0)+IF(4&gt;=Inputs!$D$46,1,0))*1</f>
        <v/>
      </c>
      <c r="G38" s="24">
        <f>Inputs!$B$66*(IF(5&gt;=Inputs!$D$38,1,0)+IF(5&gt;=Inputs!$D$39,1,0)+IF(5&gt;=Inputs!$D$42,1,0)+IF(5&gt;=Inputs!$D$43,1,0)+IF(5&gt;=Inputs!$D$44,1,0)+IF(5&gt;=Inputs!$D$45,1,0)+IF(5&gt;=Inputs!$D$46,1,0))*1</f>
        <v/>
      </c>
      <c r="H38" s="24">
        <f>Inputs!$B$66*(IF(6&gt;=Inputs!$D$38,1,0)+IF(6&gt;=Inputs!$D$39,1,0)+IF(6&gt;=Inputs!$D$42,1,0)+IF(6&gt;=Inputs!$D$43,1,0)+IF(6&gt;=Inputs!$D$44,1,0)+IF(6&gt;=Inputs!$D$45,1,0)+IF(6&gt;=Inputs!$D$46,1,0))*1</f>
        <v/>
      </c>
      <c r="I38" s="24">
        <f>Inputs!$B$66*(IF(7&gt;=Inputs!$D$38,1,0)+IF(7&gt;=Inputs!$D$39,1,0)+IF(7&gt;=Inputs!$D$42,1,0)+IF(7&gt;=Inputs!$D$43,1,0)+IF(7&gt;=Inputs!$D$44,1,0)+IF(7&gt;=Inputs!$D$45,1,0)+IF(7&gt;=Inputs!$D$46,1,0))*1</f>
        <v/>
      </c>
      <c r="J38" s="24">
        <f>Inputs!$B$66*(IF(8&gt;=Inputs!$D$38,1,0)+IF(8&gt;=Inputs!$D$39,1,0)+IF(8&gt;=Inputs!$D$42,1,0)+IF(8&gt;=Inputs!$D$43,1,0)+IF(8&gt;=Inputs!$D$44,1,0)+IF(8&gt;=Inputs!$D$45,1,0)+IF(8&gt;=Inputs!$D$46,1,0))*1</f>
        <v/>
      </c>
      <c r="K38" s="24">
        <f>Inputs!$B$66*(IF(9&gt;=Inputs!$D$38,1,0)+IF(9&gt;=Inputs!$D$39,1,0)+IF(9&gt;=Inputs!$D$42,1,0)+IF(9&gt;=Inputs!$D$43,1,0)+IF(9&gt;=Inputs!$D$44,1,0)+IF(9&gt;=Inputs!$D$45,1,0)+IF(9&gt;=Inputs!$D$46,1,0))*1</f>
        <v/>
      </c>
      <c r="L38" s="24">
        <f>Inputs!$B$66*(IF(10&gt;=Inputs!$D$38,1,0)+IF(10&gt;=Inputs!$D$39,1,0)+IF(10&gt;=Inputs!$D$42,1,0)+IF(10&gt;=Inputs!$D$43,1,0)+IF(10&gt;=Inputs!$D$44,1,0)+IF(10&gt;=Inputs!$D$45,1,0)+IF(10&gt;=Inputs!$D$46,1,0))*1</f>
        <v/>
      </c>
      <c r="M38" s="24">
        <f>Inputs!$B$66*(IF(11&gt;=Inputs!$D$38,1,0)+IF(11&gt;=Inputs!$D$39,1,0)+IF(11&gt;=Inputs!$D$42,1,0)+IF(11&gt;=Inputs!$D$43,1,0)+IF(11&gt;=Inputs!$D$44,1,0)+IF(11&gt;=Inputs!$D$45,1,0)+IF(11&gt;=Inputs!$D$46,1,0))*1</f>
        <v/>
      </c>
      <c r="N38" s="24">
        <f>Inputs!$B$66*(IF(12&gt;=Inputs!$D$38,1,0)+IF(12&gt;=Inputs!$D$39,1,0)+IF(12&gt;=Inputs!$D$42,1,0)+IF(12&gt;=Inputs!$D$43,1,0)+IF(12&gt;=Inputs!$D$44,1,0)+IF(12&gt;=Inputs!$D$45,1,0)+IF(12&gt;=Inputs!$D$46,1,0))*1</f>
        <v/>
      </c>
      <c r="O38" s="24">
        <f>Inputs!$B$66*(IF(15&gt;=Inputs!$D$38,1,0)+IF(15&gt;=Inputs!$D$39,1,0)+IF(15&gt;=Inputs!$D$42,1,0)+IF(15&gt;=Inputs!$D$43,1,0)+IF(15&gt;=Inputs!$D$44,1,0)+IF(15&gt;=Inputs!$D$45,1,0)+IF(15&gt;=Inputs!$D$46,1,0))*3</f>
        <v/>
      </c>
      <c r="P38" s="24">
        <f>Inputs!$B$66*(IF(18&gt;=Inputs!$D$38,1,0)+IF(18&gt;=Inputs!$D$39,1,0)+IF(18&gt;=Inputs!$D$42,1,0)+IF(18&gt;=Inputs!$D$43,1,0)+IF(18&gt;=Inputs!$D$44,1,0)+IF(18&gt;=Inputs!$D$45,1,0)+IF(18&gt;=Inputs!$D$46,1,0))*3</f>
        <v/>
      </c>
      <c r="Q38" s="24">
        <f>Inputs!$B$66*(IF(21&gt;=Inputs!$D$38,1,0)+IF(21&gt;=Inputs!$D$39,1,0)+IF(21&gt;=Inputs!$D$42,1,0)+IF(21&gt;=Inputs!$D$43,1,0)+IF(21&gt;=Inputs!$D$44,1,0)+IF(21&gt;=Inputs!$D$45,1,0)+IF(21&gt;=Inputs!$D$46,1,0))*3</f>
        <v/>
      </c>
      <c r="R38" s="24">
        <f>Inputs!$B$66*(IF(24&gt;=Inputs!$D$38,1,0)+IF(24&gt;=Inputs!$D$39,1,0)+IF(24&gt;=Inputs!$D$42,1,0)+IF(24&gt;=Inputs!$D$43,1,0)+IF(24&gt;=Inputs!$D$44,1,0)+IF(24&gt;=Inputs!$D$45,1,0)+IF(24&gt;=Inputs!$D$46,1,0))*3</f>
        <v/>
      </c>
      <c r="S38" s="24">
        <f>Inputs!$B$66*(IF(27&gt;=Inputs!$D$38,1,0)+IF(27&gt;=Inputs!$D$39,1,0)+IF(27&gt;=Inputs!$D$42,1,0)+IF(27&gt;=Inputs!$D$43,1,0)+IF(27&gt;=Inputs!$D$44,1,0)+IF(27&gt;=Inputs!$D$45,1,0)+IF(27&gt;=Inputs!$D$46,1,0))*3</f>
        <v/>
      </c>
      <c r="T38" s="24">
        <f>Inputs!$B$66*(IF(30&gt;=Inputs!$D$38,1,0)+IF(30&gt;=Inputs!$D$39,1,0)+IF(30&gt;=Inputs!$D$42,1,0)+IF(30&gt;=Inputs!$D$43,1,0)+IF(30&gt;=Inputs!$D$44,1,0)+IF(30&gt;=Inputs!$D$45,1,0)+IF(30&gt;=Inputs!$D$46,1,0))*3</f>
        <v/>
      </c>
      <c r="U38" s="24">
        <f>Inputs!$B$66*(IF(33&gt;=Inputs!$D$38,1,0)+IF(33&gt;=Inputs!$D$39,1,0)+IF(33&gt;=Inputs!$D$42,1,0)+IF(33&gt;=Inputs!$D$43,1,0)+IF(33&gt;=Inputs!$D$44,1,0)+IF(33&gt;=Inputs!$D$45,1,0)+IF(33&gt;=Inputs!$D$46,1,0))*3</f>
        <v/>
      </c>
      <c r="V38" s="24">
        <f>Inputs!$B$66*(IF(36&gt;=Inputs!$D$38,1,0)+IF(36&gt;=Inputs!$D$39,1,0)+IF(36&gt;=Inputs!$D$42,1,0)+IF(36&gt;=Inputs!$D$43,1,0)+IF(36&gt;=Inputs!$D$44,1,0)+IF(36&gt;=Inputs!$D$45,1,0)+IF(36&gt;=Inputs!$D$46,1,0))*3</f>
        <v/>
      </c>
    </row>
    <row r="39">
      <c r="A39" s="4" t="inlineStr">
        <is>
          <t>Health insurance — indirect FT</t>
        </is>
      </c>
      <c r="C39" s="24">
        <f>Inputs!$B$66*(IF(1&gt;=Inputs!$D$37,1,0)+IF(1&gt;=Inputs!$D$40,1,0)+IF(1&gt;=Inputs!$D$41,1,0))*1</f>
        <v/>
      </c>
      <c r="D39" s="24">
        <f>Inputs!$B$66*(IF(2&gt;=Inputs!$D$37,1,0)+IF(2&gt;=Inputs!$D$40,1,0)+IF(2&gt;=Inputs!$D$41,1,0))*1</f>
        <v/>
      </c>
      <c r="E39" s="24">
        <f>Inputs!$B$66*(IF(3&gt;=Inputs!$D$37,1,0)+IF(3&gt;=Inputs!$D$40,1,0)+IF(3&gt;=Inputs!$D$41,1,0))*1</f>
        <v/>
      </c>
      <c r="F39" s="24">
        <f>Inputs!$B$66*(IF(4&gt;=Inputs!$D$37,1,0)+IF(4&gt;=Inputs!$D$40,1,0)+IF(4&gt;=Inputs!$D$41,1,0))*1</f>
        <v/>
      </c>
      <c r="G39" s="24">
        <f>Inputs!$B$66*(IF(5&gt;=Inputs!$D$37,1,0)+IF(5&gt;=Inputs!$D$40,1,0)+IF(5&gt;=Inputs!$D$41,1,0))*1</f>
        <v/>
      </c>
      <c r="H39" s="24">
        <f>Inputs!$B$66*(IF(6&gt;=Inputs!$D$37,1,0)+IF(6&gt;=Inputs!$D$40,1,0)+IF(6&gt;=Inputs!$D$41,1,0))*1</f>
        <v/>
      </c>
      <c r="I39" s="24">
        <f>Inputs!$B$66*(IF(7&gt;=Inputs!$D$37,1,0)+IF(7&gt;=Inputs!$D$40,1,0)+IF(7&gt;=Inputs!$D$41,1,0))*1</f>
        <v/>
      </c>
      <c r="J39" s="24">
        <f>Inputs!$B$66*(IF(8&gt;=Inputs!$D$37,1,0)+IF(8&gt;=Inputs!$D$40,1,0)+IF(8&gt;=Inputs!$D$41,1,0))*1</f>
        <v/>
      </c>
      <c r="K39" s="24">
        <f>Inputs!$B$66*(IF(9&gt;=Inputs!$D$37,1,0)+IF(9&gt;=Inputs!$D$40,1,0)+IF(9&gt;=Inputs!$D$41,1,0))*1</f>
        <v/>
      </c>
      <c r="L39" s="24">
        <f>Inputs!$B$66*(IF(10&gt;=Inputs!$D$37,1,0)+IF(10&gt;=Inputs!$D$40,1,0)+IF(10&gt;=Inputs!$D$41,1,0))*1</f>
        <v/>
      </c>
      <c r="M39" s="24">
        <f>Inputs!$B$66*(IF(11&gt;=Inputs!$D$37,1,0)+IF(11&gt;=Inputs!$D$40,1,0)+IF(11&gt;=Inputs!$D$41,1,0))*1</f>
        <v/>
      </c>
      <c r="N39" s="24">
        <f>Inputs!$B$66*(IF(12&gt;=Inputs!$D$37,1,0)+IF(12&gt;=Inputs!$D$40,1,0)+IF(12&gt;=Inputs!$D$41,1,0))*1</f>
        <v/>
      </c>
      <c r="O39" s="24">
        <f>Inputs!$B$66*(IF(15&gt;=Inputs!$D$37,1,0)+IF(15&gt;=Inputs!$D$40,1,0)+IF(15&gt;=Inputs!$D$41,1,0))*3</f>
        <v/>
      </c>
      <c r="P39" s="24">
        <f>Inputs!$B$66*(IF(18&gt;=Inputs!$D$37,1,0)+IF(18&gt;=Inputs!$D$40,1,0)+IF(18&gt;=Inputs!$D$41,1,0))*3</f>
        <v/>
      </c>
      <c r="Q39" s="24">
        <f>Inputs!$B$66*(IF(21&gt;=Inputs!$D$37,1,0)+IF(21&gt;=Inputs!$D$40,1,0)+IF(21&gt;=Inputs!$D$41,1,0))*3</f>
        <v/>
      </c>
      <c r="R39" s="24">
        <f>Inputs!$B$66*(IF(24&gt;=Inputs!$D$37,1,0)+IF(24&gt;=Inputs!$D$40,1,0)+IF(24&gt;=Inputs!$D$41,1,0))*3</f>
        <v/>
      </c>
      <c r="S39" s="24">
        <f>Inputs!$B$66*(IF(27&gt;=Inputs!$D$37,1,0)+IF(27&gt;=Inputs!$D$40,1,0)+IF(27&gt;=Inputs!$D$41,1,0))*3</f>
        <v/>
      </c>
      <c r="T39" s="24">
        <f>Inputs!$B$66*(IF(30&gt;=Inputs!$D$37,1,0)+IF(30&gt;=Inputs!$D$40,1,0)+IF(30&gt;=Inputs!$D$41,1,0))*3</f>
        <v/>
      </c>
      <c r="U39" s="24">
        <f>Inputs!$B$66*(IF(33&gt;=Inputs!$D$37,1,0)+IF(33&gt;=Inputs!$D$40,1,0)+IF(33&gt;=Inputs!$D$41,1,0))*3</f>
        <v/>
      </c>
      <c r="V39" s="24">
        <f>Inputs!$B$66*(IF(36&gt;=Inputs!$D$37,1,0)+IF(36&gt;=Inputs!$D$40,1,0)+IF(36&gt;=Inputs!$D$41,1,0))*3</f>
        <v/>
      </c>
    </row>
    <row r="41">
      <c r="A41" s="28" t="inlineStr">
        <is>
          <t>TOTAL DIRECT-CARE LABOR (COGS)</t>
        </is>
      </c>
      <c r="C41" s="29">
        <f>C18+C26+C27+C36+C38</f>
        <v/>
      </c>
      <c r="D41" s="29">
        <f>D18+D26+D27+D36+D38</f>
        <v/>
      </c>
      <c r="E41" s="29">
        <f>E18+E26+E27+E36+E38</f>
        <v/>
      </c>
      <c r="F41" s="29">
        <f>F18+F26+F27+F36+F38</f>
        <v/>
      </c>
      <c r="G41" s="29">
        <f>G18+G26+G27+G36+G38</f>
        <v/>
      </c>
      <c r="H41" s="29">
        <f>H18+H26+H27+H36+H38</f>
        <v/>
      </c>
      <c r="I41" s="29">
        <f>I18+I26+I27+I36+I38</f>
        <v/>
      </c>
      <c r="J41" s="29">
        <f>J18+J26+J27+J36+J38</f>
        <v/>
      </c>
      <c r="K41" s="29">
        <f>K18+K26+K27+K36+K38</f>
        <v/>
      </c>
      <c r="L41" s="29">
        <f>L18+L26+L27+L36+L38</f>
        <v/>
      </c>
      <c r="M41" s="29">
        <f>M18+M26+M27+M36+M38</f>
        <v/>
      </c>
      <c r="N41" s="29">
        <f>N18+N26+N27+N36+N38</f>
        <v/>
      </c>
      <c r="O41" s="29">
        <f>O18+O26+O27+O36+O38</f>
        <v/>
      </c>
      <c r="P41" s="29">
        <f>P18+P26+P27+P36+P38</f>
        <v/>
      </c>
      <c r="Q41" s="29">
        <f>Q18+Q26+Q27+Q36+Q38</f>
        <v/>
      </c>
      <c r="R41" s="29">
        <f>R18+R26+R27+R36+R38</f>
        <v/>
      </c>
      <c r="S41" s="29">
        <f>S18+S26+S27+S36+S38</f>
        <v/>
      </c>
      <c r="T41" s="29">
        <f>T18+T26+T27+T36+T38</f>
        <v/>
      </c>
      <c r="U41" s="29">
        <f>U18+U26+U27+U36+U38</f>
        <v/>
      </c>
      <c r="V41" s="29">
        <f>V18+V26+V27+V36+V38</f>
        <v/>
      </c>
    </row>
    <row r="42">
      <c r="A42" s="28" t="inlineStr">
        <is>
          <t>TOTAL INDIRECT LABOR (SG&amp;A)</t>
        </is>
      </c>
      <c r="C42" s="29">
        <f>C30+C31+C37+C39</f>
        <v/>
      </c>
      <c r="D42" s="29">
        <f>D30+D31+D37+D39</f>
        <v/>
      </c>
      <c r="E42" s="29">
        <f>E30+E31+E37+E39</f>
        <v/>
      </c>
      <c r="F42" s="29">
        <f>F30+F31+F37+F39</f>
        <v/>
      </c>
      <c r="G42" s="29">
        <f>G30+G31+G37+G39</f>
        <v/>
      </c>
      <c r="H42" s="29">
        <f>H30+H31+H37+H39</f>
        <v/>
      </c>
      <c r="I42" s="29">
        <f>I30+I31+I37+I39</f>
        <v/>
      </c>
      <c r="J42" s="29">
        <f>J30+J31+J37+J39</f>
        <v/>
      </c>
      <c r="K42" s="29">
        <f>K30+K31+K37+K39</f>
        <v/>
      </c>
      <c r="L42" s="29">
        <f>L30+L31+L37+L39</f>
        <v/>
      </c>
      <c r="M42" s="29">
        <f>M30+M31+M37+M39</f>
        <v/>
      </c>
      <c r="N42" s="29">
        <f>N30+N31+N37+N39</f>
        <v/>
      </c>
      <c r="O42" s="29">
        <f>O30+O31+O37+O39</f>
        <v/>
      </c>
      <c r="P42" s="29">
        <f>P30+P31+P37+P39</f>
        <v/>
      </c>
      <c r="Q42" s="29">
        <f>Q30+Q31+Q37+Q39</f>
        <v/>
      </c>
      <c r="R42" s="29">
        <f>R30+R31+R37+R39</f>
        <v/>
      </c>
      <c r="S42" s="29">
        <f>S30+S31+S37+S39</f>
        <v/>
      </c>
      <c r="T42" s="29">
        <f>T30+T31+T37+T39</f>
        <v/>
      </c>
      <c r="U42" s="29">
        <f>U30+U31+U37+U39</f>
        <v/>
      </c>
      <c r="V42" s="29">
        <f>V30+V31+V37+V39</f>
        <v/>
      </c>
    </row>
  </sheetData>
  <mergeCells count="9">
    <mergeCell ref="A2:V2"/>
    <mergeCell ref="O4:R4"/>
    <mergeCell ref="S4:V4"/>
    <mergeCell ref="A33:V33"/>
    <mergeCell ref="A1:V1"/>
    <mergeCell ref="A29:V29"/>
    <mergeCell ref="A7:V7"/>
    <mergeCell ref="C4:N4"/>
    <mergeCell ref="A20:V2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3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7" t="inlineStr">
        <is>
          <t>($ per period)</t>
        </is>
      </c>
      <c r="C4" s="35" t="inlineStr">
        <is>
          <t>YEAR 1 — monthly</t>
        </is>
      </c>
      <c r="O4" s="35" t="inlineStr">
        <is>
          <t>YEAR 2 — quarterly</t>
        </is>
      </c>
      <c r="S4" s="35" t="inlineStr">
        <is>
          <t>YEAR 3 —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8" t="inlineStr">
        <is>
          <t>NET REVENUE</t>
        </is>
      </c>
      <c r="C6" s="51">
        <f>'Revenue Model'!C17</f>
        <v/>
      </c>
      <c r="D6" s="51">
        <f>'Revenue Model'!D17</f>
        <v/>
      </c>
      <c r="E6" s="51">
        <f>'Revenue Model'!E17</f>
        <v/>
      </c>
      <c r="F6" s="51">
        <f>'Revenue Model'!F17</f>
        <v/>
      </c>
      <c r="G6" s="51">
        <f>'Revenue Model'!G17</f>
        <v/>
      </c>
      <c r="H6" s="51">
        <f>'Revenue Model'!H17</f>
        <v/>
      </c>
      <c r="I6" s="51">
        <f>'Revenue Model'!I17</f>
        <v/>
      </c>
      <c r="J6" s="51">
        <f>'Revenue Model'!J17</f>
        <v/>
      </c>
      <c r="K6" s="51">
        <f>'Revenue Model'!K17</f>
        <v/>
      </c>
      <c r="L6" s="51">
        <f>'Revenue Model'!L17</f>
        <v/>
      </c>
      <c r="M6" s="51">
        <f>'Revenue Model'!M17</f>
        <v/>
      </c>
      <c r="N6" s="51">
        <f>'Revenue Model'!N17</f>
        <v/>
      </c>
      <c r="O6" s="51">
        <f>'Revenue Model'!O17</f>
        <v/>
      </c>
      <c r="P6" s="51">
        <f>'Revenue Model'!P17</f>
        <v/>
      </c>
      <c r="Q6" s="51">
        <f>'Revenue Model'!Q17</f>
        <v/>
      </c>
      <c r="R6" s="51">
        <f>'Revenue Model'!R17</f>
        <v/>
      </c>
      <c r="S6" s="51">
        <f>'Revenue Model'!S17</f>
        <v/>
      </c>
      <c r="T6" s="51">
        <f>'Revenue Model'!T17</f>
        <v/>
      </c>
      <c r="U6" s="51">
        <f>'Revenue Model'!U17</f>
        <v/>
      </c>
      <c r="V6" s="51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6">
        <f>'Staffing &amp; Payroll'!C41</f>
        <v/>
      </c>
      <c r="D9" s="26">
        <f>'Staffing &amp; Payroll'!D41</f>
        <v/>
      </c>
      <c r="E9" s="26">
        <f>'Staffing &amp; Payroll'!E41</f>
        <v/>
      </c>
      <c r="F9" s="26">
        <f>'Staffing &amp; Payroll'!F41</f>
        <v/>
      </c>
      <c r="G9" s="26">
        <f>'Staffing &amp; Payroll'!G41</f>
        <v/>
      </c>
      <c r="H9" s="26">
        <f>'Staffing &amp; Payroll'!H41</f>
        <v/>
      </c>
      <c r="I9" s="26">
        <f>'Staffing &amp; Payroll'!I41</f>
        <v/>
      </c>
      <c r="J9" s="26">
        <f>'Staffing &amp; Payroll'!J41</f>
        <v/>
      </c>
      <c r="K9" s="26">
        <f>'Staffing &amp; Payroll'!K41</f>
        <v/>
      </c>
      <c r="L9" s="26">
        <f>'Staffing &amp; Payroll'!L41</f>
        <v/>
      </c>
      <c r="M9" s="26">
        <f>'Staffing &amp; Payroll'!M41</f>
        <v/>
      </c>
      <c r="N9" s="26">
        <f>'Staffing &amp; Payroll'!N41</f>
        <v/>
      </c>
      <c r="O9" s="26">
        <f>'Staffing &amp; Payroll'!O41</f>
        <v/>
      </c>
      <c r="P9" s="26">
        <f>'Staffing &amp; Payroll'!P41</f>
        <v/>
      </c>
      <c r="Q9" s="26">
        <f>'Staffing &amp; Payroll'!Q41</f>
        <v/>
      </c>
      <c r="R9" s="26">
        <f>'Staffing &amp; Payroll'!R41</f>
        <v/>
      </c>
      <c r="S9" s="26">
        <f>'Staffing &amp; Payroll'!S41</f>
        <v/>
      </c>
      <c r="T9" s="26">
        <f>'Staffing &amp; Payroll'!T41</f>
        <v/>
      </c>
      <c r="U9" s="26">
        <f>'Staffing &amp; Payroll'!U41</f>
        <v/>
      </c>
      <c r="V9" s="26">
        <f>'Staffing &amp; Payroll'!V41</f>
        <v/>
      </c>
    </row>
    <row r="10">
      <c r="A10" s="4" t="inlineStr">
        <is>
          <t>Medical supplies</t>
        </is>
      </c>
      <c r="C10" s="26">
        <f>'Revenue Model'!C12*Inputs!$B$72</f>
        <v/>
      </c>
      <c r="D10" s="26">
        <f>'Revenue Model'!D12*Inputs!$B$72</f>
        <v/>
      </c>
      <c r="E10" s="26">
        <f>'Revenue Model'!E12*Inputs!$B$72</f>
        <v/>
      </c>
      <c r="F10" s="26">
        <f>'Revenue Model'!F12*Inputs!$B$72</f>
        <v/>
      </c>
      <c r="G10" s="26">
        <f>'Revenue Model'!G12*Inputs!$B$72</f>
        <v/>
      </c>
      <c r="H10" s="26">
        <f>'Revenue Model'!H12*Inputs!$B$72</f>
        <v/>
      </c>
      <c r="I10" s="26">
        <f>'Revenue Model'!I12*Inputs!$B$72</f>
        <v/>
      </c>
      <c r="J10" s="26">
        <f>'Revenue Model'!J12*Inputs!$B$72</f>
        <v/>
      </c>
      <c r="K10" s="26">
        <f>'Revenue Model'!K12*Inputs!$B$72</f>
        <v/>
      </c>
      <c r="L10" s="26">
        <f>'Revenue Model'!L12*Inputs!$B$72</f>
        <v/>
      </c>
      <c r="M10" s="26">
        <f>'Revenue Model'!M12*Inputs!$B$72</f>
        <v/>
      </c>
      <c r="N10" s="26">
        <f>'Revenue Model'!N12*Inputs!$B$72</f>
        <v/>
      </c>
      <c r="O10" s="26">
        <f>'Revenue Model'!O12*Inputs!$B$72</f>
        <v/>
      </c>
      <c r="P10" s="26">
        <f>'Revenue Model'!P12*Inputs!$B$72</f>
        <v/>
      </c>
      <c r="Q10" s="26">
        <f>'Revenue Model'!Q12*Inputs!$B$72</f>
        <v/>
      </c>
      <c r="R10" s="26">
        <f>'Revenue Model'!R12*Inputs!$B$72</f>
        <v/>
      </c>
      <c r="S10" s="26">
        <f>'Revenue Model'!S12*Inputs!$B$72</f>
        <v/>
      </c>
      <c r="T10" s="26">
        <f>'Revenue Model'!T12*Inputs!$B$72</f>
        <v/>
      </c>
      <c r="U10" s="26">
        <f>'Revenue Model'!U12*Inputs!$B$72</f>
        <v/>
      </c>
      <c r="V10" s="26">
        <f>'Revenue Model'!V12*Inputs!$B$72</f>
        <v/>
      </c>
    </row>
    <row r="11">
      <c r="A11" s="4" t="inlineStr">
        <is>
          <t>DME</t>
        </is>
      </c>
      <c r="C11" s="26">
        <f>'Revenue Model'!C12*Inputs!$B$73</f>
        <v/>
      </c>
      <c r="D11" s="26">
        <f>'Revenue Model'!D12*Inputs!$B$73</f>
        <v/>
      </c>
      <c r="E11" s="26">
        <f>'Revenue Model'!E12*Inputs!$B$73</f>
        <v/>
      </c>
      <c r="F11" s="26">
        <f>'Revenue Model'!F12*Inputs!$B$73</f>
        <v/>
      </c>
      <c r="G11" s="26">
        <f>'Revenue Model'!G12*Inputs!$B$73</f>
        <v/>
      </c>
      <c r="H11" s="26">
        <f>'Revenue Model'!H12*Inputs!$B$73</f>
        <v/>
      </c>
      <c r="I11" s="26">
        <f>'Revenue Model'!I12*Inputs!$B$73</f>
        <v/>
      </c>
      <c r="J11" s="26">
        <f>'Revenue Model'!J12*Inputs!$B$73</f>
        <v/>
      </c>
      <c r="K11" s="26">
        <f>'Revenue Model'!K12*Inputs!$B$73</f>
        <v/>
      </c>
      <c r="L11" s="26">
        <f>'Revenue Model'!L12*Inputs!$B$73</f>
        <v/>
      </c>
      <c r="M11" s="26">
        <f>'Revenue Model'!M12*Inputs!$B$73</f>
        <v/>
      </c>
      <c r="N11" s="26">
        <f>'Revenue Model'!N12*Inputs!$B$73</f>
        <v/>
      </c>
      <c r="O11" s="26">
        <f>'Revenue Model'!O12*Inputs!$B$73</f>
        <v/>
      </c>
      <c r="P11" s="26">
        <f>'Revenue Model'!P12*Inputs!$B$73</f>
        <v/>
      </c>
      <c r="Q11" s="26">
        <f>'Revenue Model'!Q12*Inputs!$B$73</f>
        <v/>
      </c>
      <c r="R11" s="26">
        <f>'Revenue Model'!R12*Inputs!$B$73</f>
        <v/>
      </c>
      <c r="S11" s="26">
        <f>'Revenue Model'!S12*Inputs!$B$73</f>
        <v/>
      </c>
      <c r="T11" s="26">
        <f>'Revenue Model'!T12*Inputs!$B$73</f>
        <v/>
      </c>
      <c r="U11" s="26">
        <f>'Revenue Model'!U12*Inputs!$B$73</f>
        <v/>
      </c>
      <c r="V11" s="26">
        <f>'Revenue Model'!V12*Inputs!$B$73</f>
        <v/>
      </c>
    </row>
    <row r="12">
      <c r="A12" s="4" t="inlineStr">
        <is>
          <t>Pharmacy</t>
        </is>
      </c>
      <c r="C12" s="26">
        <f>'Revenue Model'!C12*Inputs!$B$74</f>
        <v/>
      </c>
      <c r="D12" s="26">
        <f>'Revenue Model'!D12*Inputs!$B$74</f>
        <v/>
      </c>
      <c r="E12" s="26">
        <f>'Revenue Model'!E12*Inputs!$B$74</f>
        <v/>
      </c>
      <c r="F12" s="26">
        <f>'Revenue Model'!F12*Inputs!$B$74</f>
        <v/>
      </c>
      <c r="G12" s="26">
        <f>'Revenue Model'!G12*Inputs!$B$74</f>
        <v/>
      </c>
      <c r="H12" s="26">
        <f>'Revenue Model'!H12*Inputs!$B$74</f>
        <v/>
      </c>
      <c r="I12" s="26">
        <f>'Revenue Model'!I12*Inputs!$B$74</f>
        <v/>
      </c>
      <c r="J12" s="26">
        <f>'Revenue Model'!J12*Inputs!$B$74</f>
        <v/>
      </c>
      <c r="K12" s="26">
        <f>'Revenue Model'!K12*Inputs!$B$74</f>
        <v/>
      </c>
      <c r="L12" s="26">
        <f>'Revenue Model'!L12*Inputs!$B$74</f>
        <v/>
      </c>
      <c r="M12" s="26">
        <f>'Revenue Model'!M12*Inputs!$B$74</f>
        <v/>
      </c>
      <c r="N12" s="26">
        <f>'Revenue Model'!N12*Inputs!$B$74</f>
        <v/>
      </c>
      <c r="O12" s="26">
        <f>'Revenue Model'!O12*Inputs!$B$74</f>
        <v/>
      </c>
      <c r="P12" s="26">
        <f>'Revenue Model'!P12*Inputs!$B$74</f>
        <v/>
      </c>
      <c r="Q12" s="26">
        <f>'Revenue Model'!Q12*Inputs!$B$74</f>
        <v/>
      </c>
      <c r="R12" s="26">
        <f>'Revenue Model'!R12*Inputs!$B$74</f>
        <v/>
      </c>
      <c r="S12" s="26">
        <f>'Revenue Model'!S12*Inputs!$B$74</f>
        <v/>
      </c>
      <c r="T12" s="26">
        <f>'Revenue Model'!T12*Inputs!$B$74</f>
        <v/>
      </c>
      <c r="U12" s="26">
        <f>'Revenue Model'!U12*Inputs!$B$74</f>
        <v/>
      </c>
      <c r="V12" s="26">
        <f>'Revenue Model'!V12*Inputs!$B$74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8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8" t="inlineStr">
        <is>
          <t>GROSS PROFIT</t>
        </is>
      </c>
      <c r="C15" s="29">
        <f>C6-C14</f>
        <v/>
      </c>
      <c r="D15" s="29">
        <f>D6-D14</f>
        <v/>
      </c>
      <c r="E15" s="29">
        <f>E6-E14</f>
        <v/>
      </c>
      <c r="F15" s="29">
        <f>F6-F14</f>
        <v/>
      </c>
      <c r="G15" s="29">
        <f>G6-G14</f>
        <v/>
      </c>
      <c r="H15" s="29">
        <f>H6-H14</f>
        <v/>
      </c>
      <c r="I15" s="29">
        <f>I6-I14</f>
        <v/>
      </c>
      <c r="J15" s="29">
        <f>J6-J14</f>
        <v/>
      </c>
      <c r="K15" s="29">
        <f>K6-K14</f>
        <v/>
      </c>
      <c r="L15" s="29">
        <f>L6-L14</f>
        <v/>
      </c>
      <c r="M15" s="29">
        <f>M6-M14</f>
        <v/>
      </c>
      <c r="N15" s="29">
        <f>N6-N14</f>
        <v/>
      </c>
      <c r="O15" s="29">
        <f>O6-O14</f>
        <v/>
      </c>
      <c r="P15" s="29">
        <f>P6-P14</f>
        <v/>
      </c>
      <c r="Q15" s="29">
        <f>Q6-Q14</f>
        <v/>
      </c>
      <c r="R15" s="29">
        <f>R6-R14</f>
        <v/>
      </c>
      <c r="S15" s="29">
        <f>S6-S14</f>
        <v/>
      </c>
      <c r="T15" s="29">
        <f>T6-T14</f>
        <v/>
      </c>
      <c r="U15" s="29">
        <f>U6-U14</f>
        <v/>
      </c>
      <c r="V15" s="29">
        <f>V6-V14</f>
        <v/>
      </c>
    </row>
    <row r="16">
      <c r="A16" s="21" t="inlineStr">
        <is>
          <t>Gross margin %</t>
        </is>
      </c>
      <c r="C16" s="39">
        <f>IF(C6=0,0,C15/C6)</f>
        <v/>
      </c>
      <c r="D16" s="39">
        <f>IF(D6=0,0,D15/D6)</f>
        <v/>
      </c>
      <c r="E16" s="39">
        <f>IF(E6=0,0,E15/E6)</f>
        <v/>
      </c>
      <c r="F16" s="39">
        <f>IF(F6=0,0,F15/F6)</f>
        <v/>
      </c>
      <c r="G16" s="39">
        <f>IF(G6=0,0,G15/G6)</f>
        <v/>
      </c>
      <c r="H16" s="39">
        <f>IF(H6=0,0,H15/H6)</f>
        <v/>
      </c>
      <c r="I16" s="39">
        <f>IF(I6=0,0,I15/I6)</f>
        <v/>
      </c>
      <c r="J16" s="39">
        <f>IF(J6=0,0,J15/J6)</f>
        <v/>
      </c>
      <c r="K16" s="39">
        <f>IF(K6=0,0,K15/K6)</f>
        <v/>
      </c>
      <c r="L16" s="39">
        <f>IF(L6=0,0,L15/L6)</f>
        <v/>
      </c>
      <c r="M16" s="39">
        <f>IF(M6=0,0,M15/M6)</f>
        <v/>
      </c>
      <c r="N16" s="39">
        <f>IF(N6=0,0,N15/N6)</f>
        <v/>
      </c>
      <c r="O16" s="39">
        <f>IF(O6=0,0,O15/O6)</f>
        <v/>
      </c>
      <c r="P16" s="39">
        <f>IF(P6=0,0,P15/P6)</f>
        <v/>
      </c>
      <c r="Q16" s="39">
        <f>IF(Q6=0,0,Q15/Q6)</f>
        <v/>
      </c>
      <c r="R16" s="39">
        <f>IF(R6=0,0,R15/R6)</f>
        <v/>
      </c>
      <c r="S16" s="39">
        <f>IF(S6=0,0,S15/S6)</f>
        <v/>
      </c>
      <c r="T16" s="39">
        <f>IF(T6=0,0,T15/T6)</f>
        <v/>
      </c>
      <c r="U16" s="39">
        <f>IF(U6=0,0,U15/U6)</f>
        <v/>
      </c>
      <c r="V16" s="39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6">
        <f>'Staffing &amp; Payroll'!C42</f>
        <v/>
      </c>
      <c r="D19" s="26">
        <f>'Staffing &amp; Payroll'!D42</f>
        <v/>
      </c>
      <c r="E19" s="26">
        <f>'Staffing &amp; Payroll'!E42</f>
        <v/>
      </c>
      <c r="F19" s="26">
        <f>'Staffing &amp; Payroll'!F42</f>
        <v/>
      </c>
      <c r="G19" s="26">
        <f>'Staffing &amp; Payroll'!G42</f>
        <v/>
      </c>
      <c r="H19" s="26">
        <f>'Staffing &amp; Payroll'!H42</f>
        <v/>
      </c>
      <c r="I19" s="26">
        <f>'Staffing &amp; Payroll'!I42</f>
        <v/>
      </c>
      <c r="J19" s="26">
        <f>'Staffing &amp; Payroll'!J42</f>
        <v/>
      </c>
      <c r="K19" s="26">
        <f>'Staffing &amp; Payroll'!K42</f>
        <v/>
      </c>
      <c r="L19" s="26">
        <f>'Staffing &amp; Payroll'!L42</f>
        <v/>
      </c>
      <c r="M19" s="26">
        <f>'Staffing &amp; Payroll'!M42</f>
        <v/>
      </c>
      <c r="N19" s="26">
        <f>'Staffing &amp; Payroll'!N42</f>
        <v/>
      </c>
      <c r="O19" s="26">
        <f>'Staffing &amp; Payroll'!O42</f>
        <v/>
      </c>
      <c r="P19" s="26">
        <f>'Staffing &amp; Payroll'!P42</f>
        <v/>
      </c>
      <c r="Q19" s="26">
        <f>'Staffing &amp; Payroll'!Q42</f>
        <v/>
      </c>
      <c r="R19" s="26">
        <f>'Staffing &amp; Payroll'!R42</f>
        <v/>
      </c>
      <c r="S19" s="26">
        <f>'Staffing &amp; Payroll'!S42</f>
        <v/>
      </c>
      <c r="T19" s="26">
        <f>'Staffing &amp; Payroll'!T42</f>
        <v/>
      </c>
      <c r="U19" s="26">
        <f>'Staffing &amp; Payroll'!U42</f>
        <v/>
      </c>
      <c r="V19" s="26">
        <f>'Staffing &amp; Payroll'!V42</f>
        <v/>
      </c>
    </row>
    <row r="20">
      <c r="A20" s="4" t="inlineStr">
        <is>
          <t>Fixed G&amp;A (utilities, EMR, billing, rent, mktg…)</t>
        </is>
      </c>
      <c r="C20" s="26">
        <f>SUM(Inputs!$B$77:$B$90)*1</f>
        <v/>
      </c>
      <c r="D20" s="26">
        <f>SUM(Inputs!$B$77:$B$90)*1</f>
        <v/>
      </c>
      <c r="E20" s="26">
        <f>SUM(Inputs!$B$77:$B$90)*1</f>
        <v/>
      </c>
      <c r="F20" s="26">
        <f>SUM(Inputs!$B$77:$B$90)*1</f>
        <v/>
      </c>
      <c r="G20" s="26">
        <f>SUM(Inputs!$B$77:$B$90)*1</f>
        <v/>
      </c>
      <c r="H20" s="26">
        <f>SUM(Inputs!$B$77:$B$90)*1</f>
        <v/>
      </c>
      <c r="I20" s="26">
        <f>SUM(Inputs!$B$77:$B$90)*1</f>
        <v/>
      </c>
      <c r="J20" s="26">
        <f>SUM(Inputs!$B$77:$B$90)*1</f>
        <v/>
      </c>
      <c r="K20" s="26">
        <f>SUM(Inputs!$B$77:$B$90)*1</f>
        <v/>
      </c>
      <c r="L20" s="26">
        <f>SUM(Inputs!$B$77:$B$90)*1</f>
        <v/>
      </c>
      <c r="M20" s="26">
        <f>SUM(Inputs!$B$77:$B$90)*1</f>
        <v/>
      </c>
      <c r="N20" s="26">
        <f>SUM(Inputs!$B$77:$B$90)*1</f>
        <v/>
      </c>
      <c r="O20" s="26">
        <f>SUM(Inputs!$B$77:$B$90)*3</f>
        <v/>
      </c>
      <c r="P20" s="26">
        <f>SUM(Inputs!$B$77:$B$90)*3</f>
        <v/>
      </c>
      <c r="Q20" s="26">
        <f>SUM(Inputs!$B$77:$B$90)*3</f>
        <v/>
      </c>
      <c r="R20" s="26">
        <f>SUM(Inputs!$B$77:$B$90)*3</f>
        <v/>
      </c>
      <c r="S20" s="26">
        <f>SUM(Inputs!$B$77:$B$90)*3</f>
        <v/>
      </c>
      <c r="T20" s="26">
        <f>SUM(Inputs!$B$77:$B$90)*3</f>
        <v/>
      </c>
      <c r="U20" s="26">
        <f>SUM(Inputs!$B$77:$B$90)*3</f>
        <v/>
      </c>
      <c r="V20" s="26">
        <f>SUM(Inputs!$B$77:$B$90)*3</f>
        <v/>
      </c>
    </row>
    <row r="21">
      <c r="A21" s="4" t="inlineStr">
        <is>
          <t>QR payment fee (% of gross)</t>
        </is>
      </c>
      <c r="C21" s="26">
        <f>'Revenue Model'!C14*Inputs!$B$93</f>
        <v/>
      </c>
      <c r="D21" s="26">
        <f>'Revenue Model'!D14*Inputs!$B$93</f>
        <v/>
      </c>
      <c r="E21" s="26">
        <f>'Revenue Model'!E14*Inputs!$B$93</f>
        <v/>
      </c>
      <c r="F21" s="26">
        <f>'Revenue Model'!F14*Inputs!$B$93</f>
        <v/>
      </c>
      <c r="G21" s="26">
        <f>'Revenue Model'!G14*Inputs!$B$93</f>
        <v/>
      </c>
      <c r="H21" s="26">
        <f>'Revenue Model'!H14*Inputs!$B$93</f>
        <v/>
      </c>
      <c r="I21" s="26">
        <f>'Revenue Model'!I14*Inputs!$B$93</f>
        <v/>
      </c>
      <c r="J21" s="26">
        <f>'Revenue Model'!J14*Inputs!$B$93</f>
        <v/>
      </c>
      <c r="K21" s="26">
        <f>'Revenue Model'!K14*Inputs!$B$93</f>
        <v/>
      </c>
      <c r="L21" s="26">
        <f>'Revenue Model'!L14*Inputs!$B$93</f>
        <v/>
      </c>
      <c r="M21" s="26">
        <f>'Revenue Model'!M14*Inputs!$B$93</f>
        <v/>
      </c>
      <c r="N21" s="26">
        <f>'Revenue Model'!N14*Inputs!$B$93</f>
        <v/>
      </c>
      <c r="O21" s="26">
        <f>'Revenue Model'!O14*Inputs!$B$93</f>
        <v/>
      </c>
      <c r="P21" s="26">
        <f>'Revenue Model'!P14*Inputs!$B$93</f>
        <v/>
      </c>
      <c r="Q21" s="26">
        <f>'Revenue Model'!Q14*Inputs!$B$93</f>
        <v/>
      </c>
      <c r="R21" s="26">
        <f>'Revenue Model'!R14*Inputs!$B$93</f>
        <v/>
      </c>
      <c r="S21" s="26">
        <f>'Revenue Model'!S14*Inputs!$B$93</f>
        <v/>
      </c>
      <c r="T21" s="26">
        <f>'Revenue Model'!T14*Inputs!$B$93</f>
        <v/>
      </c>
      <c r="U21" s="26">
        <f>'Revenue Model'!U14*Inputs!$B$93</f>
        <v/>
      </c>
      <c r="V21" s="26">
        <f>'Revenue Model'!V14*Inputs!$B$93</f>
        <v/>
      </c>
    </row>
    <row r="22">
      <c r="A22" s="28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28" t="inlineStr">
        <is>
          <t>EBITDA</t>
        </is>
      </c>
      <c r="C23" s="52">
        <f>C15-C22</f>
        <v/>
      </c>
      <c r="D23" s="52">
        <f>D15-D22</f>
        <v/>
      </c>
      <c r="E23" s="52">
        <f>E15-E22</f>
        <v/>
      </c>
      <c r="F23" s="52">
        <f>F15-F22</f>
        <v/>
      </c>
      <c r="G23" s="52">
        <f>G15-G22</f>
        <v/>
      </c>
      <c r="H23" s="52">
        <f>H15-H22</f>
        <v/>
      </c>
      <c r="I23" s="52">
        <f>I15-I22</f>
        <v/>
      </c>
      <c r="J23" s="52">
        <f>J15-J22</f>
        <v/>
      </c>
      <c r="K23" s="52">
        <f>K15-K22</f>
        <v/>
      </c>
      <c r="L23" s="52">
        <f>L15-L22</f>
        <v/>
      </c>
      <c r="M23" s="52">
        <f>M15-M22</f>
        <v/>
      </c>
      <c r="N23" s="52">
        <f>N15-N22</f>
        <v/>
      </c>
      <c r="O23" s="52">
        <f>O15-O22</f>
        <v/>
      </c>
      <c r="P23" s="52">
        <f>P15-P22</f>
        <v/>
      </c>
      <c r="Q23" s="52">
        <f>Q15-Q22</f>
        <v/>
      </c>
      <c r="R23" s="52">
        <f>R15-R22</f>
        <v/>
      </c>
      <c r="S23" s="52">
        <f>S15-S22</f>
        <v/>
      </c>
      <c r="T23" s="52">
        <f>T15-T22</f>
        <v/>
      </c>
      <c r="U23" s="52">
        <f>U15-U22</f>
        <v/>
      </c>
      <c r="V23" s="52">
        <f>V15-V22</f>
        <v/>
      </c>
    </row>
    <row r="24">
      <c r="A24" s="21" t="inlineStr">
        <is>
          <t>EBITDA margin %</t>
        </is>
      </c>
      <c r="C24" s="39">
        <f>IF(C6=0,0,C23/C6)</f>
        <v/>
      </c>
      <c r="D24" s="39">
        <f>IF(D6=0,0,D23/D6)</f>
        <v/>
      </c>
      <c r="E24" s="39">
        <f>IF(E6=0,0,E23/E6)</f>
        <v/>
      </c>
      <c r="F24" s="39">
        <f>IF(F6=0,0,F23/F6)</f>
        <v/>
      </c>
      <c r="G24" s="39">
        <f>IF(G6=0,0,G23/G6)</f>
        <v/>
      </c>
      <c r="H24" s="39">
        <f>IF(H6=0,0,H23/H6)</f>
        <v/>
      </c>
      <c r="I24" s="39">
        <f>IF(I6=0,0,I23/I6)</f>
        <v/>
      </c>
      <c r="J24" s="39">
        <f>IF(J6=0,0,J23/J6)</f>
        <v/>
      </c>
      <c r="K24" s="39">
        <f>IF(K6=0,0,K23/K6)</f>
        <v/>
      </c>
      <c r="L24" s="39">
        <f>IF(L6=0,0,L23/L6)</f>
        <v/>
      </c>
      <c r="M24" s="39">
        <f>IF(M6=0,0,M23/M6)</f>
        <v/>
      </c>
      <c r="N24" s="39">
        <f>IF(N6=0,0,N23/N6)</f>
        <v/>
      </c>
      <c r="O24" s="39">
        <f>IF(O6=0,0,O23/O6)</f>
        <v/>
      </c>
      <c r="P24" s="39">
        <f>IF(P6=0,0,P23/P6)</f>
        <v/>
      </c>
      <c r="Q24" s="39">
        <f>IF(Q6=0,0,Q23/Q6)</f>
        <v/>
      </c>
      <c r="R24" s="39">
        <f>IF(R6=0,0,R23/R6)</f>
        <v/>
      </c>
      <c r="S24" s="39">
        <f>IF(S6=0,0,S23/S6)</f>
        <v/>
      </c>
      <c r="T24" s="39">
        <f>IF(T6=0,0,T23/T6)</f>
        <v/>
      </c>
      <c r="U24" s="39">
        <f>IF(U6=0,0,U23/U6)</f>
        <v/>
      </c>
      <c r="V24" s="39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26">
        <f>Inputs!$B$126*1</f>
        <v/>
      </c>
      <c r="D27" s="26">
        <f>Inputs!$B$126*1</f>
        <v/>
      </c>
      <c r="E27" s="26">
        <f>Inputs!$B$126*1</f>
        <v/>
      </c>
      <c r="F27" s="26">
        <f>Inputs!$B$126*1</f>
        <v/>
      </c>
      <c r="G27" s="26">
        <f>Inputs!$B$126*1</f>
        <v/>
      </c>
      <c r="H27" s="26">
        <f>Inputs!$B$126*1</f>
        <v/>
      </c>
      <c r="I27" s="26">
        <f>Inputs!$B$126*1</f>
        <v/>
      </c>
      <c r="J27" s="26">
        <f>Inputs!$B$126*1</f>
        <v/>
      </c>
      <c r="K27" s="26">
        <f>Inputs!$B$126*1</f>
        <v/>
      </c>
      <c r="L27" s="26">
        <f>Inputs!$B$126*1</f>
        <v/>
      </c>
      <c r="M27" s="26">
        <f>Inputs!$B$126*1</f>
        <v/>
      </c>
      <c r="N27" s="26">
        <f>Inputs!$B$126*1</f>
        <v/>
      </c>
      <c r="O27" s="26">
        <f>Inputs!$B$126*3</f>
        <v/>
      </c>
      <c r="P27" s="26">
        <f>Inputs!$B$126*3</f>
        <v/>
      </c>
      <c r="Q27" s="26">
        <f>Inputs!$B$126*3</f>
        <v/>
      </c>
      <c r="R27" s="26">
        <f>Inputs!$B$126*3</f>
        <v/>
      </c>
      <c r="S27" s="26">
        <f>Inputs!$B$126*3</f>
        <v/>
      </c>
      <c r="T27" s="26">
        <f>Inputs!$B$126*3</f>
        <v/>
      </c>
      <c r="U27" s="26">
        <f>Inputs!$B$126*3</f>
        <v/>
      </c>
      <c r="V27" s="26">
        <f>Inputs!$B$126*3</f>
        <v/>
      </c>
    </row>
    <row r="28">
      <c r="A28" s="4" t="inlineStr">
        <is>
          <t>Interest — SBA loan</t>
        </is>
      </c>
      <c r="C28" s="26">
        <f>'Debt Schedule'!C13</f>
        <v/>
      </c>
      <c r="D28" s="26">
        <f>'Debt Schedule'!D13</f>
        <v/>
      </c>
      <c r="E28" s="26">
        <f>'Debt Schedule'!E13</f>
        <v/>
      </c>
      <c r="F28" s="26">
        <f>'Debt Schedule'!F13</f>
        <v/>
      </c>
      <c r="G28" s="26">
        <f>'Debt Schedule'!G13</f>
        <v/>
      </c>
      <c r="H28" s="26">
        <f>'Debt Schedule'!H13</f>
        <v/>
      </c>
      <c r="I28" s="26">
        <f>'Debt Schedule'!I13</f>
        <v/>
      </c>
      <c r="J28" s="26">
        <f>'Debt Schedule'!J13</f>
        <v/>
      </c>
      <c r="K28" s="26">
        <f>'Debt Schedule'!K13</f>
        <v/>
      </c>
      <c r="L28" s="26">
        <f>'Debt Schedule'!L13</f>
        <v/>
      </c>
      <c r="M28" s="26">
        <f>'Debt Schedule'!M13</f>
        <v/>
      </c>
      <c r="N28" s="26">
        <f>'Debt Schedule'!N13</f>
        <v/>
      </c>
      <c r="O28" s="26">
        <f>'Debt Schedule'!O13</f>
        <v/>
      </c>
      <c r="P28" s="26">
        <f>'Debt Schedule'!P13</f>
        <v/>
      </c>
      <c r="Q28" s="26">
        <f>'Debt Schedule'!Q13</f>
        <v/>
      </c>
      <c r="R28" s="26">
        <f>'Debt Schedule'!R13</f>
        <v/>
      </c>
      <c r="S28" s="26">
        <f>'Debt Schedule'!S13</f>
        <v/>
      </c>
      <c r="T28" s="26">
        <f>'Debt Schedule'!T13</f>
        <v/>
      </c>
      <c r="U28" s="26">
        <f>'Debt Schedule'!U13</f>
        <v/>
      </c>
      <c r="V28" s="26">
        <f>'Debt Schedule'!V13</f>
        <v/>
      </c>
    </row>
    <row r="29">
      <c r="A29" s="4" t="inlineStr">
        <is>
          <t>Interest — Hickory license note</t>
        </is>
      </c>
      <c r="C29" s="26">
        <f>'Debt Schedule'!C21</f>
        <v/>
      </c>
      <c r="D29" s="26">
        <f>'Debt Schedule'!D21</f>
        <v/>
      </c>
      <c r="E29" s="26">
        <f>'Debt Schedule'!E21</f>
        <v/>
      </c>
      <c r="F29" s="26">
        <f>'Debt Schedule'!F21</f>
        <v/>
      </c>
      <c r="G29" s="26">
        <f>'Debt Schedule'!G21</f>
        <v/>
      </c>
      <c r="H29" s="26">
        <f>'Debt Schedule'!H21</f>
        <v/>
      </c>
      <c r="I29" s="26">
        <f>'Debt Schedule'!I21</f>
        <v/>
      </c>
      <c r="J29" s="26">
        <f>'Debt Schedule'!J21</f>
        <v/>
      </c>
      <c r="K29" s="26">
        <f>'Debt Schedule'!K21</f>
        <v/>
      </c>
      <c r="L29" s="26">
        <f>'Debt Schedule'!L21</f>
        <v/>
      </c>
      <c r="M29" s="26">
        <f>'Debt Schedule'!M21</f>
        <v/>
      </c>
      <c r="N29" s="26">
        <f>'Debt Schedule'!N21</f>
        <v/>
      </c>
      <c r="O29" s="26">
        <f>'Debt Schedule'!O21</f>
        <v/>
      </c>
      <c r="P29" s="26">
        <f>'Debt Schedule'!P21</f>
        <v/>
      </c>
      <c r="Q29" s="26">
        <f>'Debt Schedule'!Q21</f>
        <v/>
      </c>
      <c r="R29" s="26">
        <f>'Debt Schedule'!R21</f>
        <v/>
      </c>
      <c r="S29" s="26">
        <f>'Debt Schedule'!S21</f>
        <v/>
      </c>
      <c r="T29" s="26">
        <f>'Debt Schedule'!T21</f>
        <v/>
      </c>
      <c r="U29" s="26">
        <f>'Debt Schedule'!U21</f>
        <v/>
      </c>
      <c r="V29" s="26">
        <f>'Debt Schedule'!V21</f>
        <v/>
      </c>
    </row>
    <row r="30">
      <c r="A30" s="4" t="inlineStr">
        <is>
          <t>Interest — working-capital line</t>
        </is>
      </c>
      <c r="C30" s="26">
        <f>'Cash Flow &amp; BS'!C16</f>
        <v/>
      </c>
      <c r="D30" s="26">
        <f>'Cash Flow &amp; BS'!D16</f>
        <v/>
      </c>
      <c r="E30" s="26">
        <f>'Cash Flow &amp; BS'!E16</f>
        <v/>
      </c>
      <c r="F30" s="26">
        <f>'Cash Flow &amp; BS'!F16</f>
        <v/>
      </c>
      <c r="G30" s="26">
        <f>'Cash Flow &amp; BS'!G16</f>
        <v/>
      </c>
      <c r="H30" s="26">
        <f>'Cash Flow &amp; BS'!H16</f>
        <v/>
      </c>
      <c r="I30" s="26">
        <f>'Cash Flow &amp; BS'!I16</f>
        <v/>
      </c>
      <c r="J30" s="26">
        <f>'Cash Flow &amp; BS'!J16</f>
        <v/>
      </c>
      <c r="K30" s="26">
        <f>'Cash Flow &amp; BS'!K16</f>
        <v/>
      </c>
      <c r="L30" s="26">
        <f>'Cash Flow &amp; BS'!L16</f>
        <v/>
      </c>
      <c r="M30" s="26">
        <f>'Cash Flow &amp; BS'!M16</f>
        <v/>
      </c>
      <c r="N30" s="26">
        <f>'Cash Flow &amp; BS'!N16</f>
        <v/>
      </c>
      <c r="O30" s="26">
        <f>'Cash Flow &amp; BS'!O16</f>
        <v/>
      </c>
      <c r="P30" s="26">
        <f>'Cash Flow &amp; BS'!P16</f>
        <v/>
      </c>
      <c r="Q30" s="26">
        <f>'Cash Flow &amp; BS'!Q16</f>
        <v/>
      </c>
      <c r="R30" s="26">
        <f>'Cash Flow &amp; BS'!R16</f>
        <v/>
      </c>
      <c r="S30" s="26">
        <f>'Cash Flow &amp; BS'!S16</f>
        <v/>
      </c>
      <c r="T30" s="26">
        <f>'Cash Flow &amp; BS'!T16</f>
        <v/>
      </c>
      <c r="U30" s="26">
        <f>'Cash Flow &amp; BS'!U16</f>
        <v/>
      </c>
      <c r="V30" s="26">
        <f>'Cash Flow &amp; BS'!V16</f>
        <v/>
      </c>
    </row>
    <row r="31">
      <c r="A31" s="28" t="inlineStr">
        <is>
          <t>PRE-TAX INCOME</t>
        </is>
      </c>
      <c r="C31" s="23">
        <f>C23-C27-C28-C29-C30</f>
        <v/>
      </c>
      <c r="D31" s="23">
        <f>D23-D27-D28-D29-D30</f>
        <v/>
      </c>
      <c r="E31" s="23">
        <f>E23-E27-E28-E29-E30</f>
        <v/>
      </c>
      <c r="F31" s="23">
        <f>F23-F27-F28-F29-F30</f>
        <v/>
      </c>
      <c r="G31" s="23">
        <f>G23-G27-G28-G29-G30</f>
        <v/>
      </c>
      <c r="H31" s="23">
        <f>H23-H27-H28-H29-H30</f>
        <v/>
      </c>
      <c r="I31" s="23">
        <f>I23-I27-I28-I29-I30</f>
        <v/>
      </c>
      <c r="J31" s="23">
        <f>J23-J27-J28-J29-J30</f>
        <v/>
      </c>
      <c r="K31" s="23">
        <f>K23-K27-K28-K29-K30</f>
        <v/>
      </c>
      <c r="L31" s="23">
        <f>L23-L27-L28-L29-L30</f>
        <v/>
      </c>
      <c r="M31" s="23">
        <f>M23-M27-M28-M29-M30</f>
        <v/>
      </c>
      <c r="N31" s="23">
        <f>N23-N27-N28-N29-N30</f>
        <v/>
      </c>
      <c r="O31" s="23">
        <f>O23-O27-O28-O29-O30</f>
        <v/>
      </c>
      <c r="P31" s="23">
        <f>P23-P27-P28-P29-P30</f>
        <v/>
      </c>
      <c r="Q31" s="23">
        <f>Q23-Q27-Q28-Q29-Q30</f>
        <v/>
      </c>
      <c r="R31" s="23">
        <f>R23-R27-R28-R29-R30</f>
        <v/>
      </c>
      <c r="S31" s="23">
        <f>S23-S27-S28-S29-S30</f>
        <v/>
      </c>
      <c r="T31" s="23">
        <f>T23-T27-T28-T29-T30</f>
        <v/>
      </c>
      <c r="U31" s="23">
        <f>U23-U27-U28-U29-U30</f>
        <v/>
      </c>
      <c r="V31" s="23">
        <f>V23-V27-V28-V29-V30</f>
        <v/>
      </c>
    </row>
    <row r="32">
      <c r="A32" s="4" t="inlineStr">
        <is>
          <t>TX franchise / margin tax</t>
        </is>
      </c>
      <c r="C32" s="24">
        <f>IF(C31&gt;0,C6*Inputs!$B$105,0)</f>
        <v/>
      </c>
      <c r="D32" s="24">
        <f>IF(D31&gt;0,D6*Inputs!$B$105,0)</f>
        <v/>
      </c>
      <c r="E32" s="24">
        <f>IF(E31&gt;0,E6*Inputs!$B$105,0)</f>
        <v/>
      </c>
      <c r="F32" s="24">
        <f>IF(F31&gt;0,F6*Inputs!$B$105,0)</f>
        <v/>
      </c>
      <c r="G32" s="24">
        <f>IF(G31&gt;0,G6*Inputs!$B$105,0)</f>
        <v/>
      </c>
      <c r="H32" s="24">
        <f>IF(H31&gt;0,H6*Inputs!$B$105,0)</f>
        <v/>
      </c>
      <c r="I32" s="24">
        <f>IF(I31&gt;0,I6*Inputs!$B$105,0)</f>
        <v/>
      </c>
      <c r="J32" s="24">
        <f>IF(J31&gt;0,J6*Inputs!$B$105,0)</f>
        <v/>
      </c>
      <c r="K32" s="24">
        <f>IF(K31&gt;0,K6*Inputs!$B$105,0)</f>
        <v/>
      </c>
      <c r="L32" s="24">
        <f>IF(L31&gt;0,L6*Inputs!$B$105,0)</f>
        <v/>
      </c>
      <c r="M32" s="24">
        <f>IF(M31&gt;0,M6*Inputs!$B$105,0)</f>
        <v/>
      </c>
      <c r="N32" s="24">
        <f>IF(N31&gt;0,N6*Inputs!$B$105,0)</f>
        <v/>
      </c>
      <c r="O32" s="24">
        <f>IF(O31&gt;0,O6*Inputs!$B$105,0)</f>
        <v/>
      </c>
      <c r="P32" s="24">
        <f>IF(P31&gt;0,P6*Inputs!$B$105,0)</f>
        <v/>
      </c>
      <c r="Q32" s="24">
        <f>IF(Q31&gt;0,Q6*Inputs!$B$105,0)</f>
        <v/>
      </c>
      <c r="R32" s="24">
        <f>IF(R31&gt;0,R6*Inputs!$B$105,0)</f>
        <v/>
      </c>
      <c r="S32" s="24">
        <f>IF(S31&gt;0,S6*Inputs!$B$105,0)</f>
        <v/>
      </c>
      <c r="T32" s="24">
        <f>IF(T31&gt;0,T6*Inputs!$B$105,0)</f>
        <v/>
      </c>
      <c r="U32" s="24">
        <f>IF(U31&gt;0,U6*Inputs!$B$105,0)</f>
        <v/>
      </c>
      <c r="V32" s="24">
        <f>IF(V31&gt;0,V6*Inputs!$B$105,0)</f>
        <v/>
      </c>
    </row>
    <row r="33">
      <c r="A33" s="28" t="inlineStr">
        <is>
          <t>NET INCOME</t>
        </is>
      </c>
      <c r="C33" s="29">
        <f>C31-C32</f>
        <v/>
      </c>
      <c r="D33" s="29">
        <f>D31-D32</f>
        <v/>
      </c>
      <c r="E33" s="29">
        <f>E31-E32</f>
        <v/>
      </c>
      <c r="F33" s="29">
        <f>F31-F32</f>
        <v/>
      </c>
      <c r="G33" s="29">
        <f>G31-G32</f>
        <v/>
      </c>
      <c r="H33" s="29">
        <f>H31-H32</f>
        <v/>
      </c>
      <c r="I33" s="29">
        <f>I31-I32</f>
        <v/>
      </c>
      <c r="J33" s="29">
        <f>J31-J32</f>
        <v/>
      </c>
      <c r="K33" s="29">
        <f>K31-K32</f>
        <v/>
      </c>
      <c r="L33" s="29">
        <f>L31-L32</f>
        <v/>
      </c>
      <c r="M33" s="29">
        <f>M31-M32</f>
        <v/>
      </c>
      <c r="N33" s="29">
        <f>N31-N32</f>
        <v/>
      </c>
      <c r="O33" s="29">
        <f>O31-O32</f>
        <v/>
      </c>
      <c r="P33" s="29">
        <f>P31-P32</f>
        <v/>
      </c>
      <c r="Q33" s="29">
        <f>Q31-Q32</f>
        <v/>
      </c>
      <c r="R33" s="29">
        <f>R31-R32</f>
        <v/>
      </c>
      <c r="S33" s="29">
        <f>S31-S32</f>
        <v/>
      </c>
      <c r="T33" s="29">
        <f>T31-T32</f>
        <v/>
      </c>
      <c r="U33" s="29">
        <f>U31-U32</f>
        <v/>
      </c>
      <c r="V33" s="29">
        <f>V31-V32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3" t="inlineStr">
        <is>
          <t>Azalea Hospice &amp; Palliative Care — Tyler, TX</t>
        </is>
      </c>
    </row>
    <row r="2">
      <c r="A2" s="54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55" t="inlineStr">
        <is>
          <t>M1</t>
        </is>
      </c>
      <c r="C5" s="55" t="inlineStr">
        <is>
          <t>M2</t>
        </is>
      </c>
      <c r="D5" s="55" t="inlineStr">
        <is>
          <t>M3</t>
        </is>
      </c>
      <c r="E5" s="55" t="inlineStr">
        <is>
          <t>M4</t>
        </is>
      </c>
      <c r="F5" s="55" t="inlineStr">
        <is>
          <t>M5</t>
        </is>
      </c>
      <c r="G5" s="55" t="inlineStr">
        <is>
          <t>M6</t>
        </is>
      </c>
      <c r="H5" s="55" t="inlineStr">
        <is>
          <t>M7</t>
        </is>
      </c>
      <c r="I5" s="55" t="inlineStr">
        <is>
          <t>M8</t>
        </is>
      </c>
      <c r="J5" s="55" t="inlineStr">
        <is>
          <t>M9</t>
        </is>
      </c>
      <c r="K5" s="55" t="inlineStr">
        <is>
          <t>M10</t>
        </is>
      </c>
      <c r="L5" s="55" t="inlineStr">
        <is>
          <t>M11</t>
        </is>
      </c>
      <c r="M5" s="55" t="inlineStr">
        <is>
          <t>M12</t>
        </is>
      </c>
      <c r="N5" s="55" t="inlineStr">
        <is>
          <t>Year 2</t>
        </is>
      </c>
      <c r="O5" s="55" t="inlineStr">
        <is>
          <t>Year 3</t>
        </is>
      </c>
      <c r="P5" s="55" t="inlineStr">
        <is>
          <t>TOTAL</t>
        </is>
      </c>
    </row>
    <row r="6">
      <c r="A6" s="28" t="inlineStr">
        <is>
          <t>Income</t>
        </is>
      </c>
    </row>
    <row r="7">
      <c r="A7" s="4" t="inlineStr">
        <is>
          <t>Gross Billed Revenue</t>
        </is>
      </c>
      <c r="B7" s="56">
        <f>'Revenue Model'!C14</f>
        <v/>
      </c>
      <c r="C7" s="56">
        <f>'Revenue Model'!D14</f>
        <v/>
      </c>
      <c r="D7" s="56">
        <f>'Revenue Model'!E14</f>
        <v/>
      </c>
      <c r="E7" s="56">
        <f>'Revenue Model'!F14</f>
        <v/>
      </c>
      <c r="F7" s="56">
        <f>'Revenue Model'!G14</f>
        <v/>
      </c>
      <c r="G7" s="56">
        <f>'Revenue Model'!H14</f>
        <v/>
      </c>
      <c r="H7" s="56">
        <f>'Revenue Model'!I14</f>
        <v/>
      </c>
      <c r="I7" s="56">
        <f>'Revenue Model'!J14</f>
        <v/>
      </c>
      <c r="J7" s="56">
        <f>'Revenue Model'!K14</f>
        <v/>
      </c>
      <c r="K7" s="56">
        <f>'Revenue Model'!L14</f>
        <v/>
      </c>
      <c r="L7" s="56">
        <f>'Revenue Model'!M14</f>
        <v/>
      </c>
      <c r="M7" s="56">
        <f>'Revenue Model'!N14</f>
        <v/>
      </c>
      <c r="N7" s="57">
        <f>SUM('Revenue Model'!O14:R14)</f>
        <v/>
      </c>
      <c r="O7" s="57">
        <f>SUM('Revenue Model'!S14:V14)</f>
        <v/>
      </c>
      <c r="P7" s="58">
        <f>SUM(B7:M7)+N7+O7</f>
        <v/>
      </c>
    </row>
    <row r="8">
      <c r="A8" s="4" t="inlineStr">
        <is>
          <t>Less: CDAs Adjustment</t>
        </is>
      </c>
      <c r="B8" s="56">
        <f>0</f>
        <v/>
      </c>
      <c r="C8" s="56">
        <f>0</f>
        <v/>
      </c>
      <c r="D8" s="56">
        <f>0</f>
        <v/>
      </c>
      <c r="E8" s="56">
        <f>0</f>
        <v/>
      </c>
      <c r="F8" s="56">
        <f>0</f>
        <v/>
      </c>
      <c r="G8" s="56">
        <f>0</f>
        <v/>
      </c>
      <c r="H8" s="56">
        <f>0</f>
        <v/>
      </c>
      <c r="I8" s="56">
        <f>0</f>
        <v/>
      </c>
      <c r="J8" s="56">
        <f>0</f>
        <v/>
      </c>
      <c r="K8" s="56">
        <f>0</f>
        <v/>
      </c>
      <c r="L8" s="56">
        <f>0</f>
        <v/>
      </c>
      <c r="M8" s="56">
        <f>0</f>
        <v/>
      </c>
      <c r="N8" s="57">
        <f>0</f>
        <v/>
      </c>
      <c r="O8" s="57">
        <f>0</f>
        <v/>
      </c>
      <c r="P8" s="58">
        <f>SUM(B8:M8)+N8+O8</f>
        <v/>
      </c>
    </row>
    <row r="9">
      <c r="A9" s="4" t="inlineStr">
        <is>
          <t>Less: Net Due Zero (Write-offs)</t>
        </is>
      </c>
      <c r="B9" s="56">
        <f>'Revenue Model'!C14*Inputs!$B$11</f>
        <v/>
      </c>
      <c r="C9" s="56">
        <f>'Revenue Model'!D14*Inputs!$B$11</f>
        <v/>
      </c>
      <c r="D9" s="56">
        <f>'Revenue Model'!E14*Inputs!$B$11</f>
        <v/>
      </c>
      <c r="E9" s="56">
        <f>'Revenue Model'!F14*Inputs!$B$11</f>
        <v/>
      </c>
      <c r="F9" s="56">
        <f>'Revenue Model'!G14*Inputs!$B$11</f>
        <v/>
      </c>
      <c r="G9" s="56">
        <f>'Revenue Model'!H14*Inputs!$B$11</f>
        <v/>
      </c>
      <c r="H9" s="56">
        <f>'Revenue Model'!I14*Inputs!$B$11</f>
        <v/>
      </c>
      <c r="I9" s="56">
        <f>'Revenue Model'!J14*Inputs!$B$11</f>
        <v/>
      </c>
      <c r="J9" s="56">
        <f>'Revenue Model'!K14*Inputs!$B$11</f>
        <v/>
      </c>
      <c r="K9" s="56">
        <f>'Revenue Model'!L14*Inputs!$B$11</f>
        <v/>
      </c>
      <c r="L9" s="56">
        <f>'Revenue Model'!M14*Inputs!$B$11</f>
        <v/>
      </c>
      <c r="M9" s="56">
        <f>'Revenue Model'!N14*Inputs!$B$11</f>
        <v/>
      </c>
      <c r="N9" s="57">
        <f>SUM('Revenue Model'!O14:R14)*Inputs!$B$11</f>
        <v/>
      </c>
      <c r="O9" s="57">
        <f>SUM('Revenue Model'!S14:V14)*Inputs!$B$11</f>
        <v/>
      </c>
      <c r="P9" s="58">
        <f>SUM(B9:M9)+N9+O9</f>
        <v/>
      </c>
    </row>
    <row r="10">
      <c r="A10" s="4" t="inlineStr">
        <is>
          <t>Less: Sequestration</t>
        </is>
      </c>
      <c r="B10" s="56">
        <f>'Revenue Model'!C14*Inputs!$B$10</f>
        <v/>
      </c>
      <c r="C10" s="56">
        <f>'Revenue Model'!D14*Inputs!$B$10</f>
        <v/>
      </c>
      <c r="D10" s="56">
        <f>'Revenue Model'!E14*Inputs!$B$10</f>
        <v/>
      </c>
      <c r="E10" s="56">
        <f>'Revenue Model'!F14*Inputs!$B$10</f>
        <v/>
      </c>
      <c r="F10" s="56">
        <f>'Revenue Model'!G14*Inputs!$B$10</f>
        <v/>
      </c>
      <c r="G10" s="56">
        <f>'Revenue Model'!H14*Inputs!$B$10</f>
        <v/>
      </c>
      <c r="H10" s="56">
        <f>'Revenue Model'!I14*Inputs!$B$10</f>
        <v/>
      </c>
      <c r="I10" s="56">
        <f>'Revenue Model'!J14*Inputs!$B$10</f>
        <v/>
      </c>
      <c r="J10" s="56">
        <f>'Revenue Model'!K14*Inputs!$B$10</f>
        <v/>
      </c>
      <c r="K10" s="56">
        <f>'Revenue Model'!L14*Inputs!$B$10</f>
        <v/>
      </c>
      <c r="L10" s="56">
        <f>'Revenue Model'!M14*Inputs!$B$10</f>
        <v/>
      </c>
      <c r="M10" s="56">
        <f>'Revenue Model'!N14*Inputs!$B$10</f>
        <v/>
      </c>
      <c r="N10" s="57">
        <f>SUM('Revenue Model'!O14:R14)*Inputs!$B$10</f>
        <v/>
      </c>
      <c r="O10" s="57">
        <f>SUM('Revenue Model'!S14:V14)*Inputs!$B$10</f>
        <v/>
      </c>
      <c r="P10" s="58">
        <f>SUM(B10:M10)+N10+O10</f>
        <v/>
      </c>
    </row>
    <row r="11">
      <c r="A11" s="4" t="inlineStr">
        <is>
          <t>Less: Medication Adjustments</t>
        </is>
      </c>
      <c r="B11" s="56">
        <f>0</f>
        <v/>
      </c>
      <c r="C11" s="56">
        <f>0</f>
        <v/>
      </c>
      <c r="D11" s="56">
        <f>0</f>
        <v/>
      </c>
      <c r="E11" s="56">
        <f>0</f>
        <v/>
      </c>
      <c r="F11" s="56">
        <f>0</f>
        <v/>
      </c>
      <c r="G11" s="56">
        <f>0</f>
        <v/>
      </c>
      <c r="H11" s="56">
        <f>0</f>
        <v/>
      </c>
      <c r="I11" s="56">
        <f>0</f>
        <v/>
      </c>
      <c r="J11" s="56">
        <f>0</f>
        <v/>
      </c>
      <c r="K11" s="56">
        <f>0</f>
        <v/>
      </c>
      <c r="L11" s="56">
        <f>0</f>
        <v/>
      </c>
      <c r="M11" s="56">
        <f>0</f>
        <v/>
      </c>
      <c r="N11" s="57">
        <f>0</f>
        <v/>
      </c>
      <c r="O11" s="57">
        <f>0</f>
        <v/>
      </c>
      <c r="P11" s="58">
        <f>SUM(B11:M11)+N11+O11</f>
        <v/>
      </c>
    </row>
    <row r="12">
      <c r="A12" s="12" t="inlineStr">
        <is>
          <t>Total Income</t>
        </is>
      </c>
      <c r="B12" s="59">
        <f>B7-B8-B9-B10-B11</f>
        <v/>
      </c>
      <c r="C12" s="59">
        <f>C7-C8-C9-C10-C11</f>
        <v/>
      </c>
      <c r="D12" s="59">
        <f>D7-D8-D9-D10-D11</f>
        <v/>
      </c>
      <c r="E12" s="59">
        <f>E7-E8-E9-E10-E11</f>
        <v/>
      </c>
      <c r="F12" s="59">
        <f>F7-F8-F9-F10-F11</f>
        <v/>
      </c>
      <c r="G12" s="59">
        <f>G7-G8-G9-G10-G11</f>
        <v/>
      </c>
      <c r="H12" s="59">
        <f>H7-H8-H9-H10-H11</f>
        <v/>
      </c>
      <c r="I12" s="59">
        <f>I7-I8-I9-I10-I11</f>
        <v/>
      </c>
      <c r="J12" s="59">
        <f>J7-J8-J9-J10-J11</f>
        <v/>
      </c>
      <c r="K12" s="59">
        <f>K7-K8-K9-K10-K11</f>
        <v/>
      </c>
      <c r="L12" s="59">
        <f>L7-L8-L9-L10-L11</f>
        <v/>
      </c>
      <c r="M12" s="59">
        <f>M7-M8-M9-M10-M11</f>
        <v/>
      </c>
      <c r="N12" s="59">
        <f>N7-N8-N9-N10-N11</f>
        <v/>
      </c>
      <c r="O12" s="59">
        <f>O7-O8-O9-O10-O11</f>
        <v/>
      </c>
      <c r="P12" s="59">
        <f>P7-P8-P9-P10-P11</f>
        <v/>
      </c>
    </row>
    <row r="14">
      <c r="A14" s="28" t="inlineStr">
        <is>
          <t>Cost of Services</t>
        </is>
      </c>
    </row>
    <row r="15">
      <c r="A15" s="4" t="inlineStr">
        <is>
          <t>Pharmacy</t>
        </is>
      </c>
      <c r="B15" s="56">
        <f>'Revenue Model'!C12*Inputs!$B$74</f>
        <v/>
      </c>
      <c r="C15" s="56">
        <f>'Revenue Model'!D12*Inputs!$B$74</f>
        <v/>
      </c>
      <c r="D15" s="56">
        <f>'Revenue Model'!E12*Inputs!$B$74</f>
        <v/>
      </c>
      <c r="E15" s="56">
        <f>'Revenue Model'!F12*Inputs!$B$74</f>
        <v/>
      </c>
      <c r="F15" s="56">
        <f>'Revenue Model'!G12*Inputs!$B$74</f>
        <v/>
      </c>
      <c r="G15" s="56">
        <f>'Revenue Model'!H12*Inputs!$B$74</f>
        <v/>
      </c>
      <c r="H15" s="56">
        <f>'Revenue Model'!I12*Inputs!$B$74</f>
        <v/>
      </c>
      <c r="I15" s="56">
        <f>'Revenue Model'!J12*Inputs!$B$74</f>
        <v/>
      </c>
      <c r="J15" s="56">
        <f>'Revenue Model'!K12*Inputs!$B$74</f>
        <v/>
      </c>
      <c r="K15" s="56">
        <f>'Revenue Model'!L12*Inputs!$B$74</f>
        <v/>
      </c>
      <c r="L15" s="56">
        <f>'Revenue Model'!M12*Inputs!$B$74</f>
        <v/>
      </c>
      <c r="M15" s="56">
        <f>'Revenue Model'!N12*Inputs!$B$74</f>
        <v/>
      </c>
      <c r="N15" s="57">
        <f>SUM('Revenue Model'!O12:R12)*Inputs!$B$74</f>
        <v/>
      </c>
      <c r="O15" s="57">
        <f>SUM('Revenue Model'!S12:V12)*Inputs!$B$74</f>
        <v/>
      </c>
      <c r="P15" s="58">
        <f>SUM(B15:M15)+N15+O15</f>
        <v/>
      </c>
    </row>
    <row r="16">
      <c r="A16" s="4" t="inlineStr">
        <is>
          <t>Medical Supplies</t>
        </is>
      </c>
      <c r="B16" s="56">
        <f>'Revenue Model'!C12*Inputs!$B$72</f>
        <v/>
      </c>
      <c r="C16" s="56">
        <f>'Revenue Model'!D12*Inputs!$B$72</f>
        <v/>
      </c>
      <c r="D16" s="56">
        <f>'Revenue Model'!E12*Inputs!$B$72</f>
        <v/>
      </c>
      <c r="E16" s="56">
        <f>'Revenue Model'!F12*Inputs!$B$72</f>
        <v/>
      </c>
      <c r="F16" s="56">
        <f>'Revenue Model'!G12*Inputs!$B$72</f>
        <v/>
      </c>
      <c r="G16" s="56">
        <f>'Revenue Model'!H12*Inputs!$B$72</f>
        <v/>
      </c>
      <c r="H16" s="56">
        <f>'Revenue Model'!I12*Inputs!$B$72</f>
        <v/>
      </c>
      <c r="I16" s="56">
        <f>'Revenue Model'!J12*Inputs!$B$72</f>
        <v/>
      </c>
      <c r="J16" s="56">
        <f>'Revenue Model'!K12*Inputs!$B$72</f>
        <v/>
      </c>
      <c r="K16" s="56">
        <f>'Revenue Model'!L12*Inputs!$B$72</f>
        <v/>
      </c>
      <c r="L16" s="56">
        <f>'Revenue Model'!M12*Inputs!$B$72</f>
        <v/>
      </c>
      <c r="M16" s="56">
        <f>'Revenue Model'!N12*Inputs!$B$72</f>
        <v/>
      </c>
      <c r="N16" s="57">
        <f>SUM('Revenue Model'!O12:R12)*Inputs!$B$72</f>
        <v/>
      </c>
      <c r="O16" s="57">
        <f>SUM('Revenue Model'!S12:V12)*Inputs!$B$72</f>
        <v/>
      </c>
      <c r="P16" s="58">
        <f>SUM(B16:M16)+N16+O16</f>
        <v/>
      </c>
    </row>
    <row r="17">
      <c r="A17" s="4" t="inlineStr">
        <is>
          <t>Durable Medical Equipment (DME)</t>
        </is>
      </c>
      <c r="B17" s="56">
        <f>'Revenue Model'!C12*Inputs!$B$73</f>
        <v/>
      </c>
      <c r="C17" s="56">
        <f>'Revenue Model'!D12*Inputs!$B$73</f>
        <v/>
      </c>
      <c r="D17" s="56">
        <f>'Revenue Model'!E12*Inputs!$B$73</f>
        <v/>
      </c>
      <c r="E17" s="56">
        <f>'Revenue Model'!F12*Inputs!$B$73</f>
        <v/>
      </c>
      <c r="F17" s="56">
        <f>'Revenue Model'!G12*Inputs!$B$73</f>
        <v/>
      </c>
      <c r="G17" s="56">
        <f>'Revenue Model'!H12*Inputs!$B$73</f>
        <v/>
      </c>
      <c r="H17" s="56">
        <f>'Revenue Model'!I12*Inputs!$B$73</f>
        <v/>
      </c>
      <c r="I17" s="56">
        <f>'Revenue Model'!J12*Inputs!$B$73</f>
        <v/>
      </c>
      <c r="J17" s="56">
        <f>'Revenue Model'!K12*Inputs!$B$73</f>
        <v/>
      </c>
      <c r="K17" s="56">
        <f>'Revenue Model'!L12*Inputs!$B$73</f>
        <v/>
      </c>
      <c r="L17" s="56">
        <f>'Revenue Model'!M12*Inputs!$B$73</f>
        <v/>
      </c>
      <c r="M17" s="56">
        <f>'Revenue Model'!N12*Inputs!$B$73</f>
        <v/>
      </c>
      <c r="N17" s="57">
        <f>SUM('Revenue Model'!O12:R12)*Inputs!$B$73</f>
        <v/>
      </c>
      <c r="O17" s="57">
        <f>SUM('Revenue Model'!S12:V12)*Inputs!$B$73</f>
        <v/>
      </c>
      <c r="P17" s="58">
        <f>SUM(B17:M17)+N17+O17</f>
        <v/>
      </c>
    </row>
    <row r="18">
      <c r="A18" s="4" t="inlineStr">
        <is>
          <t>Respite Care</t>
        </is>
      </c>
      <c r="B18" s="56">
        <f>0</f>
        <v/>
      </c>
      <c r="C18" s="56">
        <f>0</f>
        <v/>
      </c>
      <c r="D18" s="56">
        <f>0</f>
        <v/>
      </c>
      <c r="E18" s="56">
        <f>0</f>
        <v/>
      </c>
      <c r="F18" s="56">
        <f>0</f>
        <v/>
      </c>
      <c r="G18" s="56">
        <f>0</f>
        <v/>
      </c>
      <c r="H18" s="56">
        <f>0</f>
        <v/>
      </c>
      <c r="I18" s="56">
        <f>0</f>
        <v/>
      </c>
      <c r="J18" s="56">
        <f>0</f>
        <v/>
      </c>
      <c r="K18" s="56">
        <f>0</f>
        <v/>
      </c>
      <c r="L18" s="56">
        <f>0</f>
        <v/>
      </c>
      <c r="M18" s="56">
        <f>0</f>
        <v/>
      </c>
      <c r="N18" s="57">
        <f>0</f>
        <v/>
      </c>
      <c r="O18" s="57">
        <f>0</f>
        <v/>
      </c>
      <c r="P18" s="58">
        <f>SUM(B18:M18)+N18+O18</f>
        <v/>
      </c>
    </row>
    <row r="19">
      <c r="A19" s="4" t="inlineStr">
        <is>
          <t>Transportation</t>
        </is>
      </c>
      <c r="B19" s="56">
        <f>0</f>
        <v/>
      </c>
      <c r="C19" s="56">
        <f>0</f>
        <v/>
      </c>
      <c r="D19" s="56">
        <f>0</f>
        <v/>
      </c>
      <c r="E19" s="56">
        <f>0</f>
        <v/>
      </c>
      <c r="F19" s="56">
        <f>0</f>
        <v/>
      </c>
      <c r="G19" s="56">
        <f>0</f>
        <v/>
      </c>
      <c r="H19" s="56">
        <f>0</f>
        <v/>
      </c>
      <c r="I19" s="56">
        <f>0</f>
        <v/>
      </c>
      <c r="J19" s="56">
        <f>0</f>
        <v/>
      </c>
      <c r="K19" s="56">
        <f>0</f>
        <v/>
      </c>
      <c r="L19" s="56">
        <f>0</f>
        <v/>
      </c>
      <c r="M19" s="56">
        <f>0</f>
        <v/>
      </c>
      <c r="N19" s="57">
        <f>0</f>
        <v/>
      </c>
      <c r="O19" s="57">
        <f>0</f>
        <v/>
      </c>
      <c r="P19" s="58">
        <f>SUM(B19:M19)+N19+O19</f>
        <v/>
      </c>
    </row>
    <row r="20">
      <c r="A20" s="4" t="inlineStr">
        <is>
          <t>Infusion / Labs</t>
        </is>
      </c>
      <c r="B20" s="56">
        <f>0</f>
        <v/>
      </c>
      <c r="C20" s="56">
        <f>0</f>
        <v/>
      </c>
      <c r="D20" s="56">
        <f>0</f>
        <v/>
      </c>
      <c r="E20" s="56">
        <f>0</f>
        <v/>
      </c>
      <c r="F20" s="56">
        <f>0</f>
        <v/>
      </c>
      <c r="G20" s="56">
        <f>0</f>
        <v/>
      </c>
      <c r="H20" s="56">
        <f>0</f>
        <v/>
      </c>
      <c r="I20" s="56">
        <f>0</f>
        <v/>
      </c>
      <c r="J20" s="56">
        <f>0</f>
        <v/>
      </c>
      <c r="K20" s="56">
        <f>0</f>
        <v/>
      </c>
      <c r="L20" s="56">
        <f>0</f>
        <v/>
      </c>
      <c r="M20" s="56">
        <f>0</f>
        <v/>
      </c>
      <c r="N20" s="57">
        <f>0</f>
        <v/>
      </c>
      <c r="O20" s="57">
        <f>0</f>
        <v/>
      </c>
      <c r="P20" s="58">
        <f>SUM(B20:M20)+N20+O20</f>
        <v/>
      </c>
    </row>
    <row r="21">
      <c r="A21" s="4" t="inlineStr">
        <is>
          <t>PT / OT / ST</t>
        </is>
      </c>
      <c r="B21" s="56">
        <f>0</f>
        <v/>
      </c>
      <c r="C21" s="56">
        <f>0</f>
        <v/>
      </c>
      <c r="D21" s="56">
        <f>0</f>
        <v/>
      </c>
      <c r="E21" s="56">
        <f>0</f>
        <v/>
      </c>
      <c r="F21" s="56">
        <f>0</f>
        <v/>
      </c>
      <c r="G21" s="56">
        <f>0</f>
        <v/>
      </c>
      <c r="H21" s="56">
        <f>0</f>
        <v/>
      </c>
      <c r="I21" s="56">
        <f>0</f>
        <v/>
      </c>
      <c r="J21" s="56">
        <f>0</f>
        <v/>
      </c>
      <c r="K21" s="56">
        <f>0</f>
        <v/>
      </c>
      <c r="L21" s="56">
        <f>0</f>
        <v/>
      </c>
      <c r="M21" s="56">
        <f>0</f>
        <v/>
      </c>
      <c r="N21" s="57">
        <f>0</f>
        <v/>
      </c>
      <c r="O21" s="57">
        <f>0</f>
        <v/>
      </c>
      <c r="P21" s="58">
        <f>SUM(B21:M21)+N21+O21</f>
        <v/>
      </c>
    </row>
    <row r="22">
      <c r="A22" s="12" t="inlineStr">
        <is>
          <t>Total Cost of Services</t>
        </is>
      </c>
      <c r="B22" s="59">
        <f>SUM(B15:B21)</f>
        <v/>
      </c>
      <c r="C22" s="59">
        <f>SUM(C15:C21)</f>
        <v/>
      </c>
      <c r="D22" s="59">
        <f>SUM(D15:D21)</f>
        <v/>
      </c>
      <c r="E22" s="59">
        <f>SUM(E15:E21)</f>
        <v/>
      </c>
      <c r="F22" s="59">
        <f>SUM(F15:F21)</f>
        <v/>
      </c>
      <c r="G22" s="59">
        <f>SUM(G15:G21)</f>
        <v/>
      </c>
      <c r="H22" s="59">
        <f>SUM(H15:H21)</f>
        <v/>
      </c>
      <c r="I22" s="59">
        <f>SUM(I15:I21)</f>
        <v/>
      </c>
      <c r="J22" s="59">
        <f>SUM(J15:J21)</f>
        <v/>
      </c>
      <c r="K22" s="59">
        <f>SUM(K15:K21)</f>
        <v/>
      </c>
      <c r="L22" s="59">
        <f>SUM(L15:L21)</f>
        <v/>
      </c>
      <c r="M22" s="59">
        <f>SUM(M15:M21)</f>
        <v/>
      </c>
      <c r="N22" s="59">
        <f>SUM(N15:N21)</f>
        <v/>
      </c>
      <c r="O22" s="59">
        <f>SUM(O15:O21)</f>
        <v/>
      </c>
      <c r="P22" s="59">
        <f>SUM(P15:P21)</f>
        <v/>
      </c>
    </row>
    <row r="24">
      <c r="A24" s="28" t="inlineStr">
        <is>
          <t>Gross Profit</t>
        </is>
      </c>
      <c r="B24" s="59">
        <f>B12-B22</f>
        <v/>
      </c>
      <c r="C24" s="59">
        <f>C12-C22</f>
        <v/>
      </c>
      <c r="D24" s="59">
        <f>D12-D22</f>
        <v/>
      </c>
      <c r="E24" s="59">
        <f>E12-E22</f>
        <v/>
      </c>
      <c r="F24" s="59">
        <f>F12-F22</f>
        <v/>
      </c>
      <c r="G24" s="59">
        <f>G12-G22</f>
        <v/>
      </c>
      <c r="H24" s="59">
        <f>H12-H22</f>
        <v/>
      </c>
      <c r="I24" s="59">
        <f>I12-I22</f>
        <v/>
      </c>
      <c r="J24" s="59">
        <f>J12-J22</f>
        <v/>
      </c>
      <c r="K24" s="59">
        <f>K12-K22</f>
        <v/>
      </c>
      <c r="L24" s="59">
        <f>L12-L22</f>
        <v/>
      </c>
      <c r="M24" s="59">
        <f>M12-M22</f>
        <v/>
      </c>
      <c r="N24" s="59">
        <f>N12-N22</f>
        <v/>
      </c>
      <c r="O24" s="59">
        <f>O12-O22</f>
        <v/>
      </c>
      <c r="P24" s="59">
        <f>P12-P22</f>
        <v/>
      </c>
    </row>
    <row r="26">
      <c r="A26" s="28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60" t="inlineStr">
        <is>
          <t>Payroll — 1st Half</t>
        </is>
      </c>
      <c r="B28" s="56">
        <f>('Staffing &amp; Payroll'!C18+'Staffing &amp; Payroll'!C30+'Staffing &amp; Payroll'!C26+'Staffing &amp; Payroll'!C31)/2</f>
        <v/>
      </c>
      <c r="C28" s="56">
        <f>('Staffing &amp; Payroll'!D18+'Staffing &amp; Payroll'!D30+'Staffing &amp; Payroll'!D26+'Staffing &amp; Payroll'!D31)/2</f>
        <v/>
      </c>
      <c r="D28" s="56">
        <f>('Staffing &amp; Payroll'!E18+'Staffing &amp; Payroll'!E30+'Staffing &amp; Payroll'!E26+'Staffing &amp; Payroll'!E31)/2</f>
        <v/>
      </c>
      <c r="E28" s="56">
        <f>('Staffing &amp; Payroll'!F18+'Staffing &amp; Payroll'!F30+'Staffing &amp; Payroll'!F26+'Staffing &amp; Payroll'!F31)/2</f>
        <v/>
      </c>
      <c r="F28" s="56">
        <f>('Staffing &amp; Payroll'!G18+'Staffing &amp; Payroll'!G30+'Staffing &amp; Payroll'!G26+'Staffing &amp; Payroll'!G31)/2</f>
        <v/>
      </c>
      <c r="G28" s="56">
        <f>('Staffing &amp; Payroll'!H18+'Staffing &amp; Payroll'!H30+'Staffing &amp; Payroll'!H26+'Staffing &amp; Payroll'!H31)/2</f>
        <v/>
      </c>
      <c r="H28" s="56">
        <f>('Staffing &amp; Payroll'!I18+'Staffing &amp; Payroll'!I30+'Staffing &amp; Payroll'!I26+'Staffing &amp; Payroll'!I31)/2</f>
        <v/>
      </c>
      <c r="I28" s="56">
        <f>('Staffing &amp; Payroll'!J18+'Staffing &amp; Payroll'!J30+'Staffing &amp; Payroll'!J26+'Staffing &amp; Payroll'!J31)/2</f>
        <v/>
      </c>
      <c r="J28" s="56">
        <f>('Staffing &amp; Payroll'!K18+'Staffing &amp; Payroll'!K30+'Staffing &amp; Payroll'!K26+'Staffing &amp; Payroll'!K31)/2</f>
        <v/>
      </c>
      <c r="K28" s="56">
        <f>('Staffing &amp; Payroll'!L18+'Staffing &amp; Payroll'!L30+'Staffing &amp; Payroll'!L26+'Staffing &amp; Payroll'!L31)/2</f>
        <v/>
      </c>
      <c r="L28" s="56">
        <f>('Staffing &amp; Payroll'!M18+'Staffing &amp; Payroll'!M30+'Staffing &amp; Payroll'!M26+'Staffing &amp; Payroll'!M31)/2</f>
        <v/>
      </c>
      <c r="M28" s="56">
        <f>('Staffing &amp; Payroll'!N18+'Staffing &amp; Payroll'!N30+'Staffing &amp; Payroll'!N26+'Staffing &amp; Payroll'!N31)/2</f>
        <v/>
      </c>
      <c r="N28" s="57">
        <f>(SUM('Staffing &amp; Payroll'!O18:R18)+SUM('Staffing &amp; Payroll'!O30:R30)+SUM('Staffing &amp; Payroll'!O26:R26)+SUM('Staffing &amp; Payroll'!O31:R31))/2</f>
        <v/>
      </c>
      <c r="O28" s="57">
        <f>(SUM('Staffing &amp; Payroll'!S18:V18)+SUM('Staffing &amp; Payroll'!S30:V30)+SUM('Staffing &amp; Payroll'!S26:V26)+SUM('Staffing &amp; Payroll'!S31:V31))/2</f>
        <v/>
      </c>
      <c r="P28" s="58">
        <f>SUM(B28:M28)+N28+O28</f>
        <v/>
      </c>
    </row>
    <row r="29">
      <c r="A29" s="60" t="inlineStr">
        <is>
          <t>Payroll — 2nd Half</t>
        </is>
      </c>
      <c r="B29" s="56">
        <f>('Staffing &amp; Payroll'!C18+'Staffing &amp; Payroll'!C30+'Staffing &amp; Payroll'!C26+'Staffing &amp; Payroll'!C31)/2</f>
        <v/>
      </c>
      <c r="C29" s="56">
        <f>('Staffing &amp; Payroll'!D18+'Staffing &amp; Payroll'!D30+'Staffing &amp; Payroll'!D26+'Staffing &amp; Payroll'!D31)/2</f>
        <v/>
      </c>
      <c r="D29" s="56">
        <f>('Staffing &amp; Payroll'!E18+'Staffing &amp; Payroll'!E30+'Staffing &amp; Payroll'!E26+'Staffing &amp; Payroll'!E31)/2</f>
        <v/>
      </c>
      <c r="E29" s="56">
        <f>('Staffing &amp; Payroll'!F18+'Staffing &amp; Payroll'!F30+'Staffing &amp; Payroll'!F26+'Staffing &amp; Payroll'!F31)/2</f>
        <v/>
      </c>
      <c r="F29" s="56">
        <f>('Staffing &amp; Payroll'!G18+'Staffing &amp; Payroll'!G30+'Staffing &amp; Payroll'!G26+'Staffing &amp; Payroll'!G31)/2</f>
        <v/>
      </c>
      <c r="G29" s="56">
        <f>('Staffing &amp; Payroll'!H18+'Staffing &amp; Payroll'!H30+'Staffing &amp; Payroll'!H26+'Staffing &amp; Payroll'!H31)/2</f>
        <v/>
      </c>
      <c r="H29" s="56">
        <f>('Staffing &amp; Payroll'!I18+'Staffing &amp; Payroll'!I30+'Staffing &amp; Payroll'!I26+'Staffing &amp; Payroll'!I31)/2</f>
        <v/>
      </c>
      <c r="I29" s="56">
        <f>('Staffing &amp; Payroll'!J18+'Staffing &amp; Payroll'!J30+'Staffing &amp; Payroll'!J26+'Staffing &amp; Payroll'!J31)/2</f>
        <v/>
      </c>
      <c r="J29" s="56">
        <f>('Staffing &amp; Payroll'!K18+'Staffing &amp; Payroll'!K30+'Staffing &amp; Payroll'!K26+'Staffing &amp; Payroll'!K31)/2</f>
        <v/>
      </c>
      <c r="K29" s="56">
        <f>('Staffing &amp; Payroll'!L18+'Staffing &amp; Payroll'!L30+'Staffing &amp; Payroll'!L26+'Staffing &amp; Payroll'!L31)/2</f>
        <v/>
      </c>
      <c r="L29" s="56">
        <f>('Staffing &amp; Payroll'!M18+'Staffing &amp; Payroll'!M30+'Staffing &amp; Payroll'!M26+'Staffing &amp; Payroll'!M31)/2</f>
        <v/>
      </c>
      <c r="M29" s="56">
        <f>('Staffing &amp; Payroll'!N18+'Staffing &amp; Payroll'!N30+'Staffing &amp; Payroll'!N26+'Staffing &amp; Payroll'!N31)/2</f>
        <v/>
      </c>
      <c r="N29" s="57">
        <f>(SUM('Staffing &amp; Payroll'!O18:R18)+SUM('Staffing &amp; Payroll'!O30:R30)+SUM('Staffing &amp; Payroll'!O26:R26)+SUM('Staffing &amp; Payroll'!O31:R31))/2</f>
        <v/>
      </c>
      <c r="O29" s="57">
        <f>(SUM('Staffing &amp; Payroll'!S18:V18)+SUM('Staffing &amp; Payroll'!S30:V30)+SUM('Staffing &amp; Payroll'!S26:V26)+SUM('Staffing &amp; Payroll'!S31:V31))/2</f>
        <v/>
      </c>
      <c r="P29" s="58">
        <f>SUM(B29:M29)+N29+O29</f>
        <v/>
      </c>
    </row>
    <row r="30">
      <c r="A30" s="60" t="inlineStr">
        <is>
          <t>Payroll YTD Adjustments</t>
        </is>
      </c>
      <c r="B30" s="56">
        <f>0</f>
        <v/>
      </c>
      <c r="C30" s="56">
        <f>0</f>
        <v/>
      </c>
      <c r="D30" s="56">
        <f>0</f>
        <v/>
      </c>
      <c r="E30" s="56">
        <f>0</f>
        <v/>
      </c>
      <c r="F30" s="56">
        <f>0</f>
        <v/>
      </c>
      <c r="G30" s="56">
        <f>0</f>
        <v/>
      </c>
      <c r="H30" s="56">
        <f>0</f>
        <v/>
      </c>
      <c r="I30" s="56">
        <f>0</f>
        <v/>
      </c>
      <c r="J30" s="56">
        <f>0</f>
        <v/>
      </c>
      <c r="K30" s="56">
        <f>0</f>
        <v/>
      </c>
      <c r="L30" s="56">
        <f>0</f>
        <v/>
      </c>
      <c r="M30" s="56">
        <f>0</f>
        <v/>
      </c>
      <c r="N30" s="57">
        <f>0</f>
        <v/>
      </c>
      <c r="O30" s="57">
        <f>0</f>
        <v/>
      </c>
      <c r="P30" s="58">
        <f>SUM(B30:M30)+N30+O30</f>
        <v/>
      </c>
    </row>
    <row r="31">
      <c r="A31" s="60" t="inlineStr">
        <is>
          <t>Employer Taxes (FUTA/SUI/FICA/WC)</t>
        </is>
      </c>
      <c r="B31" s="56">
        <f>'Staffing &amp; Payroll'!C36+'Staffing &amp; Payroll'!C37</f>
        <v/>
      </c>
      <c r="C31" s="56">
        <f>'Staffing &amp; Payroll'!D36+'Staffing &amp; Payroll'!D37</f>
        <v/>
      </c>
      <c r="D31" s="56">
        <f>'Staffing &amp; Payroll'!E36+'Staffing &amp; Payroll'!E37</f>
        <v/>
      </c>
      <c r="E31" s="56">
        <f>'Staffing &amp; Payroll'!F36+'Staffing &amp; Payroll'!F37</f>
        <v/>
      </c>
      <c r="F31" s="56">
        <f>'Staffing &amp; Payroll'!G36+'Staffing &amp; Payroll'!G37</f>
        <v/>
      </c>
      <c r="G31" s="56">
        <f>'Staffing &amp; Payroll'!H36+'Staffing &amp; Payroll'!H37</f>
        <v/>
      </c>
      <c r="H31" s="56">
        <f>'Staffing &amp; Payroll'!I36+'Staffing &amp; Payroll'!I37</f>
        <v/>
      </c>
      <c r="I31" s="56">
        <f>'Staffing &amp; Payroll'!J36+'Staffing &amp; Payroll'!J37</f>
        <v/>
      </c>
      <c r="J31" s="56">
        <f>'Staffing &amp; Payroll'!K36+'Staffing &amp; Payroll'!K37</f>
        <v/>
      </c>
      <c r="K31" s="56">
        <f>'Staffing &amp; Payroll'!L36+'Staffing &amp; Payroll'!L37</f>
        <v/>
      </c>
      <c r="L31" s="56">
        <f>'Staffing &amp; Payroll'!M36+'Staffing &amp; Payroll'!M37</f>
        <v/>
      </c>
      <c r="M31" s="56">
        <f>'Staffing &amp; Payroll'!N36+'Staffing &amp; Payroll'!N37</f>
        <v/>
      </c>
      <c r="N31" s="57">
        <f>SUM('Staffing &amp; Payroll'!O36:R36)+SUM('Staffing &amp; Payroll'!O37:R37)</f>
        <v/>
      </c>
      <c r="O31" s="57">
        <f>SUM('Staffing &amp; Payroll'!S36:V36)+SUM('Staffing &amp; Payroll'!S37:V37)</f>
        <v/>
      </c>
      <c r="P31" s="58">
        <f>SUM(B31:M31)+N31+O31</f>
        <v/>
      </c>
    </row>
    <row r="32">
      <c r="A32" s="60" t="inlineStr">
        <is>
          <t>Contract Labor</t>
        </is>
      </c>
      <c r="B32" s="56">
        <f>0</f>
        <v/>
      </c>
      <c r="C32" s="56">
        <f>0</f>
        <v/>
      </c>
      <c r="D32" s="56">
        <f>0</f>
        <v/>
      </c>
      <c r="E32" s="56">
        <f>0</f>
        <v/>
      </c>
      <c r="F32" s="56">
        <f>0</f>
        <v/>
      </c>
      <c r="G32" s="56">
        <f>0</f>
        <v/>
      </c>
      <c r="H32" s="56">
        <f>0</f>
        <v/>
      </c>
      <c r="I32" s="56">
        <f>0</f>
        <v/>
      </c>
      <c r="J32" s="56">
        <f>0</f>
        <v/>
      </c>
      <c r="K32" s="56">
        <f>0</f>
        <v/>
      </c>
      <c r="L32" s="56">
        <f>0</f>
        <v/>
      </c>
      <c r="M32" s="56">
        <f>0</f>
        <v/>
      </c>
      <c r="N32" s="57">
        <f>0</f>
        <v/>
      </c>
      <c r="O32" s="57">
        <f>0</f>
        <v/>
      </c>
      <c r="P32" s="58">
        <f>SUM(B32:M32)+N32+O32</f>
        <v/>
      </c>
    </row>
    <row r="33">
      <c r="A33" s="60" t="inlineStr">
        <is>
          <t>Medical Director</t>
        </is>
      </c>
      <c r="B33" s="56">
        <f>'Staffing &amp; Payroll'!C27</f>
        <v/>
      </c>
      <c r="C33" s="56">
        <f>'Staffing &amp; Payroll'!D27</f>
        <v/>
      </c>
      <c r="D33" s="56">
        <f>'Staffing &amp; Payroll'!E27</f>
        <v/>
      </c>
      <c r="E33" s="56">
        <f>'Staffing &amp; Payroll'!F27</f>
        <v/>
      </c>
      <c r="F33" s="56">
        <f>'Staffing &amp; Payroll'!G27</f>
        <v/>
      </c>
      <c r="G33" s="56">
        <f>'Staffing &amp; Payroll'!H27</f>
        <v/>
      </c>
      <c r="H33" s="56">
        <f>'Staffing &amp; Payroll'!I27</f>
        <v/>
      </c>
      <c r="I33" s="56">
        <f>'Staffing &amp; Payroll'!J27</f>
        <v/>
      </c>
      <c r="J33" s="56">
        <f>'Staffing &amp; Payroll'!K27</f>
        <v/>
      </c>
      <c r="K33" s="56">
        <f>'Staffing &amp; Payroll'!L27</f>
        <v/>
      </c>
      <c r="L33" s="56">
        <f>'Staffing &amp; Payroll'!M27</f>
        <v/>
      </c>
      <c r="M33" s="56">
        <f>'Staffing &amp; Payroll'!N27</f>
        <v/>
      </c>
      <c r="N33" s="57">
        <f>SUM('Staffing &amp; Payroll'!O27:R27)</f>
        <v/>
      </c>
      <c r="O33" s="57">
        <f>SUM('Staffing &amp; Payroll'!S27:V27)</f>
        <v/>
      </c>
      <c r="P33" s="58">
        <f>SUM(B33:M33)+N33+O33</f>
        <v/>
      </c>
    </row>
    <row r="34">
      <c r="A34" s="60" t="inlineStr">
        <is>
          <t>Medical Director 2</t>
        </is>
      </c>
      <c r="B34" s="56">
        <f>0</f>
        <v/>
      </c>
      <c r="C34" s="56">
        <f>0</f>
        <v/>
      </c>
      <c r="D34" s="56">
        <f>0</f>
        <v/>
      </c>
      <c r="E34" s="56">
        <f>0</f>
        <v/>
      </c>
      <c r="F34" s="56">
        <f>0</f>
        <v/>
      </c>
      <c r="G34" s="56">
        <f>0</f>
        <v/>
      </c>
      <c r="H34" s="56">
        <f>0</f>
        <v/>
      </c>
      <c r="I34" s="56">
        <f>0</f>
        <v/>
      </c>
      <c r="J34" s="56">
        <f>0</f>
        <v/>
      </c>
      <c r="K34" s="56">
        <f>0</f>
        <v/>
      </c>
      <c r="L34" s="56">
        <f>0</f>
        <v/>
      </c>
      <c r="M34" s="56">
        <f>0</f>
        <v/>
      </c>
      <c r="N34" s="57">
        <f>0</f>
        <v/>
      </c>
      <c r="O34" s="57">
        <f>0</f>
        <v/>
      </c>
      <c r="P34" s="58">
        <f>SUM(B34:M34)+N34+O34</f>
        <v/>
      </c>
    </row>
    <row r="35">
      <c r="A35" s="60" t="inlineStr">
        <is>
          <t>Intercompany Transfer</t>
        </is>
      </c>
      <c r="B35" s="56">
        <f>0</f>
        <v/>
      </c>
      <c r="C35" s="56">
        <f>0</f>
        <v/>
      </c>
      <c r="D35" s="56">
        <f>0</f>
        <v/>
      </c>
      <c r="E35" s="56">
        <f>0</f>
        <v/>
      </c>
      <c r="F35" s="56">
        <f>0</f>
        <v/>
      </c>
      <c r="G35" s="56">
        <f>0</f>
        <v/>
      </c>
      <c r="H35" s="56">
        <f>0</f>
        <v/>
      </c>
      <c r="I35" s="56">
        <f>0</f>
        <v/>
      </c>
      <c r="J35" s="56">
        <f>0</f>
        <v/>
      </c>
      <c r="K35" s="56">
        <f>0</f>
        <v/>
      </c>
      <c r="L35" s="56">
        <f>0</f>
        <v/>
      </c>
      <c r="M35" s="56">
        <f>0</f>
        <v/>
      </c>
      <c r="N35" s="57">
        <f>0</f>
        <v/>
      </c>
      <c r="O35" s="57">
        <f>0</f>
        <v/>
      </c>
      <c r="P35" s="58">
        <f>SUM(B35:M35)+N35+O35</f>
        <v/>
      </c>
    </row>
    <row r="36">
      <c r="A36" s="60" t="inlineStr">
        <is>
          <t>Staff Other (health insurance)</t>
        </is>
      </c>
      <c r="B36" s="56">
        <f>'Staffing &amp; Payroll'!C38+'Staffing &amp; Payroll'!C39</f>
        <v/>
      </c>
      <c r="C36" s="56">
        <f>'Staffing &amp; Payroll'!D38+'Staffing &amp; Payroll'!D39</f>
        <v/>
      </c>
      <c r="D36" s="56">
        <f>'Staffing &amp; Payroll'!E38+'Staffing &amp; Payroll'!E39</f>
        <v/>
      </c>
      <c r="E36" s="56">
        <f>'Staffing &amp; Payroll'!F38+'Staffing &amp; Payroll'!F39</f>
        <v/>
      </c>
      <c r="F36" s="56">
        <f>'Staffing &amp; Payroll'!G38+'Staffing &amp; Payroll'!G39</f>
        <v/>
      </c>
      <c r="G36" s="56">
        <f>'Staffing &amp; Payroll'!H38+'Staffing &amp; Payroll'!H39</f>
        <v/>
      </c>
      <c r="H36" s="56">
        <f>'Staffing &amp; Payroll'!I38+'Staffing &amp; Payroll'!I39</f>
        <v/>
      </c>
      <c r="I36" s="56">
        <f>'Staffing &amp; Payroll'!J38+'Staffing &amp; Payroll'!J39</f>
        <v/>
      </c>
      <c r="J36" s="56">
        <f>'Staffing &amp; Payroll'!K38+'Staffing &amp; Payroll'!K39</f>
        <v/>
      </c>
      <c r="K36" s="56">
        <f>'Staffing &amp; Payroll'!L38+'Staffing &amp; Payroll'!L39</f>
        <v/>
      </c>
      <c r="L36" s="56">
        <f>'Staffing &amp; Payroll'!M38+'Staffing &amp; Payroll'!M39</f>
        <v/>
      </c>
      <c r="M36" s="56">
        <f>'Staffing &amp; Payroll'!N38+'Staffing &amp; Payroll'!N39</f>
        <v/>
      </c>
      <c r="N36" s="57">
        <f>SUM('Staffing &amp; Payroll'!O38:R38)+SUM('Staffing &amp; Payroll'!O39:R39)</f>
        <v/>
      </c>
      <c r="O36" s="57">
        <f>SUM('Staffing &amp; Payroll'!S38:V38)+SUM('Staffing &amp; Payroll'!S39:V39)</f>
        <v/>
      </c>
      <c r="P36" s="58">
        <f>SUM(B36:M36)+N36+O36</f>
        <v/>
      </c>
    </row>
    <row r="37">
      <c r="A37" s="12" t="inlineStr">
        <is>
          <t>Total Payroll &amp; Related</t>
        </is>
      </c>
      <c r="B37" s="59">
        <f>SUM(B28:B36)</f>
        <v/>
      </c>
      <c r="C37" s="59">
        <f>SUM(C28:C36)</f>
        <v/>
      </c>
      <c r="D37" s="59">
        <f>SUM(D28:D36)</f>
        <v/>
      </c>
      <c r="E37" s="59">
        <f>SUM(E28:E36)</f>
        <v/>
      </c>
      <c r="F37" s="59">
        <f>SUM(F28:F36)</f>
        <v/>
      </c>
      <c r="G37" s="59">
        <f>SUM(G28:G36)</f>
        <v/>
      </c>
      <c r="H37" s="59">
        <f>SUM(H28:H36)</f>
        <v/>
      </c>
      <c r="I37" s="59">
        <f>SUM(I28:I36)</f>
        <v/>
      </c>
      <c r="J37" s="59">
        <f>SUM(J28:J36)</f>
        <v/>
      </c>
      <c r="K37" s="59">
        <f>SUM(K28:K36)</f>
        <v/>
      </c>
      <c r="L37" s="59">
        <f>SUM(L28:L36)</f>
        <v/>
      </c>
      <c r="M37" s="59">
        <f>SUM(M28:M36)</f>
        <v/>
      </c>
      <c r="N37" s="59">
        <f>SUM(N28:N36)</f>
        <v/>
      </c>
      <c r="O37" s="59">
        <f>SUM(O28:O36)</f>
        <v/>
      </c>
      <c r="P37" s="59">
        <f>SUM(P28:P36)</f>
        <v/>
      </c>
    </row>
    <row r="39">
      <c r="A39" s="12" t="inlineStr">
        <is>
          <t>General &amp; Administrative</t>
        </is>
      </c>
    </row>
    <row r="40">
      <c r="A40" s="60" t="inlineStr">
        <is>
          <t>Bank / Payroll Fees</t>
        </is>
      </c>
      <c r="B40" s="56">
        <f>Inputs!$B$88</f>
        <v/>
      </c>
      <c r="C40" s="56">
        <f>Inputs!$B$88</f>
        <v/>
      </c>
      <c r="D40" s="56">
        <f>Inputs!$B$88</f>
        <v/>
      </c>
      <c r="E40" s="56">
        <f>Inputs!$B$88</f>
        <v/>
      </c>
      <c r="F40" s="56">
        <f>Inputs!$B$88</f>
        <v/>
      </c>
      <c r="G40" s="56">
        <f>Inputs!$B$88</f>
        <v/>
      </c>
      <c r="H40" s="56">
        <f>Inputs!$B$88</f>
        <v/>
      </c>
      <c r="I40" s="56">
        <f>Inputs!$B$88</f>
        <v/>
      </c>
      <c r="J40" s="56">
        <f>Inputs!$B$88</f>
        <v/>
      </c>
      <c r="K40" s="56">
        <f>Inputs!$B$88</f>
        <v/>
      </c>
      <c r="L40" s="56">
        <f>Inputs!$B$88</f>
        <v/>
      </c>
      <c r="M40" s="56">
        <f>Inputs!$B$88</f>
        <v/>
      </c>
      <c r="N40" s="57">
        <f>Inputs!$B$88*12</f>
        <v/>
      </c>
      <c r="O40" s="57">
        <f>Inputs!$B$88*12</f>
        <v/>
      </c>
      <c r="P40" s="58">
        <f>SUM(B40:M40)+N40+O40</f>
        <v/>
      </c>
    </row>
    <row r="41">
      <c r="A41" s="60" t="inlineStr">
        <is>
          <t>Triple Net Rent</t>
        </is>
      </c>
      <c r="B41" s="56">
        <f>Inputs!$B$89</f>
        <v/>
      </c>
      <c r="C41" s="56">
        <f>Inputs!$B$89</f>
        <v/>
      </c>
      <c r="D41" s="56">
        <f>Inputs!$B$89</f>
        <v/>
      </c>
      <c r="E41" s="56">
        <f>Inputs!$B$89</f>
        <v/>
      </c>
      <c r="F41" s="56">
        <f>Inputs!$B$89</f>
        <v/>
      </c>
      <c r="G41" s="56">
        <f>Inputs!$B$89</f>
        <v/>
      </c>
      <c r="H41" s="56">
        <f>Inputs!$B$89</f>
        <v/>
      </c>
      <c r="I41" s="56">
        <f>Inputs!$B$89</f>
        <v/>
      </c>
      <c r="J41" s="56">
        <f>Inputs!$B$89</f>
        <v/>
      </c>
      <c r="K41" s="56">
        <f>Inputs!$B$89</f>
        <v/>
      </c>
      <c r="L41" s="56">
        <f>Inputs!$B$89</f>
        <v/>
      </c>
      <c r="M41" s="56">
        <f>Inputs!$B$89</f>
        <v/>
      </c>
      <c r="N41" s="57">
        <f>Inputs!$B$89*12</f>
        <v/>
      </c>
      <c r="O41" s="57">
        <f>Inputs!$B$89*12</f>
        <v/>
      </c>
      <c r="P41" s="58">
        <f>SUM(B41:M41)+N41+O41</f>
        <v/>
      </c>
    </row>
    <row r="42">
      <c r="A42" s="60" t="inlineStr">
        <is>
          <t>Utilities</t>
        </is>
      </c>
      <c r="B42" s="56">
        <f>Inputs!$B$77</f>
        <v/>
      </c>
      <c r="C42" s="56">
        <f>Inputs!$B$77</f>
        <v/>
      </c>
      <c r="D42" s="56">
        <f>Inputs!$B$77</f>
        <v/>
      </c>
      <c r="E42" s="56">
        <f>Inputs!$B$77</f>
        <v/>
      </c>
      <c r="F42" s="56">
        <f>Inputs!$B$77</f>
        <v/>
      </c>
      <c r="G42" s="56">
        <f>Inputs!$B$77</f>
        <v/>
      </c>
      <c r="H42" s="56">
        <f>Inputs!$B$77</f>
        <v/>
      </c>
      <c r="I42" s="56">
        <f>Inputs!$B$77</f>
        <v/>
      </c>
      <c r="J42" s="56">
        <f>Inputs!$B$77</f>
        <v/>
      </c>
      <c r="K42" s="56">
        <f>Inputs!$B$77</f>
        <v/>
      </c>
      <c r="L42" s="56">
        <f>Inputs!$B$77</f>
        <v/>
      </c>
      <c r="M42" s="56">
        <f>Inputs!$B$77</f>
        <v/>
      </c>
      <c r="N42" s="57">
        <f>Inputs!$B$77*12</f>
        <v/>
      </c>
      <c r="O42" s="57">
        <f>Inputs!$B$77*12</f>
        <v/>
      </c>
      <c r="P42" s="58">
        <f>SUM(B42:M42)+N42+O42</f>
        <v/>
      </c>
    </row>
    <row r="43">
      <c r="A43" s="60" t="inlineStr">
        <is>
          <t>Internet</t>
        </is>
      </c>
      <c r="B43" s="56">
        <f>Inputs!$B$78</f>
        <v/>
      </c>
      <c r="C43" s="56">
        <f>Inputs!$B$78</f>
        <v/>
      </c>
      <c r="D43" s="56">
        <f>Inputs!$B$78</f>
        <v/>
      </c>
      <c r="E43" s="56">
        <f>Inputs!$B$78</f>
        <v/>
      </c>
      <c r="F43" s="56">
        <f>Inputs!$B$78</f>
        <v/>
      </c>
      <c r="G43" s="56">
        <f>Inputs!$B$78</f>
        <v/>
      </c>
      <c r="H43" s="56">
        <f>Inputs!$B$78</f>
        <v/>
      </c>
      <c r="I43" s="56">
        <f>Inputs!$B$78</f>
        <v/>
      </c>
      <c r="J43" s="56">
        <f>Inputs!$B$78</f>
        <v/>
      </c>
      <c r="K43" s="56">
        <f>Inputs!$B$78</f>
        <v/>
      </c>
      <c r="L43" s="56">
        <f>Inputs!$B$78</f>
        <v/>
      </c>
      <c r="M43" s="56">
        <f>Inputs!$B$78</f>
        <v/>
      </c>
      <c r="N43" s="57">
        <f>Inputs!$B$78*12</f>
        <v/>
      </c>
      <c r="O43" s="57">
        <f>Inputs!$B$78*12</f>
        <v/>
      </c>
      <c r="P43" s="58">
        <f>SUM(B43:M43)+N43+O43</f>
        <v/>
      </c>
    </row>
    <row r="44">
      <c r="A44" s="60" t="inlineStr">
        <is>
          <t>Telephone / Fax</t>
        </is>
      </c>
      <c r="B44" s="56">
        <f>Inputs!$B$79</f>
        <v/>
      </c>
      <c r="C44" s="56">
        <f>Inputs!$B$79</f>
        <v/>
      </c>
      <c r="D44" s="56">
        <f>Inputs!$B$79</f>
        <v/>
      </c>
      <c r="E44" s="56">
        <f>Inputs!$B$79</f>
        <v/>
      </c>
      <c r="F44" s="56">
        <f>Inputs!$B$79</f>
        <v/>
      </c>
      <c r="G44" s="56">
        <f>Inputs!$B$79</f>
        <v/>
      </c>
      <c r="H44" s="56">
        <f>Inputs!$B$79</f>
        <v/>
      </c>
      <c r="I44" s="56">
        <f>Inputs!$B$79</f>
        <v/>
      </c>
      <c r="J44" s="56">
        <f>Inputs!$B$79</f>
        <v/>
      </c>
      <c r="K44" s="56">
        <f>Inputs!$B$79</f>
        <v/>
      </c>
      <c r="L44" s="56">
        <f>Inputs!$B$79</f>
        <v/>
      </c>
      <c r="M44" s="56">
        <f>Inputs!$B$79</f>
        <v/>
      </c>
      <c r="N44" s="57">
        <f>Inputs!$B$79*12</f>
        <v/>
      </c>
      <c r="O44" s="57">
        <f>Inputs!$B$79*12</f>
        <v/>
      </c>
      <c r="P44" s="58">
        <f>SUM(B44:M44)+N44+O44</f>
        <v/>
      </c>
    </row>
    <row r="45">
      <c r="A45" s="60" t="inlineStr">
        <is>
          <t>After Hours Messaging (BVTM)</t>
        </is>
      </c>
      <c r="B45" s="56">
        <f>Inputs!$B$80</f>
        <v/>
      </c>
      <c r="C45" s="56">
        <f>Inputs!$B$80</f>
        <v/>
      </c>
      <c r="D45" s="56">
        <f>Inputs!$B$80</f>
        <v/>
      </c>
      <c r="E45" s="56">
        <f>Inputs!$B$80</f>
        <v/>
      </c>
      <c r="F45" s="56">
        <f>Inputs!$B$80</f>
        <v/>
      </c>
      <c r="G45" s="56">
        <f>Inputs!$B$80</f>
        <v/>
      </c>
      <c r="H45" s="56">
        <f>Inputs!$B$80</f>
        <v/>
      </c>
      <c r="I45" s="56">
        <f>Inputs!$B$80</f>
        <v/>
      </c>
      <c r="J45" s="56">
        <f>Inputs!$B$80</f>
        <v/>
      </c>
      <c r="K45" s="56">
        <f>Inputs!$B$80</f>
        <v/>
      </c>
      <c r="L45" s="56">
        <f>Inputs!$B$80</f>
        <v/>
      </c>
      <c r="M45" s="56">
        <f>Inputs!$B$80</f>
        <v/>
      </c>
      <c r="N45" s="57">
        <f>Inputs!$B$80*12</f>
        <v/>
      </c>
      <c r="O45" s="57">
        <f>Inputs!$B$80*12</f>
        <v/>
      </c>
      <c r="P45" s="58">
        <f>SUM(B45:M45)+N45+O45</f>
        <v/>
      </c>
    </row>
    <row r="46">
      <c r="A46" s="60" t="inlineStr">
        <is>
          <t>CFO / AP Support</t>
        </is>
      </c>
      <c r="B46" s="56">
        <f>0</f>
        <v/>
      </c>
      <c r="C46" s="56">
        <f>0</f>
        <v/>
      </c>
      <c r="D46" s="56">
        <f>0</f>
        <v/>
      </c>
      <c r="E46" s="56">
        <f>0</f>
        <v/>
      </c>
      <c r="F46" s="56">
        <f>0</f>
        <v/>
      </c>
      <c r="G46" s="56">
        <f>0</f>
        <v/>
      </c>
      <c r="H46" s="56">
        <f>0</f>
        <v/>
      </c>
      <c r="I46" s="56">
        <f>0</f>
        <v/>
      </c>
      <c r="J46" s="56">
        <f>0</f>
        <v/>
      </c>
      <c r="K46" s="56">
        <f>0</f>
        <v/>
      </c>
      <c r="L46" s="56">
        <f>0</f>
        <v/>
      </c>
      <c r="M46" s="56">
        <f>0</f>
        <v/>
      </c>
      <c r="N46" s="57">
        <f>0</f>
        <v/>
      </c>
      <c r="O46" s="57">
        <f>0</f>
        <v/>
      </c>
      <c r="P46" s="58">
        <f>SUM(B46:M46)+N46+O46</f>
        <v/>
      </c>
    </row>
    <row r="47">
      <c r="A47" s="60" t="inlineStr">
        <is>
          <t>Support Services</t>
        </is>
      </c>
      <c r="B47" s="56">
        <f>0</f>
        <v/>
      </c>
      <c r="C47" s="56">
        <f>0</f>
        <v/>
      </c>
      <c r="D47" s="56">
        <f>0</f>
        <v/>
      </c>
      <c r="E47" s="56">
        <f>0</f>
        <v/>
      </c>
      <c r="F47" s="56">
        <f>0</f>
        <v/>
      </c>
      <c r="G47" s="56">
        <f>0</f>
        <v/>
      </c>
      <c r="H47" s="56">
        <f>0</f>
        <v/>
      </c>
      <c r="I47" s="56">
        <f>0</f>
        <v/>
      </c>
      <c r="J47" s="56">
        <f>0</f>
        <v/>
      </c>
      <c r="K47" s="56">
        <f>0</f>
        <v/>
      </c>
      <c r="L47" s="56">
        <f>0</f>
        <v/>
      </c>
      <c r="M47" s="56">
        <f>0</f>
        <v/>
      </c>
      <c r="N47" s="57">
        <f>0</f>
        <v/>
      </c>
      <c r="O47" s="57">
        <f>0</f>
        <v/>
      </c>
      <c r="P47" s="58">
        <f>SUM(B47:M47)+N47+O47</f>
        <v/>
      </c>
    </row>
    <row r="48">
      <c r="A48" s="60" t="inlineStr">
        <is>
          <t>Messaging / CRG Signer</t>
        </is>
      </c>
      <c r="B48" s="56">
        <f>0</f>
        <v/>
      </c>
      <c r="C48" s="56">
        <f>0</f>
        <v/>
      </c>
      <c r="D48" s="56">
        <f>0</f>
        <v/>
      </c>
      <c r="E48" s="56">
        <f>0</f>
        <v/>
      </c>
      <c r="F48" s="56">
        <f>0</f>
        <v/>
      </c>
      <c r="G48" s="56">
        <f>0</f>
        <v/>
      </c>
      <c r="H48" s="56">
        <f>0</f>
        <v/>
      </c>
      <c r="I48" s="56">
        <f>0</f>
        <v/>
      </c>
      <c r="J48" s="56">
        <f>0</f>
        <v/>
      </c>
      <c r="K48" s="56">
        <f>0</f>
        <v/>
      </c>
      <c r="L48" s="56">
        <f>0</f>
        <v/>
      </c>
      <c r="M48" s="56">
        <f>0</f>
        <v/>
      </c>
      <c r="N48" s="57">
        <f>0</f>
        <v/>
      </c>
      <c r="O48" s="57">
        <f>0</f>
        <v/>
      </c>
      <c r="P48" s="58">
        <f>SUM(B48:M48)+N48+O48</f>
        <v/>
      </c>
    </row>
    <row r="49">
      <c r="A49" s="60" t="inlineStr">
        <is>
          <t>NM Room &amp; Board</t>
        </is>
      </c>
      <c r="B49" s="56">
        <f>0</f>
        <v/>
      </c>
      <c r="C49" s="56">
        <f>0</f>
        <v/>
      </c>
      <c r="D49" s="56">
        <f>0</f>
        <v/>
      </c>
      <c r="E49" s="56">
        <f>0</f>
        <v/>
      </c>
      <c r="F49" s="56">
        <f>0</f>
        <v/>
      </c>
      <c r="G49" s="56">
        <f>0</f>
        <v/>
      </c>
      <c r="H49" s="56">
        <f>0</f>
        <v/>
      </c>
      <c r="I49" s="56">
        <f>0</f>
        <v/>
      </c>
      <c r="J49" s="56">
        <f>0</f>
        <v/>
      </c>
      <c r="K49" s="56">
        <f>0</f>
        <v/>
      </c>
      <c r="L49" s="56">
        <f>0</f>
        <v/>
      </c>
      <c r="M49" s="56">
        <f>0</f>
        <v/>
      </c>
      <c r="N49" s="57">
        <f>0</f>
        <v/>
      </c>
      <c r="O49" s="57">
        <f>0</f>
        <v/>
      </c>
      <c r="P49" s="58">
        <f>SUM(B49:M49)+N49+O49</f>
        <v/>
      </c>
    </row>
    <row r="50">
      <c r="A50" s="60" t="inlineStr">
        <is>
          <t>Corporate Labor</t>
        </is>
      </c>
      <c r="B50" s="56">
        <f>0</f>
        <v/>
      </c>
      <c r="C50" s="56">
        <f>0</f>
        <v/>
      </c>
      <c r="D50" s="56">
        <f>0</f>
        <v/>
      </c>
      <c r="E50" s="56">
        <f>0</f>
        <v/>
      </c>
      <c r="F50" s="56">
        <f>0</f>
        <v/>
      </c>
      <c r="G50" s="56">
        <f>0</f>
        <v/>
      </c>
      <c r="H50" s="56">
        <f>0</f>
        <v/>
      </c>
      <c r="I50" s="56">
        <f>0</f>
        <v/>
      </c>
      <c r="J50" s="56">
        <f>0</f>
        <v/>
      </c>
      <c r="K50" s="56">
        <f>0</f>
        <v/>
      </c>
      <c r="L50" s="56">
        <f>0</f>
        <v/>
      </c>
      <c r="M50" s="56">
        <f>0</f>
        <v/>
      </c>
      <c r="N50" s="57">
        <f>0</f>
        <v/>
      </c>
      <c r="O50" s="57">
        <f>0</f>
        <v/>
      </c>
      <c r="P50" s="58">
        <f>SUM(B50:M50)+N50+O50</f>
        <v/>
      </c>
    </row>
    <row r="51">
      <c r="A51" s="60" t="inlineStr">
        <is>
          <t>Marketing</t>
        </is>
      </c>
      <c r="B51" s="56">
        <f>Inputs!$B$90</f>
        <v/>
      </c>
      <c r="C51" s="56">
        <f>Inputs!$B$90</f>
        <v/>
      </c>
      <c r="D51" s="56">
        <f>Inputs!$B$90</f>
        <v/>
      </c>
      <c r="E51" s="56">
        <f>Inputs!$B$90</f>
        <v/>
      </c>
      <c r="F51" s="56">
        <f>Inputs!$B$90</f>
        <v/>
      </c>
      <c r="G51" s="56">
        <f>Inputs!$B$90</f>
        <v/>
      </c>
      <c r="H51" s="56">
        <f>Inputs!$B$90</f>
        <v/>
      </c>
      <c r="I51" s="56">
        <f>Inputs!$B$90</f>
        <v/>
      </c>
      <c r="J51" s="56">
        <f>Inputs!$B$90</f>
        <v/>
      </c>
      <c r="K51" s="56">
        <f>Inputs!$B$90</f>
        <v/>
      </c>
      <c r="L51" s="56">
        <f>Inputs!$B$90</f>
        <v/>
      </c>
      <c r="M51" s="56">
        <f>Inputs!$B$90</f>
        <v/>
      </c>
      <c r="N51" s="57">
        <f>Inputs!$B$90*12</f>
        <v/>
      </c>
      <c r="O51" s="57">
        <f>Inputs!$B$90*12</f>
        <v/>
      </c>
      <c r="P51" s="58">
        <f>SUM(B51:M51)+N51+O51</f>
        <v/>
      </c>
    </row>
    <row r="52">
      <c r="A52" s="60" t="inlineStr">
        <is>
          <t>BCBP Billing Fee</t>
        </is>
      </c>
      <c r="B52" s="56">
        <f>Inputs!$B$81</f>
        <v/>
      </c>
      <c r="C52" s="56">
        <f>Inputs!$B$81</f>
        <v/>
      </c>
      <c r="D52" s="56">
        <f>Inputs!$B$81</f>
        <v/>
      </c>
      <c r="E52" s="56">
        <f>Inputs!$B$81</f>
        <v/>
      </c>
      <c r="F52" s="56">
        <f>Inputs!$B$81</f>
        <v/>
      </c>
      <c r="G52" s="56">
        <f>Inputs!$B$81</f>
        <v/>
      </c>
      <c r="H52" s="56">
        <f>Inputs!$B$81</f>
        <v/>
      </c>
      <c r="I52" s="56">
        <f>Inputs!$B$81</f>
        <v/>
      </c>
      <c r="J52" s="56">
        <f>Inputs!$B$81</f>
        <v/>
      </c>
      <c r="K52" s="56">
        <f>Inputs!$B$81</f>
        <v/>
      </c>
      <c r="L52" s="56">
        <f>Inputs!$B$81</f>
        <v/>
      </c>
      <c r="M52" s="56">
        <f>Inputs!$B$81</f>
        <v/>
      </c>
      <c r="N52" s="57">
        <f>Inputs!$B$81*12</f>
        <v/>
      </c>
      <c r="O52" s="57">
        <f>Inputs!$B$81*12</f>
        <v/>
      </c>
      <c r="P52" s="58">
        <f>SUM(B52:M52)+N52+O52</f>
        <v/>
      </c>
    </row>
    <row r="53">
      <c r="A53" s="60" t="inlineStr">
        <is>
          <t>EMR System</t>
        </is>
      </c>
      <c r="B53" s="56">
        <f>Inputs!$B$82</f>
        <v/>
      </c>
      <c r="C53" s="56">
        <f>Inputs!$B$82</f>
        <v/>
      </c>
      <c r="D53" s="56">
        <f>Inputs!$B$82</f>
        <v/>
      </c>
      <c r="E53" s="56">
        <f>Inputs!$B$82</f>
        <v/>
      </c>
      <c r="F53" s="56">
        <f>Inputs!$B$82</f>
        <v/>
      </c>
      <c r="G53" s="56">
        <f>Inputs!$B$82</f>
        <v/>
      </c>
      <c r="H53" s="56">
        <f>Inputs!$B$82</f>
        <v/>
      </c>
      <c r="I53" s="56">
        <f>Inputs!$B$82</f>
        <v/>
      </c>
      <c r="J53" s="56">
        <f>Inputs!$B$82</f>
        <v/>
      </c>
      <c r="K53" s="56">
        <f>Inputs!$B$82</f>
        <v/>
      </c>
      <c r="L53" s="56">
        <f>Inputs!$B$82</f>
        <v/>
      </c>
      <c r="M53" s="56">
        <f>Inputs!$B$82</f>
        <v/>
      </c>
      <c r="N53" s="57">
        <f>Inputs!$B$82*12</f>
        <v/>
      </c>
      <c r="O53" s="57">
        <f>Inputs!$B$82*12</f>
        <v/>
      </c>
      <c r="P53" s="58">
        <f>SUM(B53:M53)+N53+O53</f>
        <v/>
      </c>
    </row>
    <row r="54">
      <c r="A54" s="60" t="inlineStr">
        <is>
          <t>Other EMR</t>
        </is>
      </c>
      <c r="B54" s="56">
        <f>0</f>
        <v/>
      </c>
      <c r="C54" s="56">
        <f>0</f>
        <v/>
      </c>
      <c r="D54" s="56">
        <f>0</f>
        <v/>
      </c>
      <c r="E54" s="56">
        <f>0</f>
        <v/>
      </c>
      <c r="F54" s="56">
        <f>0</f>
        <v/>
      </c>
      <c r="G54" s="56">
        <f>0</f>
        <v/>
      </c>
      <c r="H54" s="56">
        <f>0</f>
        <v/>
      </c>
      <c r="I54" s="56">
        <f>0</f>
        <v/>
      </c>
      <c r="J54" s="56">
        <f>0</f>
        <v/>
      </c>
      <c r="K54" s="56">
        <f>0</f>
        <v/>
      </c>
      <c r="L54" s="56">
        <f>0</f>
        <v/>
      </c>
      <c r="M54" s="56">
        <f>0</f>
        <v/>
      </c>
      <c r="N54" s="57">
        <f>0</f>
        <v/>
      </c>
      <c r="O54" s="57">
        <f>0</f>
        <v/>
      </c>
      <c r="P54" s="58">
        <f>SUM(B54:M54)+N54+O54</f>
        <v/>
      </c>
    </row>
    <row r="55">
      <c r="A55" s="60" t="inlineStr">
        <is>
          <t>PCR (CPM)</t>
        </is>
      </c>
      <c r="B55" s="56">
        <f>Inputs!$B$83</f>
        <v/>
      </c>
      <c r="C55" s="56">
        <f>Inputs!$B$83</f>
        <v/>
      </c>
      <c r="D55" s="56">
        <f>Inputs!$B$83</f>
        <v/>
      </c>
      <c r="E55" s="56">
        <f>Inputs!$B$83</f>
        <v/>
      </c>
      <c r="F55" s="56">
        <f>Inputs!$B$83</f>
        <v/>
      </c>
      <c r="G55" s="56">
        <f>Inputs!$B$83</f>
        <v/>
      </c>
      <c r="H55" s="56">
        <f>Inputs!$B$83</f>
        <v/>
      </c>
      <c r="I55" s="56">
        <f>Inputs!$B$83</f>
        <v/>
      </c>
      <c r="J55" s="56">
        <f>Inputs!$B$83</f>
        <v/>
      </c>
      <c r="K55" s="56">
        <f>Inputs!$B$83</f>
        <v/>
      </c>
      <c r="L55" s="56">
        <f>Inputs!$B$83</f>
        <v/>
      </c>
      <c r="M55" s="56">
        <f>Inputs!$B$83</f>
        <v/>
      </c>
      <c r="N55" s="57">
        <f>Inputs!$B$83*12</f>
        <v/>
      </c>
      <c r="O55" s="57">
        <f>Inputs!$B$83*12</f>
        <v/>
      </c>
      <c r="P55" s="58">
        <f>SUM(B55:M55)+N55+O55</f>
        <v/>
      </c>
    </row>
    <row r="56">
      <c r="A56" s="60" t="inlineStr">
        <is>
          <t>Ancillary</t>
        </is>
      </c>
      <c r="B56" s="56">
        <f>0</f>
        <v/>
      </c>
      <c r="C56" s="56">
        <f>0</f>
        <v/>
      </c>
      <c r="D56" s="56">
        <f>0</f>
        <v/>
      </c>
      <c r="E56" s="56">
        <f>0</f>
        <v/>
      </c>
      <c r="F56" s="56">
        <f>0</f>
        <v/>
      </c>
      <c r="G56" s="56">
        <f>0</f>
        <v/>
      </c>
      <c r="H56" s="56">
        <f>0</f>
        <v/>
      </c>
      <c r="I56" s="56">
        <f>0</f>
        <v/>
      </c>
      <c r="J56" s="56">
        <f>0</f>
        <v/>
      </c>
      <c r="K56" s="56">
        <f>0</f>
        <v/>
      </c>
      <c r="L56" s="56">
        <f>0</f>
        <v/>
      </c>
      <c r="M56" s="56">
        <f>0</f>
        <v/>
      </c>
      <c r="N56" s="57">
        <f>0</f>
        <v/>
      </c>
      <c r="O56" s="57">
        <f>0</f>
        <v/>
      </c>
      <c r="P56" s="58">
        <f>SUM(B56:M56)+N56+O56</f>
        <v/>
      </c>
    </row>
    <row r="57">
      <c r="A57" s="60" t="inlineStr">
        <is>
          <t>Liability Insurance (D&amp;O)</t>
        </is>
      </c>
      <c r="B57" s="56">
        <f>Inputs!$B$85</f>
        <v/>
      </c>
      <c r="C57" s="56">
        <f>Inputs!$B$85</f>
        <v/>
      </c>
      <c r="D57" s="56">
        <f>Inputs!$B$85</f>
        <v/>
      </c>
      <c r="E57" s="56">
        <f>Inputs!$B$85</f>
        <v/>
      </c>
      <c r="F57" s="56">
        <f>Inputs!$B$85</f>
        <v/>
      </c>
      <c r="G57" s="56">
        <f>Inputs!$B$85</f>
        <v/>
      </c>
      <c r="H57" s="56">
        <f>Inputs!$B$85</f>
        <v/>
      </c>
      <c r="I57" s="56">
        <f>Inputs!$B$85</f>
        <v/>
      </c>
      <c r="J57" s="56">
        <f>Inputs!$B$85</f>
        <v/>
      </c>
      <c r="K57" s="56">
        <f>Inputs!$B$85</f>
        <v/>
      </c>
      <c r="L57" s="56">
        <f>Inputs!$B$85</f>
        <v/>
      </c>
      <c r="M57" s="56">
        <f>Inputs!$B$85</f>
        <v/>
      </c>
      <c r="N57" s="57">
        <f>Inputs!$B$85*12</f>
        <v/>
      </c>
      <c r="O57" s="57">
        <f>Inputs!$B$85*12</f>
        <v/>
      </c>
      <c r="P57" s="58">
        <f>SUM(B57:M57)+N57+O57</f>
        <v/>
      </c>
    </row>
    <row r="58">
      <c r="A58" s="60" t="inlineStr">
        <is>
          <t>QR Payment Fee (0.75%)</t>
        </is>
      </c>
      <c r="B58" s="56">
        <f>'Revenue Model'!C14*Inputs!$B$93</f>
        <v/>
      </c>
      <c r="C58" s="56">
        <f>'Revenue Model'!D14*Inputs!$B$93</f>
        <v/>
      </c>
      <c r="D58" s="56">
        <f>'Revenue Model'!E14*Inputs!$B$93</f>
        <v/>
      </c>
      <c r="E58" s="56">
        <f>'Revenue Model'!F14*Inputs!$B$93</f>
        <v/>
      </c>
      <c r="F58" s="56">
        <f>'Revenue Model'!G14*Inputs!$B$93</f>
        <v/>
      </c>
      <c r="G58" s="56">
        <f>'Revenue Model'!H14*Inputs!$B$93</f>
        <v/>
      </c>
      <c r="H58" s="56">
        <f>'Revenue Model'!I14*Inputs!$B$93</f>
        <v/>
      </c>
      <c r="I58" s="56">
        <f>'Revenue Model'!J14*Inputs!$B$93</f>
        <v/>
      </c>
      <c r="J58" s="56">
        <f>'Revenue Model'!K14*Inputs!$B$93</f>
        <v/>
      </c>
      <c r="K58" s="56">
        <f>'Revenue Model'!L14*Inputs!$B$93</f>
        <v/>
      </c>
      <c r="L58" s="56">
        <f>'Revenue Model'!M14*Inputs!$B$93</f>
        <v/>
      </c>
      <c r="M58" s="56">
        <f>'Revenue Model'!N14*Inputs!$B$93</f>
        <v/>
      </c>
      <c r="N58" s="57">
        <f>SUM('Revenue Model'!O14:R14)*Inputs!$B$93</f>
        <v/>
      </c>
      <c r="O58" s="57">
        <f>SUM('Revenue Model'!S14:V14)*Inputs!$B$93</f>
        <v/>
      </c>
      <c r="P58" s="58">
        <f>SUM(B58:M58)+N58+O58</f>
        <v/>
      </c>
    </row>
    <row r="59">
      <c r="A59" s="60" t="inlineStr">
        <is>
          <t>Training / CEUs</t>
        </is>
      </c>
      <c r="B59" s="56">
        <f>Inputs!$B$86</f>
        <v/>
      </c>
      <c r="C59" s="56">
        <f>Inputs!$B$86</f>
        <v/>
      </c>
      <c r="D59" s="56">
        <f>Inputs!$B$86</f>
        <v/>
      </c>
      <c r="E59" s="56">
        <f>Inputs!$B$86</f>
        <v/>
      </c>
      <c r="F59" s="56">
        <f>Inputs!$B$86</f>
        <v/>
      </c>
      <c r="G59" s="56">
        <f>Inputs!$B$86</f>
        <v/>
      </c>
      <c r="H59" s="56">
        <f>Inputs!$B$86</f>
        <v/>
      </c>
      <c r="I59" s="56">
        <f>Inputs!$B$86</f>
        <v/>
      </c>
      <c r="J59" s="56">
        <f>Inputs!$B$86</f>
        <v/>
      </c>
      <c r="K59" s="56">
        <f>Inputs!$B$86</f>
        <v/>
      </c>
      <c r="L59" s="56">
        <f>Inputs!$B$86</f>
        <v/>
      </c>
      <c r="M59" s="56">
        <f>Inputs!$B$86</f>
        <v/>
      </c>
      <c r="N59" s="57">
        <f>Inputs!$B$86*12</f>
        <v/>
      </c>
      <c r="O59" s="57">
        <f>Inputs!$B$86*12</f>
        <v/>
      </c>
      <c r="P59" s="58">
        <f>SUM(B59:M59)+N59+O59</f>
        <v/>
      </c>
    </row>
    <row r="60">
      <c r="A60" s="60" t="inlineStr">
        <is>
          <t>Credit Card Fees</t>
        </is>
      </c>
      <c r="B60" s="56">
        <f>Inputs!$B$84</f>
        <v/>
      </c>
      <c r="C60" s="56">
        <f>Inputs!$B$84</f>
        <v/>
      </c>
      <c r="D60" s="56">
        <f>Inputs!$B$84</f>
        <v/>
      </c>
      <c r="E60" s="56">
        <f>Inputs!$B$84</f>
        <v/>
      </c>
      <c r="F60" s="56">
        <f>Inputs!$B$84</f>
        <v/>
      </c>
      <c r="G60" s="56">
        <f>Inputs!$B$84</f>
        <v/>
      </c>
      <c r="H60" s="56">
        <f>Inputs!$B$84</f>
        <v/>
      </c>
      <c r="I60" s="56">
        <f>Inputs!$B$84</f>
        <v/>
      </c>
      <c r="J60" s="56">
        <f>Inputs!$B$84</f>
        <v/>
      </c>
      <c r="K60" s="56">
        <f>Inputs!$B$84</f>
        <v/>
      </c>
      <c r="L60" s="56">
        <f>Inputs!$B$84</f>
        <v/>
      </c>
      <c r="M60" s="56">
        <f>Inputs!$B$84</f>
        <v/>
      </c>
      <c r="N60" s="57">
        <f>Inputs!$B$84*12</f>
        <v/>
      </c>
      <c r="O60" s="57">
        <f>Inputs!$B$84*12</f>
        <v/>
      </c>
      <c r="P60" s="58">
        <f>SUM(B60:M60)+N60+O60</f>
        <v/>
      </c>
    </row>
    <row r="61">
      <c r="A61" s="60" t="inlineStr">
        <is>
          <t>Other (QPf)</t>
        </is>
      </c>
      <c r="B61" s="56">
        <f>0</f>
        <v/>
      </c>
      <c r="C61" s="56">
        <f>0</f>
        <v/>
      </c>
      <c r="D61" s="56">
        <f>0</f>
        <v/>
      </c>
      <c r="E61" s="56">
        <f>0</f>
        <v/>
      </c>
      <c r="F61" s="56">
        <f>0</f>
        <v/>
      </c>
      <c r="G61" s="56">
        <f>0</f>
        <v/>
      </c>
      <c r="H61" s="56">
        <f>0</f>
        <v/>
      </c>
      <c r="I61" s="56">
        <f>0</f>
        <v/>
      </c>
      <c r="J61" s="56">
        <f>0</f>
        <v/>
      </c>
      <c r="K61" s="56">
        <f>0</f>
        <v/>
      </c>
      <c r="L61" s="56">
        <f>0</f>
        <v/>
      </c>
      <c r="M61" s="56">
        <f>0</f>
        <v/>
      </c>
      <c r="N61" s="57">
        <f>0</f>
        <v/>
      </c>
      <c r="O61" s="57">
        <f>0</f>
        <v/>
      </c>
      <c r="P61" s="58">
        <f>SUM(B61:M61)+N61+O61</f>
        <v/>
      </c>
    </row>
    <row r="62">
      <c r="A62" s="60" t="inlineStr">
        <is>
          <t>Other (Client)</t>
        </is>
      </c>
      <c r="B62" s="56">
        <f>Inputs!$B$87</f>
        <v/>
      </c>
      <c r="C62" s="56">
        <f>Inputs!$B$87</f>
        <v/>
      </c>
      <c r="D62" s="56">
        <f>Inputs!$B$87</f>
        <v/>
      </c>
      <c r="E62" s="56">
        <f>Inputs!$B$87</f>
        <v/>
      </c>
      <c r="F62" s="56">
        <f>Inputs!$B$87</f>
        <v/>
      </c>
      <c r="G62" s="56">
        <f>Inputs!$B$87</f>
        <v/>
      </c>
      <c r="H62" s="56">
        <f>Inputs!$B$87</f>
        <v/>
      </c>
      <c r="I62" s="56">
        <f>Inputs!$B$87</f>
        <v/>
      </c>
      <c r="J62" s="56">
        <f>Inputs!$B$87</f>
        <v/>
      </c>
      <c r="K62" s="56">
        <f>Inputs!$B$87</f>
        <v/>
      </c>
      <c r="L62" s="56">
        <f>Inputs!$B$87</f>
        <v/>
      </c>
      <c r="M62" s="56">
        <f>Inputs!$B$87</f>
        <v/>
      </c>
      <c r="N62" s="57">
        <f>Inputs!$B$87*12</f>
        <v/>
      </c>
      <c r="O62" s="57">
        <f>Inputs!$B$87*12</f>
        <v/>
      </c>
      <c r="P62" s="58">
        <f>SUM(B62:M62)+N62+O62</f>
        <v/>
      </c>
    </row>
    <row r="63">
      <c r="A63" s="12" t="inlineStr">
        <is>
          <t>Total General &amp; Administrative</t>
        </is>
      </c>
      <c r="B63" s="59">
        <f>SUM(B40:B62)</f>
        <v/>
      </c>
      <c r="C63" s="59">
        <f>SUM(C40:C62)</f>
        <v/>
      </c>
      <c r="D63" s="59">
        <f>SUM(D40:D62)</f>
        <v/>
      </c>
      <c r="E63" s="59">
        <f>SUM(E40:E62)</f>
        <v/>
      </c>
      <c r="F63" s="59">
        <f>SUM(F40:F62)</f>
        <v/>
      </c>
      <c r="G63" s="59">
        <f>SUM(G40:G62)</f>
        <v/>
      </c>
      <c r="H63" s="59">
        <f>SUM(H40:H62)</f>
        <v/>
      </c>
      <c r="I63" s="59">
        <f>SUM(I40:I62)</f>
        <v/>
      </c>
      <c r="J63" s="59">
        <f>SUM(J40:J62)</f>
        <v/>
      </c>
      <c r="K63" s="59">
        <f>SUM(K40:K62)</f>
        <v/>
      </c>
      <c r="L63" s="59">
        <f>SUM(L40:L62)</f>
        <v/>
      </c>
      <c r="M63" s="59">
        <f>SUM(M40:M62)</f>
        <v/>
      </c>
      <c r="N63" s="59">
        <f>SUM(N40:N62)</f>
        <v/>
      </c>
      <c r="O63" s="59">
        <f>SUM(O40:O62)</f>
        <v/>
      </c>
      <c r="P63" s="59">
        <f>SUM(P40:P62)</f>
        <v/>
      </c>
    </row>
    <row r="65">
      <c r="A65" s="28" t="inlineStr">
        <is>
          <t>Total Operating Expenses</t>
        </is>
      </c>
      <c r="B65" s="59">
        <f>B37+B63</f>
        <v/>
      </c>
      <c r="C65" s="59">
        <f>C37+C63</f>
        <v/>
      </c>
      <c r="D65" s="59">
        <f>D37+D63</f>
        <v/>
      </c>
      <c r="E65" s="59">
        <f>E37+E63</f>
        <v/>
      </c>
      <c r="F65" s="59">
        <f>F37+F63</f>
        <v/>
      </c>
      <c r="G65" s="59">
        <f>G37+G63</f>
        <v/>
      </c>
      <c r="H65" s="59">
        <f>H37+H63</f>
        <v/>
      </c>
      <c r="I65" s="59">
        <f>I37+I63</f>
        <v/>
      </c>
      <c r="J65" s="59">
        <f>J37+J63</f>
        <v/>
      </c>
      <c r="K65" s="59">
        <f>K37+K63</f>
        <v/>
      </c>
      <c r="L65" s="59">
        <f>L37+L63</f>
        <v/>
      </c>
      <c r="M65" s="59">
        <f>M37+M63</f>
        <v/>
      </c>
      <c r="N65" s="59">
        <f>N37+N63</f>
        <v/>
      </c>
      <c r="O65" s="59">
        <f>O37+O63</f>
        <v/>
      </c>
      <c r="P65" s="59">
        <f>P37+P63</f>
        <v/>
      </c>
    </row>
    <row r="67">
      <c r="A67" s="28" t="inlineStr">
        <is>
          <t>Net Income</t>
        </is>
      </c>
      <c r="B67" s="61">
        <f>B24-B65</f>
        <v/>
      </c>
      <c r="C67" s="61">
        <f>C24-C65</f>
        <v/>
      </c>
      <c r="D67" s="61">
        <f>D24-D65</f>
        <v/>
      </c>
      <c r="E67" s="61">
        <f>E24-E65</f>
        <v/>
      </c>
      <c r="F67" s="61">
        <f>F24-F65</f>
        <v/>
      </c>
      <c r="G67" s="61">
        <f>G24-G65</f>
        <v/>
      </c>
      <c r="H67" s="61">
        <f>H24-H65</f>
        <v/>
      </c>
      <c r="I67" s="61">
        <f>I24-I65</f>
        <v/>
      </c>
      <c r="J67" s="61">
        <f>J24-J65</f>
        <v/>
      </c>
      <c r="K67" s="61">
        <f>K24-K65</f>
        <v/>
      </c>
      <c r="L67" s="61">
        <f>L24-L65</f>
        <v/>
      </c>
      <c r="M67" s="61">
        <f>M24-M65</f>
        <v/>
      </c>
      <c r="N67" s="61">
        <f>N24-N65</f>
        <v/>
      </c>
      <c r="O67" s="61">
        <f>O24-O65</f>
        <v/>
      </c>
      <c r="P67" s="61">
        <f>P24-P65</f>
        <v/>
      </c>
    </row>
    <row r="69">
      <c r="A69" s="12" t="inlineStr">
        <is>
          <t>Net Margin %</t>
        </is>
      </c>
      <c r="B69" s="32">
        <f>IF(B12=0,0,B67/B12)</f>
        <v/>
      </c>
      <c r="C69" s="32">
        <f>IF(C12=0,0,C67/C12)</f>
        <v/>
      </c>
      <c r="D69" s="32">
        <f>IF(D12=0,0,D67/D12)</f>
        <v/>
      </c>
      <c r="E69" s="32">
        <f>IF(E12=0,0,E67/E12)</f>
        <v/>
      </c>
      <c r="F69" s="32">
        <f>IF(F12=0,0,F67/F12)</f>
        <v/>
      </c>
      <c r="G69" s="32">
        <f>IF(G12=0,0,G67/G12)</f>
        <v/>
      </c>
      <c r="H69" s="32">
        <f>IF(H12=0,0,H67/H12)</f>
        <v/>
      </c>
      <c r="I69" s="32">
        <f>IF(I12=0,0,I67/I12)</f>
        <v/>
      </c>
      <c r="J69" s="32">
        <f>IF(J12=0,0,J67/J12)</f>
        <v/>
      </c>
      <c r="K69" s="32">
        <f>IF(K12=0,0,K67/K12)</f>
        <v/>
      </c>
      <c r="L69" s="32">
        <f>IF(L12=0,0,L67/L12)</f>
        <v/>
      </c>
      <c r="M69" s="32">
        <f>IF(M12=0,0,M67/M12)</f>
        <v/>
      </c>
      <c r="N69" s="32">
        <f>IF(N12=0,0,N67/N12)</f>
        <v/>
      </c>
      <c r="O69" s="32">
        <f>IF(O12=0,0,O67/O12)</f>
        <v/>
      </c>
      <c r="P69" s="32">
        <f>IF(P12=0,0,P67/P12)</f>
        <v/>
      </c>
    </row>
    <row r="71">
      <c r="A71" s="33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+ Hickory license seller note · Combined DSCR shown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PMT(Inputs!$B$97/12,Inputs!$B$98,-Inputs!$B$96)</f>
        <v/>
      </c>
    </row>
    <row r="6">
      <c r="A6" s="4" t="inlineStr">
        <is>
          <t>License note monthly payment (PMT)</t>
        </is>
      </c>
      <c r="B6" s="24">
        <f>PMT(Inputs!$B$107/12,Inputs!$B$108,-Inputs!$B$106)</f>
        <v/>
      </c>
    </row>
    <row r="8">
      <c r="A8" s="47" t="inlineStr">
        <is>
          <t>($ per period)</t>
        </is>
      </c>
      <c r="C8" s="35" t="inlineStr">
        <is>
          <t>YEAR 1 — monthly</t>
        </is>
      </c>
      <c r="O8" s="35" t="inlineStr">
        <is>
          <t>YEAR 2 — quarterly</t>
        </is>
      </c>
      <c r="S8" s="35" t="inlineStr">
        <is>
          <t>YEAR 3 — quarterly</t>
        </is>
      </c>
    </row>
    <row r="9">
      <c r="A9" s="48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26">
        <f>Inputs!$B$96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C11*Inputs!$B$97/12*1</f>
        <v/>
      </c>
      <c r="D13" s="24">
        <f>D11*Inputs!$B$97/12*1</f>
        <v/>
      </c>
      <c r="E13" s="24">
        <f>E11*Inputs!$B$97/12*1</f>
        <v/>
      </c>
      <c r="F13" s="24">
        <f>F11*Inputs!$B$97/12*1</f>
        <v/>
      </c>
      <c r="G13" s="24">
        <f>G11*Inputs!$B$97/12*1</f>
        <v/>
      </c>
      <c r="H13" s="24">
        <f>H11*Inputs!$B$97/12*1</f>
        <v/>
      </c>
      <c r="I13" s="24">
        <f>I11*Inputs!$B$97/12*1</f>
        <v/>
      </c>
      <c r="J13" s="24">
        <f>J11*Inputs!$B$97/12*1</f>
        <v/>
      </c>
      <c r="K13" s="24">
        <f>K11*Inputs!$B$97/12*1</f>
        <v/>
      </c>
      <c r="L13" s="24">
        <f>L11*Inputs!$B$97/12*1</f>
        <v/>
      </c>
      <c r="M13" s="24">
        <f>M11*Inputs!$B$97/12*1</f>
        <v/>
      </c>
      <c r="N13" s="24">
        <f>N11*Inputs!$B$97/12*1</f>
        <v/>
      </c>
      <c r="O13" s="24">
        <f>O11*Inputs!$B$97/12*3</f>
        <v/>
      </c>
      <c r="P13" s="24">
        <f>P11*Inputs!$B$97/12*3</f>
        <v/>
      </c>
      <c r="Q13" s="24">
        <f>Q11*Inputs!$B$97/12*3</f>
        <v/>
      </c>
      <c r="R13" s="24">
        <f>R11*Inputs!$B$97/12*3</f>
        <v/>
      </c>
      <c r="S13" s="24">
        <f>S11*Inputs!$B$97/12*3</f>
        <v/>
      </c>
      <c r="T13" s="24">
        <f>T11*Inputs!$B$97/12*3</f>
        <v/>
      </c>
      <c r="U13" s="24">
        <f>U11*Inputs!$B$97/12*3</f>
        <v/>
      </c>
      <c r="V13" s="24">
        <f>V11*Inputs!$B$97/12*3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28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 ($300K, 6%, 36 mo)</t>
        </is>
      </c>
    </row>
    <row r="18">
      <c r="A18" s="20" t="inlineStr">
        <is>
          <t>Beginning balance</t>
        </is>
      </c>
      <c r="C18" s="26">
        <f>Inputs!$B$106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MAX(0,C18*(1+Inputs!$B$107/12)^1-'Debt Schedule'!$B$6*((1+Inputs!$B$107/12)^1-1)/(Inputs!$B$107/12))</f>
        <v/>
      </c>
      <c r="D19" s="24">
        <f>MAX(0,D18*(1+Inputs!$B$107/12)^1-'Debt Schedule'!$B$6*((1+Inputs!$B$107/12)^1-1)/(Inputs!$B$107/12))</f>
        <v/>
      </c>
      <c r="E19" s="24">
        <f>MAX(0,E18*(1+Inputs!$B$107/12)^1-'Debt Schedule'!$B$6*((1+Inputs!$B$107/12)^1-1)/(Inputs!$B$107/12))</f>
        <v/>
      </c>
      <c r="F19" s="24">
        <f>MAX(0,F18*(1+Inputs!$B$107/12)^1-'Debt Schedule'!$B$6*((1+Inputs!$B$107/12)^1-1)/(Inputs!$B$107/12))</f>
        <v/>
      </c>
      <c r="G19" s="24">
        <f>MAX(0,G18*(1+Inputs!$B$107/12)^1-'Debt Schedule'!$B$6*((1+Inputs!$B$107/12)^1-1)/(Inputs!$B$107/12))</f>
        <v/>
      </c>
      <c r="H19" s="24">
        <f>MAX(0,H18*(1+Inputs!$B$107/12)^1-'Debt Schedule'!$B$6*((1+Inputs!$B$107/12)^1-1)/(Inputs!$B$107/12))</f>
        <v/>
      </c>
      <c r="I19" s="24">
        <f>MAX(0,I18*(1+Inputs!$B$107/12)^1-'Debt Schedule'!$B$6*((1+Inputs!$B$107/12)^1-1)/(Inputs!$B$107/12))</f>
        <v/>
      </c>
      <c r="J19" s="24">
        <f>MAX(0,J18*(1+Inputs!$B$107/12)^1-'Debt Schedule'!$B$6*((1+Inputs!$B$107/12)^1-1)/(Inputs!$B$107/12))</f>
        <v/>
      </c>
      <c r="K19" s="24">
        <f>MAX(0,K18*(1+Inputs!$B$107/12)^1-'Debt Schedule'!$B$6*((1+Inputs!$B$107/12)^1-1)/(Inputs!$B$107/12))</f>
        <v/>
      </c>
      <c r="L19" s="24">
        <f>MAX(0,L18*(1+Inputs!$B$107/12)^1-'Debt Schedule'!$B$6*((1+Inputs!$B$107/12)^1-1)/(Inputs!$B$107/12))</f>
        <v/>
      </c>
      <c r="M19" s="24">
        <f>MAX(0,M18*(1+Inputs!$B$107/12)^1-'Debt Schedule'!$B$6*((1+Inputs!$B$107/12)^1-1)/(Inputs!$B$107/12))</f>
        <v/>
      </c>
      <c r="N19" s="24">
        <f>MAX(0,N18*(1+Inputs!$B$107/12)^1-'Debt Schedule'!$B$6*((1+Inputs!$B$107/12)^1-1)/(Inputs!$B$107/12))</f>
        <v/>
      </c>
      <c r="O19" s="24">
        <f>MAX(0,O18*(1+Inputs!$B$107/12)^3-'Debt Schedule'!$B$6*((1+Inputs!$B$107/12)^3-1)/(Inputs!$B$107/12))</f>
        <v/>
      </c>
      <c r="P19" s="24">
        <f>MAX(0,P18*(1+Inputs!$B$107/12)^3-'Debt Schedule'!$B$6*((1+Inputs!$B$107/12)^3-1)/(Inputs!$B$107/12))</f>
        <v/>
      </c>
      <c r="Q19" s="24">
        <f>MAX(0,Q18*(1+Inputs!$B$107/12)^3-'Debt Schedule'!$B$6*((1+Inputs!$B$107/12)^3-1)/(Inputs!$B$107/12))</f>
        <v/>
      </c>
      <c r="R19" s="24">
        <f>MAX(0,R18*(1+Inputs!$B$107/12)^3-'Debt Schedule'!$B$6*((1+Inputs!$B$107/12)^3-1)/(Inputs!$B$107/12))</f>
        <v/>
      </c>
      <c r="S19" s="24">
        <f>MAX(0,S18*(1+Inputs!$B$107/12)^3-'Debt Schedule'!$B$6*((1+Inputs!$B$107/12)^3-1)/(Inputs!$B$107/12))</f>
        <v/>
      </c>
      <c r="T19" s="24">
        <f>MAX(0,T18*(1+Inputs!$B$107/12)^3-'Debt Schedule'!$B$6*((1+Inputs!$B$107/12)^3-1)/(Inputs!$B$107/12))</f>
        <v/>
      </c>
      <c r="U19" s="24">
        <f>MAX(0,U18*(1+Inputs!$B$107/12)^3-'Debt Schedule'!$B$6*((1+Inputs!$B$107/12)^3-1)/(Inputs!$B$107/12))</f>
        <v/>
      </c>
      <c r="V19" s="24">
        <f>MAX(0,V18*(1+Inputs!$B$107/12)^3-'Debt Schedule'!$B$6*((1+Inputs!$B$107/12)^3-1)/(Inputs!$B$107/12))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28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28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26">
        <f>'Operating Budget'!C23</f>
        <v/>
      </c>
      <c r="D28" s="26">
        <f>'Operating Budget'!D23</f>
        <v/>
      </c>
      <c r="E28" s="26">
        <f>'Operating Budget'!E23</f>
        <v/>
      </c>
      <c r="F28" s="26">
        <f>'Operating Budget'!F23</f>
        <v/>
      </c>
      <c r="G28" s="26">
        <f>'Operating Budget'!G23</f>
        <v/>
      </c>
      <c r="H28" s="26">
        <f>'Operating Budget'!H23</f>
        <v/>
      </c>
      <c r="I28" s="26">
        <f>'Operating Budget'!I23</f>
        <v/>
      </c>
      <c r="J28" s="26">
        <f>'Operating Budget'!J23</f>
        <v/>
      </c>
      <c r="K28" s="26">
        <f>'Operating Budget'!K23</f>
        <v/>
      </c>
      <c r="L28" s="26">
        <f>'Operating Budget'!L23</f>
        <v/>
      </c>
      <c r="M28" s="26">
        <f>'Operating Budget'!M23</f>
        <v/>
      </c>
      <c r="N28" s="26">
        <f>'Operating Budget'!N23</f>
        <v/>
      </c>
      <c r="O28" s="26">
        <f>'Operating Budget'!O23</f>
        <v/>
      </c>
      <c r="P28" s="26">
        <f>'Operating Budget'!P23</f>
        <v/>
      </c>
      <c r="Q28" s="26">
        <f>'Operating Budget'!Q23</f>
        <v/>
      </c>
      <c r="R28" s="26">
        <f>'Operating Budget'!R23</f>
        <v/>
      </c>
      <c r="S28" s="26">
        <f>'Operating Budget'!S23</f>
        <v/>
      </c>
      <c r="T28" s="26">
        <f>'Operating Budget'!T23</f>
        <v/>
      </c>
      <c r="U28" s="26">
        <f>'Operating Budget'!U23</f>
        <v/>
      </c>
      <c r="V28" s="26">
        <f>'Operating Budget'!V23</f>
        <v/>
      </c>
    </row>
    <row r="29">
      <c r="A29" s="28" t="inlineStr">
        <is>
          <t>COMBINED DSCR (period)</t>
        </is>
      </c>
      <c r="C29" s="62">
        <f>IF(C27=0,0,C28/C27)</f>
        <v/>
      </c>
      <c r="D29" s="62">
        <f>IF(D27=0,0,D28/D27)</f>
        <v/>
      </c>
      <c r="E29" s="62">
        <f>IF(E27=0,0,E28/E27)</f>
        <v/>
      </c>
      <c r="F29" s="62">
        <f>IF(F27=0,0,F28/F27)</f>
        <v/>
      </c>
      <c r="G29" s="62">
        <f>IF(G27=0,0,G28/G27)</f>
        <v/>
      </c>
      <c r="H29" s="62">
        <f>IF(H27=0,0,H28/H27)</f>
        <v/>
      </c>
      <c r="I29" s="62">
        <f>IF(I27=0,0,I28/I27)</f>
        <v/>
      </c>
      <c r="J29" s="62">
        <f>IF(J27=0,0,J28/J27)</f>
        <v/>
      </c>
      <c r="K29" s="62">
        <f>IF(K27=0,0,K28/K27)</f>
        <v/>
      </c>
      <c r="L29" s="62">
        <f>IF(L27=0,0,L28/L27)</f>
        <v/>
      </c>
      <c r="M29" s="62">
        <f>IF(M27=0,0,M28/M27)</f>
        <v/>
      </c>
      <c r="N29" s="62">
        <f>IF(N27=0,0,N28/N27)</f>
        <v/>
      </c>
      <c r="O29" s="62">
        <f>IF(O27=0,0,O28/O27)</f>
        <v/>
      </c>
      <c r="P29" s="62">
        <f>IF(P27=0,0,P28/P27)</f>
        <v/>
      </c>
      <c r="Q29" s="62">
        <f>IF(Q27=0,0,Q28/Q27)</f>
        <v/>
      </c>
      <c r="R29" s="62">
        <f>IF(R27=0,0,R28/R27)</f>
        <v/>
      </c>
      <c r="S29" s="62">
        <f>IF(S27=0,0,S28/S27)</f>
        <v/>
      </c>
      <c r="T29" s="62">
        <f>IF(T27=0,0,T28/T27)</f>
        <v/>
      </c>
      <c r="U29" s="62">
        <f>IF(U27=0,0,U28/U27)</f>
        <v/>
      </c>
      <c r="V29" s="62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7" t="inlineStr">
        <is>
          <t>($ per period)</t>
        </is>
      </c>
      <c r="B4" s="35" t="inlineStr">
        <is>
          <t>Opening</t>
        </is>
      </c>
      <c r="C4" s="35" t="inlineStr">
        <is>
          <t>YEAR 1 — monthly</t>
        </is>
      </c>
      <c r="O4" s="35" t="inlineStr">
        <is>
          <t>YEAR 2 — quarterly</t>
        </is>
      </c>
      <c r="S4" s="35" t="inlineStr">
        <is>
          <t>YEAR 3 —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6">
        <f>'Operating Budget'!C33</f>
        <v/>
      </c>
      <c r="D7" s="26">
        <f>'Operating Budget'!D33</f>
        <v/>
      </c>
      <c r="E7" s="26">
        <f>'Operating Budget'!E33</f>
        <v/>
      </c>
      <c r="F7" s="26">
        <f>'Operating Budget'!F33</f>
        <v/>
      </c>
      <c r="G7" s="26">
        <f>'Operating Budget'!G33</f>
        <v/>
      </c>
      <c r="H7" s="26">
        <f>'Operating Budget'!H33</f>
        <v/>
      </c>
      <c r="I7" s="26">
        <f>'Operating Budget'!I33</f>
        <v/>
      </c>
      <c r="J7" s="26">
        <f>'Operating Budget'!J33</f>
        <v/>
      </c>
      <c r="K7" s="26">
        <f>'Operating Budget'!K33</f>
        <v/>
      </c>
      <c r="L7" s="26">
        <f>'Operating Budget'!L33</f>
        <v/>
      </c>
      <c r="M7" s="26">
        <f>'Operating Budget'!M33</f>
        <v/>
      </c>
      <c r="N7" s="26">
        <f>'Operating Budget'!N33</f>
        <v/>
      </c>
      <c r="O7" s="26">
        <f>'Operating Budget'!O33</f>
        <v/>
      </c>
      <c r="P7" s="26">
        <f>'Operating Budget'!P33</f>
        <v/>
      </c>
      <c r="Q7" s="26">
        <f>'Operating Budget'!Q33</f>
        <v/>
      </c>
      <c r="R7" s="26">
        <f>'Operating Budget'!R33</f>
        <v/>
      </c>
      <c r="S7" s="26">
        <f>'Operating Budget'!S33</f>
        <v/>
      </c>
      <c r="T7" s="26">
        <f>'Operating Budget'!T33</f>
        <v/>
      </c>
      <c r="U7" s="26">
        <f>'Operating Budget'!U33</f>
        <v/>
      </c>
      <c r="V7" s="26">
        <f>'Operating Budget'!V33</f>
        <v/>
      </c>
    </row>
    <row r="8">
      <c r="A8" s="4" t="inlineStr">
        <is>
          <t>+ Depreciation &amp; amortization</t>
        </is>
      </c>
      <c r="C8" s="26">
        <f>'Operating Budget'!C27</f>
        <v/>
      </c>
      <c r="D8" s="26">
        <f>'Operating Budget'!D27</f>
        <v/>
      </c>
      <c r="E8" s="26">
        <f>'Operating Budget'!E27</f>
        <v/>
      </c>
      <c r="F8" s="26">
        <f>'Operating Budget'!F27</f>
        <v/>
      </c>
      <c r="G8" s="26">
        <f>'Operating Budget'!G27</f>
        <v/>
      </c>
      <c r="H8" s="26">
        <f>'Operating Budget'!H27</f>
        <v/>
      </c>
      <c r="I8" s="26">
        <f>'Operating Budget'!I27</f>
        <v/>
      </c>
      <c r="J8" s="26">
        <f>'Operating Budget'!J27</f>
        <v/>
      </c>
      <c r="K8" s="26">
        <f>'Operating Budget'!K27</f>
        <v/>
      </c>
      <c r="L8" s="26">
        <f>'Operating Budget'!L27</f>
        <v/>
      </c>
      <c r="M8" s="26">
        <f>'Operating Budget'!M27</f>
        <v/>
      </c>
      <c r="N8" s="26">
        <f>'Operating Budget'!N27</f>
        <v/>
      </c>
      <c r="O8" s="26">
        <f>'Operating Budget'!O27</f>
        <v/>
      </c>
      <c r="P8" s="26">
        <f>'Operating Budget'!P27</f>
        <v/>
      </c>
      <c r="Q8" s="26">
        <f>'Operating Budget'!Q27</f>
        <v/>
      </c>
      <c r="R8" s="26">
        <f>'Operating Budget'!R27</f>
        <v/>
      </c>
      <c r="S8" s="26">
        <f>'Operating Budget'!S27</f>
        <v/>
      </c>
      <c r="T8" s="26">
        <f>'Operating Budget'!T27</f>
        <v/>
      </c>
      <c r="U8" s="26">
        <f>'Operating Budget'!U27</f>
        <v/>
      </c>
      <c r="V8" s="26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26">
        <f>'Revenue Model'!C17*Inputs!$B$120/'Revenue Model'!C11</f>
        <v/>
      </c>
      <c r="D9" s="26">
        <f>'Revenue Model'!D17*Inputs!$B$120/'Revenue Model'!D11</f>
        <v/>
      </c>
      <c r="E9" s="26">
        <f>'Revenue Model'!E17*Inputs!$B$120/'Revenue Model'!E11</f>
        <v/>
      </c>
      <c r="F9" s="26">
        <f>'Revenue Model'!F17*Inputs!$B$120/'Revenue Model'!F11</f>
        <v/>
      </c>
      <c r="G9" s="26">
        <f>'Revenue Model'!G17*Inputs!$B$120/'Revenue Model'!G11</f>
        <v/>
      </c>
      <c r="H9" s="26">
        <f>'Revenue Model'!H17*Inputs!$B$120/'Revenue Model'!H11</f>
        <v/>
      </c>
      <c r="I9" s="26">
        <f>'Revenue Model'!I17*Inputs!$B$120/'Revenue Model'!I11</f>
        <v/>
      </c>
      <c r="J9" s="26">
        <f>'Revenue Model'!J17*Inputs!$B$120/'Revenue Model'!J11</f>
        <v/>
      </c>
      <c r="K9" s="26">
        <f>'Revenue Model'!K17*Inputs!$B$120/'Revenue Model'!K11</f>
        <v/>
      </c>
      <c r="L9" s="26">
        <f>'Revenue Model'!L17*Inputs!$B$120/'Revenue Model'!L11</f>
        <v/>
      </c>
      <c r="M9" s="26">
        <f>'Revenue Model'!M17*Inputs!$B$120/'Revenue Model'!M11</f>
        <v/>
      </c>
      <c r="N9" s="26">
        <f>'Revenue Model'!N17*Inputs!$B$120/'Revenue Model'!N11</f>
        <v/>
      </c>
      <c r="O9" s="26">
        <f>'Revenue Model'!O17*Inputs!$B$120/'Revenue Model'!O11</f>
        <v/>
      </c>
      <c r="P9" s="26">
        <f>'Revenue Model'!P17*Inputs!$B$120/'Revenue Model'!P11</f>
        <v/>
      </c>
      <c r="Q9" s="26">
        <f>'Revenue Model'!Q17*Inputs!$B$120/'Revenue Model'!Q11</f>
        <v/>
      </c>
      <c r="R9" s="26">
        <f>'Revenue Model'!R17*Inputs!$B$120/'Revenue Model'!R11</f>
        <v/>
      </c>
      <c r="S9" s="26">
        <f>'Revenue Model'!S17*Inputs!$B$120/'Revenue Model'!S11</f>
        <v/>
      </c>
      <c r="T9" s="26">
        <f>'Revenue Model'!T17*Inputs!$B$120/'Revenue Model'!T11</f>
        <v/>
      </c>
      <c r="U9" s="26">
        <f>'Revenue Model'!U17*Inputs!$B$120/'Revenue Model'!U11</f>
        <v/>
      </c>
      <c r="V9" s="26">
        <f>'Revenue Model'!V17*Inputs!$B$120/'Revenue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6">
        <f>('Operating Budget'!C20+'Operating Budget'!C21+'Operating Budget'!C13)*Inputs!$B$121/'Revenue Model'!C11</f>
        <v/>
      </c>
      <c r="D10" s="26">
        <f>('Operating Budget'!D20+'Operating Budget'!D21+'Operating Budget'!D13)*Inputs!$B$121/'Revenue Model'!D11</f>
        <v/>
      </c>
      <c r="E10" s="26">
        <f>('Operating Budget'!E20+'Operating Budget'!E21+'Operating Budget'!E13)*Inputs!$B$121/'Revenue Model'!E11</f>
        <v/>
      </c>
      <c r="F10" s="26">
        <f>('Operating Budget'!F20+'Operating Budget'!F21+'Operating Budget'!F13)*Inputs!$B$121/'Revenue Model'!F11</f>
        <v/>
      </c>
      <c r="G10" s="26">
        <f>('Operating Budget'!G20+'Operating Budget'!G21+'Operating Budget'!G13)*Inputs!$B$121/'Revenue Model'!G11</f>
        <v/>
      </c>
      <c r="H10" s="26">
        <f>('Operating Budget'!H20+'Operating Budget'!H21+'Operating Budget'!H13)*Inputs!$B$121/'Revenue Model'!H11</f>
        <v/>
      </c>
      <c r="I10" s="26">
        <f>('Operating Budget'!I20+'Operating Budget'!I21+'Operating Budget'!I13)*Inputs!$B$121/'Revenue Model'!I11</f>
        <v/>
      </c>
      <c r="J10" s="26">
        <f>('Operating Budget'!J20+'Operating Budget'!J21+'Operating Budget'!J13)*Inputs!$B$121/'Revenue Model'!J11</f>
        <v/>
      </c>
      <c r="K10" s="26">
        <f>('Operating Budget'!K20+'Operating Budget'!K21+'Operating Budget'!K13)*Inputs!$B$121/'Revenue Model'!K11</f>
        <v/>
      </c>
      <c r="L10" s="26">
        <f>('Operating Budget'!L20+'Operating Budget'!L21+'Operating Budget'!L13)*Inputs!$B$121/'Revenue Model'!L11</f>
        <v/>
      </c>
      <c r="M10" s="26">
        <f>('Operating Budget'!M20+'Operating Budget'!M21+'Operating Budget'!M13)*Inputs!$B$121/'Revenue Model'!M11</f>
        <v/>
      </c>
      <c r="N10" s="26">
        <f>('Operating Budget'!N20+'Operating Budget'!N21+'Operating Budget'!N13)*Inputs!$B$121/'Revenue Model'!N11</f>
        <v/>
      </c>
      <c r="O10" s="26">
        <f>('Operating Budget'!O20+'Operating Budget'!O21+'Operating Budget'!O13)*Inputs!$B$121/'Revenue Model'!O11</f>
        <v/>
      </c>
      <c r="P10" s="26">
        <f>('Operating Budget'!P20+'Operating Budget'!P21+'Operating Budget'!P13)*Inputs!$B$121/'Revenue Model'!P11</f>
        <v/>
      </c>
      <c r="Q10" s="26">
        <f>('Operating Budget'!Q20+'Operating Budget'!Q21+'Operating Budget'!Q13)*Inputs!$B$121/'Revenue Model'!Q11</f>
        <v/>
      </c>
      <c r="R10" s="26">
        <f>('Operating Budget'!R20+'Operating Budget'!R21+'Operating Budget'!R13)*Inputs!$B$121/'Revenue Model'!R11</f>
        <v/>
      </c>
      <c r="S10" s="26">
        <f>('Operating Budget'!S20+'Operating Budget'!S21+'Operating Budget'!S13)*Inputs!$B$121/'Revenue Model'!S11</f>
        <v/>
      </c>
      <c r="T10" s="26">
        <f>('Operating Budget'!T20+'Operating Budget'!T21+'Operating Budget'!T13)*Inputs!$B$121/'Revenue Model'!T11</f>
        <v/>
      </c>
      <c r="U10" s="26">
        <f>('Operating Budget'!U20+'Operating Budget'!U21+'Operating Budget'!U13)*Inputs!$B$121/'Revenue Model'!U11</f>
        <v/>
      </c>
      <c r="V10" s="26">
        <f>('Operating Budget'!V20+'Operating Budget'!V21+'Operating Budget'!V13)*Inputs!$B$121/'Revenue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8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26">
        <f>-'Debt Schedule'!C14</f>
        <v/>
      </c>
      <c r="D14" s="26">
        <f>-'Debt Schedule'!D14</f>
        <v/>
      </c>
      <c r="E14" s="26">
        <f>-'Debt Schedule'!E14</f>
        <v/>
      </c>
      <c r="F14" s="26">
        <f>-'Debt Schedule'!F14</f>
        <v/>
      </c>
      <c r="G14" s="26">
        <f>-'Debt Schedule'!G14</f>
        <v/>
      </c>
      <c r="H14" s="26">
        <f>-'Debt Schedule'!H14</f>
        <v/>
      </c>
      <c r="I14" s="26">
        <f>-'Debt Schedule'!I14</f>
        <v/>
      </c>
      <c r="J14" s="26">
        <f>-'Debt Schedule'!J14</f>
        <v/>
      </c>
      <c r="K14" s="26">
        <f>-'Debt Schedule'!K14</f>
        <v/>
      </c>
      <c r="L14" s="26">
        <f>-'Debt Schedule'!L14</f>
        <v/>
      </c>
      <c r="M14" s="26">
        <f>-'Debt Schedule'!M14</f>
        <v/>
      </c>
      <c r="N14" s="26">
        <f>-'Debt Schedule'!N14</f>
        <v/>
      </c>
      <c r="O14" s="26">
        <f>-'Debt Schedule'!O14</f>
        <v/>
      </c>
      <c r="P14" s="26">
        <f>-'Debt Schedule'!P14</f>
        <v/>
      </c>
      <c r="Q14" s="26">
        <f>-'Debt Schedule'!Q14</f>
        <v/>
      </c>
      <c r="R14" s="26">
        <f>-'Debt Schedule'!R14</f>
        <v/>
      </c>
      <c r="S14" s="26">
        <f>-'Debt Schedule'!S14</f>
        <v/>
      </c>
      <c r="T14" s="26">
        <f>-'Debt Schedule'!T14</f>
        <v/>
      </c>
      <c r="U14" s="26">
        <f>-'Debt Schedule'!U14</f>
        <v/>
      </c>
      <c r="V14" s="26">
        <f>-'Debt Schedule'!V14</f>
        <v/>
      </c>
    </row>
    <row r="15">
      <c r="A15" s="4" t="inlineStr">
        <is>
          <t>− Hickory license note principal</t>
        </is>
      </c>
      <c r="C15" s="26">
        <f>-'Debt Schedule'!C20</f>
        <v/>
      </c>
      <c r="D15" s="26">
        <f>-'Debt Schedule'!D20</f>
        <v/>
      </c>
      <c r="E15" s="26">
        <f>-'Debt Schedule'!E20</f>
        <v/>
      </c>
      <c r="F15" s="26">
        <f>-'Debt Schedule'!F20</f>
        <v/>
      </c>
      <c r="G15" s="26">
        <f>-'Debt Schedule'!G20</f>
        <v/>
      </c>
      <c r="H15" s="26">
        <f>-'Debt Schedule'!H20</f>
        <v/>
      </c>
      <c r="I15" s="26">
        <f>-'Debt Schedule'!I20</f>
        <v/>
      </c>
      <c r="J15" s="26">
        <f>-'Debt Schedule'!J20</f>
        <v/>
      </c>
      <c r="K15" s="26">
        <f>-'Debt Schedule'!K20</f>
        <v/>
      </c>
      <c r="L15" s="26">
        <f>-'Debt Schedule'!L20</f>
        <v/>
      </c>
      <c r="M15" s="26">
        <f>-'Debt Schedule'!M20</f>
        <v/>
      </c>
      <c r="N15" s="26">
        <f>-'Debt Schedule'!N20</f>
        <v/>
      </c>
      <c r="O15" s="26">
        <f>-'Debt Schedule'!O20</f>
        <v/>
      </c>
      <c r="P15" s="26">
        <f>-'Debt Schedule'!P20</f>
        <v/>
      </c>
      <c r="Q15" s="26">
        <f>-'Debt Schedule'!Q20</f>
        <v/>
      </c>
      <c r="R15" s="26">
        <f>-'Debt Schedule'!R20</f>
        <v/>
      </c>
      <c r="S15" s="26">
        <f>-'Debt Schedule'!S20</f>
        <v/>
      </c>
      <c r="T15" s="26">
        <f>-'Debt Schedule'!T20</f>
        <v/>
      </c>
      <c r="U15" s="26">
        <f>-'Debt Schedule'!U20</f>
        <v/>
      </c>
      <c r="V15" s="26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B20*Inputs!$B$101*1/12</f>
        <v/>
      </c>
      <c r="D16" s="24">
        <f>C20*Inputs!$B$101*1/12</f>
        <v/>
      </c>
      <c r="E16" s="24">
        <f>D20*Inputs!$B$101*1/12</f>
        <v/>
      </c>
      <c r="F16" s="24">
        <f>E20*Inputs!$B$101*1/12</f>
        <v/>
      </c>
      <c r="G16" s="24">
        <f>F20*Inputs!$B$101*1/12</f>
        <v/>
      </c>
      <c r="H16" s="24">
        <f>G20*Inputs!$B$101*1/12</f>
        <v/>
      </c>
      <c r="I16" s="24">
        <f>H20*Inputs!$B$101*1/12</f>
        <v/>
      </c>
      <c r="J16" s="24">
        <f>I20*Inputs!$B$101*1/12</f>
        <v/>
      </c>
      <c r="K16" s="24">
        <f>J20*Inputs!$B$101*1/12</f>
        <v/>
      </c>
      <c r="L16" s="24">
        <f>K20*Inputs!$B$101*1/12</f>
        <v/>
      </c>
      <c r="M16" s="24">
        <f>L20*Inputs!$B$101*1/12</f>
        <v/>
      </c>
      <c r="N16" s="24">
        <f>M20*Inputs!$B$101*1/12</f>
        <v/>
      </c>
      <c r="O16" s="24">
        <f>N20*Inputs!$B$101*3/12</f>
        <v/>
      </c>
      <c r="P16" s="24">
        <f>O20*Inputs!$B$101*3/12</f>
        <v/>
      </c>
      <c r="Q16" s="24">
        <f>P20*Inputs!$B$101*3/12</f>
        <v/>
      </c>
      <c r="R16" s="24">
        <f>Q20*Inputs!$B$101*3/12</f>
        <v/>
      </c>
      <c r="S16" s="24">
        <f>R20*Inputs!$B$101*3/12</f>
        <v/>
      </c>
      <c r="T16" s="24">
        <f>S20*Inputs!$B$101*3/12</f>
        <v/>
      </c>
      <c r="U16" s="24">
        <f>T20*Inputs!$B$101*3/12</f>
        <v/>
      </c>
      <c r="V16" s="24">
        <f>U20*Inputs!$B$101*3/12</f>
        <v/>
      </c>
    </row>
    <row r="17">
      <c r="A17" s="4" t="inlineStr">
        <is>
          <t>Beginning cash</t>
        </is>
      </c>
      <c r="B17" s="24">
        <f>0</f>
        <v/>
      </c>
      <c r="C17" s="26">
        <f>Inputs!$B$125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IF(C18&lt;Inputs!$B$102,Inputs!$B$102-C18,-MIN(B20,MAX(0,C18-Inputs!$B$102)))</f>
        <v/>
      </c>
      <c r="D19" s="24">
        <f>IF(D18&lt;Inputs!$B$102,Inputs!$B$102-D18,-MIN(C20,MAX(0,D18-Inputs!$B$102)))</f>
        <v/>
      </c>
      <c r="E19" s="24">
        <f>IF(E18&lt;Inputs!$B$102,Inputs!$B$102-E18,-MIN(D20,MAX(0,E18-Inputs!$B$102)))</f>
        <v/>
      </c>
      <c r="F19" s="24">
        <f>IF(F18&lt;Inputs!$B$102,Inputs!$B$102-F18,-MIN(E20,MAX(0,F18-Inputs!$B$102)))</f>
        <v/>
      </c>
      <c r="G19" s="24">
        <f>IF(G18&lt;Inputs!$B$102,Inputs!$B$102-G18,-MIN(F20,MAX(0,G18-Inputs!$B$102)))</f>
        <v/>
      </c>
      <c r="H19" s="24">
        <f>IF(H18&lt;Inputs!$B$102,Inputs!$B$102-H18,-MIN(G20,MAX(0,H18-Inputs!$B$102)))</f>
        <v/>
      </c>
      <c r="I19" s="24">
        <f>IF(I18&lt;Inputs!$B$102,Inputs!$B$102-I18,-MIN(H20,MAX(0,I18-Inputs!$B$102)))</f>
        <v/>
      </c>
      <c r="J19" s="24">
        <f>IF(J18&lt;Inputs!$B$102,Inputs!$B$102-J18,-MIN(I20,MAX(0,J18-Inputs!$B$102)))</f>
        <v/>
      </c>
      <c r="K19" s="24">
        <f>IF(K18&lt;Inputs!$B$102,Inputs!$B$102-K18,-MIN(J20,MAX(0,K18-Inputs!$B$102)))</f>
        <v/>
      </c>
      <c r="L19" s="24">
        <f>IF(L18&lt;Inputs!$B$102,Inputs!$B$102-L18,-MIN(K20,MAX(0,L18-Inputs!$B$102)))</f>
        <v/>
      </c>
      <c r="M19" s="24">
        <f>IF(M18&lt;Inputs!$B$102,Inputs!$B$102-M18,-MIN(L20,MAX(0,M18-Inputs!$B$102)))</f>
        <v/>
      </c>
      <c r="N19" s="24">
        <f>IF(N18&lt;Inputs!$B$102,Inputs!$B$102-N18,-MIN(M20,MAX(0,N18-Inputs!$B$102)))</f>
        <v/>
      </c>
      <c r="O19" s="24">
        <f>IF(O18&lt;Inputs!$B$102,Inputs!$B$102-O18,-MIN(N20,MAX(0,O18-Inputs!$B$102)))</f>
        <v/>
      </c>
      <c r="P19" s="24">
        <f>IF(P18&lt;Inputs!$B$102,Inputs!$B$102-P18,-MIN(O20,MAX(0,P18-Inputs!$B$102)))</f>
        <v/>
      </c>
      <c r="Q19" s="24">
        <f>IF(Q18&lt;Inputs!$B$102,Inputs!$B$102-Q18,-MIN(P20,MAX(0,Q18-Inputs!$B$102)))</f>
        <v/>
      </c>
      <c r="R19" s="24">
        <f>IF(R18&lt;Inputs!$B$102,Inputs!$B$102-R18,-MIN(Q20,MAX(0,R18-Inputs!$B$102)))</f>
        <v/>
      </c>
      <c r="S19" s="24">
        <f>IF(S18&lt;Inputs!$B$102,Inputs!$B$102-S18,-MIN(R20,MAX(0,S18-Inputs!$B$102)))</f>
        <v/>
      </c>
      <c r="T19" s="24">
        <f>IF(T18&lt;Inputs!$B$102,Inputs!$B$102-T18,-MIN(S20,MAX(0,T18-Inputs!$B$102)))</f>
        <v/>
      </c>
      <c r="U19" s="24">
        <f>IF(U18&lt;Inputs!$B$102,Inputs!$B$102-U18,-MIN(T20,MAX(0,U18-Inputs!$B$102)))</f>
        <v/>
      </c>
      <c r="V19" s="24">
        <f>IF(V18&lt;Inputs!$B$102,Inputs!$B$102-V18,-MIN(U20,MAX(0,V18-Inputs!$B$102)))</f>
        <v/>
      </c>
    </row>
    <row r="20">
      <c r="A20" s="28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28" t="inlineStr">
        <is>
          <t>ENDING CASH</t>
        </is>
      </c>
      <c r="C21" s="29">
        <f>C18+C19</f>
        <v/>
      </c>
      <c r="D21" s="29">
        <f>D18+D19</f>
        <v/>
      </c>
      <c r="E21" s="29">
        <f>E18+E19</f>
        <v/>
      </c>
      <c r="F21" s="29">
        <f>F18+F19</f>
        <v/>
      </c>
      <c r="G21" s="29">
        <f>G18+G19</f>
        <v/>
      </c>
      <c r="H21" s="29">
        <f>H18+H19</f>
        <v/>
      </c>
      <c r="I21" s="29">
        <f>I18+I19</f>
        <v/>
      </c>
      <c r="J21" s="29">
        <f>J18+J19</f>
        <v/>
      </c>
      <c r="K21" s="29">
        <f>K18+K19</f>
        <v/>
      </c>
      <c r="L21" s="29">
        <f>L18+L19</f>
        <v/>
      </c>
      <c r="M21" s="29">
        <f>M18+M19</f>
        <v/>
      </c>
      <c r="N21" s="29">
        <f>N18+N19</f>
        <v/>
      </c>
      <c r="O21" s="29">
        <f>O18+O19</f>
        <v/>
      </c>
      <c r="P21" s="29">
        <f>P18+P19</f>
        <v/>
      </c>
      <c r="Q21" s="29">
        <f>Q18+Q19</f>
        <v/>
      </c>
      <c r="R21" s="29">
        <f>R18+R19</f>
        <v/>
      </c>
      <c r="S21" s="29">
        <f>S18+S19</f>
        <v/>
      </c>
      <c r="T21" s="29">
        <f>T18+T19</f>
        <v/>
      </c>
      <c r="U21" s="29">
        <f>U18+U19</f>
        <v/>
      </c>
      <c r="V21" s="29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26">
        <f>Inputs!$B$125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26">
        <f>Inputs!$B$103</f>
        <v/>
      </c>
      <c r="C26" s="24">
        <f>MAX(0,B26-Inputs!$B$103/Inputs!$B$104/12*1)</f>
        <v/>
      </c>
      <c r="D26" s="24">
        <f>MAX(0,C26-Inputs!$B$103/Inputs!$B$104/12*1)</f>
        <v/>
      </c>
      <c r="E26" s="24">
        <f>MAX(0,D26-Inputs!$B$103/Inputs!$B$104/12*1)</f>
        <v/>
      </c>
      <c r="F26" s="24">
        <f>MAX(0,E26-Inputs!$B$103/Inputs!$B$104/12*1)</f>
        <v/>
      </c>
      <c r="G26" s="24">
        <f>MAX(0,F26-Inputs!$B$103/Inputs!$B$104/12*1)</f>
        <v/>
      </c>
      <c r="H26" s="24">
        <f>MAX(0,G26-Inputs!$B$103/Inputs!$B$104/12*1)</f>
        <v/>
      </c>
      <c r="I26" s="24">
        <f>MAX(0,H26-Inputs!$B$103/Inputs!$B$104/12*1)</f>
        <v/>
      </c>
      <c r="J26" s="24">
        <f>MAX(0,I26-Inputs!$B$103/Inputs!$B$104/12*1)</f>
        <v/>
      </c>
      <c r="K26" s="24">
        <f>MAX(0,J26-Inputs!$B$103/Inputs!$B$104/12*1)</f>
        <v/>
      </c>
      <c r="L26" s="24">
        <f>MAX(0,K26-Inputs!$B$103/Inputs!$B$104/12*1)</f>
        <v/>
      </c>
      <c r="M26" s="24">
        <f>MAX(0,L26-Inputs!$B$103/Inputs!$B$104/12*1)</f>
        <v/>
      </c>
      <c r="N26" s="24">
        <f>MAX(0,M26-Inputs!$B$103/Inputs!$B$104/12*1)</f>
        <v/>
      </c>
      <c r="O26" s="24">
        <f>MAX(0,N26-Inputs!$B$103/Inputs!$B$104/12*3)</f>
        <v/>
      </c>
      <c r="P26" s="24">
        <f>MAX(0,O26-Inputs!$B$103/Inputs!$B$104/12*3)</f>
        <v/>
      </c>
      <c r="Q26" s="24">
        <f>MAX(0,P26-Inputs!$B$103/Inputs!$B$104/12*3)</f>
        <v/>
      </c>
      <c r="R26" s="24">
        <f>MAX(0,Q26-Inputs!$B$103/Inputs!$B$104/12*3)</f>
        <v/>
      </c>
      <c r="S26" s="24">
        <f>MAX(0,R26-Inputs!$B$103/Inputs!$B$104/12*3)</f>
        <v/>
      </c>
      <c r="T26" s="24">
        <f>MAX(0,S26-Inputs!$B$103/Inputs!$B$104/12*3)</f>
        <v/>
      </c>
      <c r="U26" s="24">
        <f>MAX(0,T26-Inputs!$B$103/Inputs!$B$104/12*3)</f>
        <v/>
      </c>
      <c r="V26" s="24">
        <f>MAX(0,U26-Inputs!$B$103/Inputs!$B$104/12*3)</f>
        <v/>
      </c>
    </row>
    <row r="27">
      <c r="A27" s="4" t="inlineStr">
        <is>
          <t>Startup &amp; organizational costs, net</t>
        </is>
      </c>
      <c r="B27" s="26">
        <f>Inputs!$B$124</f>
        <v/>
      </c>
      <c r="C27" s="24">
        <f>MAX(0,B27-Inputs!$B$124/Inputs!$B$104/12*1)</f>
        <v/>
      </c>
      <c r="D27" s="24">
        <f>MAX(0,C27-Inputs!$B$124/Inputs!$B$104/12*1)</f>
        <v/>
      </c>
      <c r="E27" s="24">
        <f>MAX(0,D27-Inputs!$B$124/Inputs!$B$104/12*1)</f>
        <v/>
      </c>
      <c r="F27" s="24">
        <f>MAX(0,E27-Inputs!$B$124/Inputs!$B$104/12*1)</f>
        <v/>
      </c>
      <c r="G27" s="24">
        <f>MAX(0,F27-Inputs!$B$124/Inputs!$B$104/12*1)</f>
        <v/>
      </c>
      <c r="H27" s="24">
        <f>MAX(0,G27-Inputs!$B$124/Inputs!$B$104/12*1)</f>
        <v/>
      </c>
      <c r="I27" s="24">
        <f>MAX(0,H27-Inputs!$B$124/Inputs!$B$104/12*1)</f>
        <v/>
      </c>
      <c r="J27" s="24">
        <f>MAX(0,I27-Inputs!$B$124/Inputs!$B$104/12*1)</f>
        <v/>
      </c>
      <c r="K27" s="24">
        <f>MAX(0,J27-Inputs!$B$124/Inputs!$B$104/12*1)</f>
        <v/>
      </c>
      <c r="L27" s="24">
        <f>MAX(0,K27-Inputs!$B$124/Inputs!$B$104/12*1)</f>
        <v/>
      </c>
      <c r="M27" s="24">
        <f>MAX(0,L27-Inputs!$B$124/Inputs!$B$104/12*1)</f>
        <v/>
      </c>
      <c r="N27" s="24">
        <f>MAX(0,M27-Inputs!$B$124/Inputs!$B$104/12*1)</f>
        <v/>
      </c>
      <c r="O27" s="24">
        <f>MAX(0,N27-Inputs!$B$124/Inputs!$B$104/12*3)</f>
        <v/>
      </c>
      <c r="P27" s="24">
        <f>MAX(0,O27-Inputs!$B$124/Inputs!$B$104/12*3)</f>
        <v/>
      </c>
      <c r="Q27" s="24">
        <f>MAX(0,P27-Inputs!$B$124/Inputs!$B$104/12*3)</f>
        <v/>
      </c>
      <c r="R27" s="24">
        <f>MAX(0,Q27-Inputs!$B$124/Inputs!$B$104/12*3)</f>
        <v/>
      </c>
      <c r="S27" s="24">
        <f>MAX(0,R27-Inputs!$B$124/Inputs!$B$104/12*3)</f>
        <v/>
      </c>
      <c r="T27" s="24">
        <f>MAX(0,S27-Inputs!$B$124/Inputs!$B$104/12*3)</f>
        <v/>
      </c>
      <c r="U27" s="24">
        <f>MAX(0,T27-Inputs!$B$124/Inputs!$B$104/12*3)</f>
        <v/>
      </c>
      <c r="V27" s="24">
        <f>MAX(0,U27-Inputs!$B$124/Inputs!$B$104/12*3)</f>
        <v/>
      </c>
    </row>
    <row r="28">
      <c r="A28" s="4" t="inlineStr">
        <is>
          <t>Hickory Medicare license intangible, net</t>
        </is>
      </c>
      <c r="B28" s="26">
        <f>Inputs!$B$106</f>
        <v/>
      </c>
      <c r="C28" s="24">
        <f>MAX(0,B28-Inputs!$B$106/Inputs!$B$109/12*1)</f>
        <v/>
      </c>
      <c r="D28" s="24">
        <f>MAX(0,C28-Inputs!$B$106/Inputs!$B$109/12*1)</f>
        <v/>
      </c>
      <c r="E28" s="24">
        <f>MAX(0,D28-Inputs!$B$106/Inputs!$B$109/12*1)</f>
        <v/>
      </c>
      <c r="F28" s="24">
        <f>MAX(0,E28-Inputs!$B$106/Inputs!$B$109/12*1)</f>
        <v/>
      </c>
      <c r="G28" s="24">
        <f>MAX(0,F28-Inputs!$B$106/Inputs!$B$109/12*1)</f>
        <v/>
      </c>
      <c r="H28" s="24">
        <f>MAX(0,G28-Inputs!$B$106/Inputs!$B$109/12*1)</f>
        <v/>
      </c>
      <c r="I28" s="24">
        <f>MAX(0,H28-Inputs!$B$106/Inputs!$B$109/12*1)</f>
        <v/>
      </c>
      <c r="J28" s="24">
        <f>MAX(0,I28-Inputs!$B$106/Inputs!$B$109/12*1)</f>
        <v/>
      </c>
      <c r="K28" s="24">
        <f>MAX(0,J28-Inputs!$B$106/Inputs!$B$109/12*1)</f>
        <v/>
      </c>
      <c r="L28" s="24">
        <f>MAX(0,K28-Inputs!$B$106/Inputs!$B$109/12*1)</f>
        <v/>
      </c>
      <c r="M28" s="24">
        <f>MAX(0,L28-Inputs!$B$106/Inputs!$B$109/12*1)</f>
        <v/>
      </c>
      <c r="N28" s="24">
        <f>MAX(0,M28-Inputs!$B$106/Inputs!$B$109/12*1)</f>
        <v/>
      </c>
      <c r="O28" s="24">
        <f>MAX(0,N28-Inputs!$B$106/Inputs!$B$109/12*3)</f>
        <v/>
      </c>
      <c r="P28" s="24">
        <f>MAX(0,O28-Inputs!$B$106/Inputs!$B$109/12*3)</f>
        <v/>
      </c>
      <c r="Q28" s="24">
        <f>MAX(0,P28-Inputs!$B$106/Inputs!$B$109/12*3)</f>
        <v/>
      </c>
      <c r="R28" s="24">
        <f>MAX(0,Q28-Inputs!$B$106/Inputs!$B$109/12*3)</f>
        <v/>
      </c>
      <c r="S28" s="24">
        <f>MAX(0,R28-Inputs!$B$106/Inputs!$B$109/12*3)</f>
        <v/>
      </c>
      <c r="T28" s="24">
        <f>MAX(0,S28-Inputs!$B$106/Inputs!$B$109/12*3)</f>
        <v/>
      </c>
      <c r="U28" s="24">
        <f>MAX(0,T28-Inputs!$B$106/Inputs!$B$109/12*3)</f>
        <v/>
      </c>
      <c r="V28" s="24">
        <f>MAX(0,U28-Inputs!$B$106/Inputs!$B$109/12*3)</f>
        <v/>
      </c>
    </row>
    <row r="29">
      <c r="A29" s="28" t="inlineStr">
        <is>
          <t>TOTAL ASSETS</t>
        </is>
      </c>
      <c r="B29" s="63">
        <f>B24+B25+B26+B27+B28</f>
        <v/>
      </c>
      <c r="C29" s="63">
        <f>C24+C25+C26+C27+C28</f>
        <v/>
      </c>
      <c r="D29" s="63">
        <f>D24+D25+D26+D27+D28</f>
        <v/>
      </c>
      <c r="E29" s="63">
        <f>E24+E25+E26+E27+E28</f>
        <v/>
      </c>
      <c r="F29" s="63">
        <f>F24+F25+F26+F27+F28</f>
        <v/>
      </c>
      <c r="G29" s="63">
        <f>G24+G25+G26+G27+G28</f>
        <v/>
      </c>
      <c r="H29" s="63">
        <f>H24+H25+H26+H27+H28</f>
        <v/>
      </c>
      <c r="I29" s="63">
        <f>I24+I25+I26+I27+I28</f>
        <v/>
      </c>
      <c r="J29" s="63">
        <f>J24+J25+J26+J27+J28</f>
        <v/>
      </c>
      <c r="K29" s="63">
        <f>K24+K25+K26+K27+K28</f>
        <v/>
      </c>
      <c r="L29" s="63">
        <f>L24+L25+L26+L27+L28</f>
        <v/>
      </c>
      <c r="M29" s="63">
        <f>M24+M25+M26+M27+M28</f>
        <v/>
      </c>
      <c r="N29" s="63">
        <f>N24+N25+N26+N27+N28</f>
        <v/>
      </c>
      <c r="O29" s="63">
        <f>O24+O25+O26+O27+O28</f>
        <v/>
      </c>
      <c r="P29" s="63">
        <f>P24+P25+P26+P27+P28</f>
        <v/>
      </c>
      <c r="Q29" s="63">
        <f>Q24+Q25+Q26+Q27+Q28</f>
        <v/>
      </c>
      <c r="R29" s="63">
        <f>R24+R25+R26+R27+R28</f>
        <v/>
      </c>
      <c r="S29" s="63">
        <f>S24+S25+S26+S27+S28</f>
        <v/>
      </c>
      <c r="T29" s="63">
        <f>T24+T25+T26+T27+T28</f>
        <v/>
      </c>
      <c r="U29" s="63">
        <f>U24+U25+U26+U27+U28</f>
        <v/>
      </c>
      <c r="V29" s="63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26">
        <f>Inputs!$B$96</f>
        <v/>
      </c>
      <c r="C33" s="26">
        <f>'Debt Schedule'!C15</f>
        <v/>
      </c>
      <c r="D33" s="26">
        <f>'Debt Schedule'!D15</f>
        <v/>
      </c>
      <c r="E33" s="26">
        <f>'Debt Schedule'!E15</f>
        <v/>
      </c>
      <c r="F33" s="26">
        <f>'Debt Schedule'!F15</f>
        <v/>
      </c>
      <c r="G33" s="26">
        <f>'Debt Schedule'!G15</f>
        <v/>
      </c>
      <c r="H33" s="26">
        <f>'Debt Schedule'!H15</f>
        <v/>
      </c>
      <c r="I33" s="26">
        <f>'Debt Schedule'!I15</f>
        <v/>
      </c>
      <c r="J33" s="26">
        <f>'Debt Schedule'!J15</f>
        <v/>
      </c>
      <c r="K33" s="26">
        <f>'Debt Schedule'!K15</f>
        <v/>
      </c>
      <c r="L33" s="26">
        <f>'Debt Schedule'!L15</f>
        <v/>
      </c>
      <c r="M33" s="26">
        <f>'Debt Schedule'!M15</f>
        <v/>
      </c>
      <c r="N33" s="26">
        <f>'Debt Schedule'!N15</f>
        <v/>
      </c>
      <c r="O33" s="26">
        <f>'Debt Schedule'!O15</f>
        <v/>
      </c>
      <c r="P33" s="26">
        <f>'Debt Schedule'!P15</f>
        <v/>
      </c>
      <c r="Q33" s="26">
        <f>'Debt Schedule'!Q15</f>
        <v/>
      </c>
      <c r="R33" s="26">
        <f>'Debt Schedule'!R15</f>
        <v/>
      </c>
      <c r="S33" s="26">
        <f>'Debt Schedule'!S15</f>
        <v/>
      </c>
      <c r="T33" s="26">
        <f>'Debt Schedule'!T15</f>
        <v/>
      </c>
      <c r="U33" s="26">
        <f>'Debt Schedule'!U15</f>
        <v/>
      </c>
      <c r="V33" s="26">
        <f>'Debt Schedule'!V15</f>
        <v/>
      </c>
    </row>
    <row r="34">
      <c r="A34" s="4" t="inlineStr">
        <is>
          <t>Hickory license note balance</t>
        </is>
      </c>
      <c r="B34" s="26">
        <f>Inputs!$B$106</f>
        <v/>
      </c>
      <c r="C34" s="26">
        <f>'Debt Schedule'!C22</f>
        <v/>
      </c>
      <c r="D34" s="26">
        <f>'Debt Schedule'!D22</f>
        <v/>
      </c>
      <c r="E34" s="26">
        <f>'Debt Schedule'!E22</f>
        <v/>
      </c>
      <c r="F34" s="26">
        <f>'Debt Schedule'!F22</f>
        <v/>
      </c>
      <c r="G34" s="26">
        <f>'Debt Schedule'!G22</f>
        <v/>
      </c>
      <c r="H34" s="26">
        <f>'Debt Schedule'!H22</f>
        <v/>
      </c>
      <c r="I34" s="26">
        <f>'Debt Schedule'!I22</f>
        <v/>
      </c>
      <c r="J34" s="26">
        <f>'Debt Schedule'!J22</f>
        <v/>
      </c>
      <c r="K34" s="26">
        <f>'Debt Schedule'!K22</f>
        <v/>
      </c>
      <c r="L34" s="26">
        <f>'Debt Schedule'!L22</f>
        <v/>
      </c>
      <c r="M34" s="26">
        <f>'Debt Schedule'!M22</f>
        <v/>
      </c>
      <c r="N34" s="26">
        <f>'Debt Schedule'!N22</f>
        <v/>
      </c>
      <c r="O34" s="26">
        <f>'Debt Schedule'!O22</f>
        <v/>
      </c>
      <c r="P34" s="26">
        <f>'Debt Schedule'!P22</f>
        <v/>
      </c>
      <c r="Q34" s="26">
        <f>'Debt Schedule'!Q22</f>
        <v/>
      </c>
      <c r="R34" s="26">
        <f>'Debt Schedule'!R22</f>
        <v/>
      </c>
      <c r="S34" s="26">
        <f>'Debt Schedule'!S22</f>
        <v/>
      </c>
      <c r="T34" s="26">
        <f>'Debt Schedule'!T22</f>
        <v/>
      </c>
      <c r="U34" s="26">
        <f>'Debt Schedule'!U22</f>
        <v/>
      </c>
      <c r="V34" s="26">
        <f>'Debt Schedule'!V22</f>
        <v/>
      </c>
    </row>
    <row r="35">
      <c r="A35" s="4" t="inlineStr">
        <is>
          <t>Paid-in equity</t>
        </is>
      </c>
      <c r="B35" s="64">
        <f>Inputs!$B$99</f>
        <v/>
      </c>
      <c r="C35" s="64">
        <f>Inputs!$B$99</f>
        <v/>
      </c>
      <c r="D35" s="64">
        <f>Inputs!$B$99</f>
        <v/>
      </c>
      <c r="E35" s="64">
        <f>Inputs!$B$99</f>
        <v/>
      </c>
      <c r="F35" s="64">
        <f>Inputs!$B$99</f>
        <v/>
      </c>
      <c r="G35" s="64">
        <f>Inputs!$B$99</f>
        <v/>
      </c>
      <c r="H35" s="64">
        <f>Inputs!$B$99</f>
        <v/>
      </c>
      <c r="I35" s="64">
        <f>Inputs!$B$99</f>
        <v/>
      </c>
      <c r="J35" s="64">
        <f>Inputs!$B$99</f>
        <v/>
      </c>
      <c r="K35" s="64">
        <f>Inputs!$B$99</f>
        <v/>
      </c>
      <c r="L35" s="64">
        <f>Inputs!$B$99</f>
        <v/>
      </c>
      <c r="M35" s="64">
        <f>Inputs!$B$99</f>
        <v/>
      </c>
      <c r="N35" s="64">
        <f>Inputs!$B$99</f>
        <v/>
      </c>
      <c r="O35" s="64">
        <f>Inputs!$B$99</f>
        <v/>
      </c>
      <c r="P35" s="64">
        <f>Inputs!$B$99</f>
        <v/>
      </c>
      <c r="Q35" s="64">
        <f>Inputs!$B$99</f>
        <v/>
      </c>
      <c r="R35" s="64">
        <f>Inputs!$B$99</f>
        <v/>
      </c>
      <c r="S35" s="64">
        <f>Inputs!$B$99</f>
        <v/>
      </c>
      <c r="T35" s="64">
        <f>Inputs!$B$99</f>
        <v/>
      </c>
      <c r="U35" s="64">
        <f>Inputs!$B$99</f>
        <v/>
      </c>
      <c r="V35" s="64">
        <f>Inputs!$B$99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28" t="inlineStr">
        <is>
          <t>TOTAL LIABILITIES &amp; EQUITY</t>
        </is>
      </c>
      <c r="B37" s="63">
        <f>B31+B32+B33+B34+B35+B36</f>
        <v/>
      </c>
      <c r="C37" s="63">
        <f>C31+C32+C33+C34+C35+C36</f>
        <v/>
      </c>
      <c r="D37" s="63">
        <f>D31+D32+D33+D34+D35+D36</f>
        <v/>
      </c>
      <c r="E37" s="63">
        <f>E31+E32+E33+E34+E35+E36</f>
        <v/>
      </c>
      <c r="F37" s="63">
        <f>F31+F32+F33+F34+F35+F36</f>
        <v/>
      </c>
      <c r="G37" s="63">
        <f>G31+G32+G33+G34+G35+G36</f>
        <v/>
      </c>
      <c r="H37" s="63">
        <f>H31+H32+H33+H34+H35+H36</f>
        <v/>
      </c>
      <c r="I37" s="63">
        <f>I31+I32+I33+I34+I35+I36</f>
        <v/>
      </c>
      <c r="J37" s="63">
        <f>J31+J32+J33+J34+J35+J36</f>
        <v/>
      </c>
      <c r="K37" s="63">
        <f>K31+K32+K33+K34+K35+K36</f>
        <v/>
      </c>
      <c r="L37" s="63">
        <f>L31+L32+L33+L34+L35+L36</f>
        <v/>
      </c>
      <c r="M37" s="63">
        <f>M31+M32+M33+M34+M35+M36</f>
        <v/>
      </c>
      <c r="N37" s="63">
        <f>N31+N32+N33+N34+N35+N36</f>
        <v/>
      </c>
      <c r="O37" s="63">
        <f>O31+O32+O33+O34+O35+O36</f>
        <v/>
      </c>
      <c r="P37" s="63">
        <f>P31+P32+P33+P34+P35+P36</f>
        <v/>
      </c>
      <c r="Q37" s="63">
        <f>Q31+Q32+Q33+Q34+Q35+Q36</f>
        <v/>
      </c>
      <c r="R37" s="63">
        <f>R31+R32+R33+R34+R35+R36</f>
        <v/>
      </c>
      <c r="S37" s="63">
        <f>S31+S32+S33+S34+S35+S36</f>
        <v/>
      </c>
      <c r="T37" s="63">
        <f>T31+T32+T33+T34+T35+T36</f>
        <v/>
      </c>
      <c r="U37" s="63">
        <f>U31+U32+U33+U34+U35+U36</f>
        <v/>
      </c>
      <c r="V37" s="63">
        <f>V31+V32+V33+V34+V35+V36</f>
        <v/>
      </c>
    </row>
    <row r="38">
      <c r="A38" s="28" t="inlineStr">
        <is>
          <t>CHECK: Assets − (L+E)  → 0</t>
        </is>
      </c>
      <c r="B38" s="65">
        <f>B29-B37</f>
        <v/>
      </c>
      <c r="C38" s="65">
        <f>C29-C37</f>
        <v/>
      </c>
      <c r="D38" s="65">
        <f>D29-D37</f>
        <v/>
      </c>
      <c r="E38" s="65">
        <f>E29-E37</f>
        <v/>
      </c>
      <c r="F38" s="65">
        <f>F29-F37</f>
        <v/>
      </c>
      <c r="G38" s="65">
        <f>G29-G37</f>
        <v/>
      </c>
      <c r="H38" s="65">
        <f>H29-H37</f>
        <v/>
      </c>
      <c r="I38" s="65">
        <f>I29-I37</f>
        <v/>
      </c>
      <c r="J38" s="65">
        <f>J29-J37</f>
        <v/>
      </c>
      <c r="K38" s="65">
        <f>K29-K37</f>
        <v/>
      </c>
      <c r="L38" s="65">
        <f>L29-L37</f>
        <v/>
      </c>
      <c r="M38" s="65">
        <f>M29-M37</f>
        <v/>
      </c>
      <c r="N38" s="65">
        <f>N29-N37</f>
        <v/>
      </c>
      <c r="O38" s="65">
        <f>O29-O37</f>
        <v/>
      </c>
      <c r="P38" s="65">
        <f>P29-P37</f>
        <v/>
      </c>
      <c r="Q38" s="65">
        <f>Q29-Q37</f>
        <v/>
      </c>
      <c r="R38" s="65">
        <f>R29-R37</f>
        <v/>
      </c>
      <c r="S38" s="65">
        <f>S29-S37</f>
        <v/>
      </c>
      <c r="T38" s="65">
        <f>T29-T37</f>
        <v/>
      </c>
      <c r="U38" s="65">
        <f>U29-U37</f>
        <v/>
      </c>
      <c r="V38" s="65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36" t="inlineStr">
        <is>
          <t>Metric</t>
        </is>
      </c>
      <c r="B4" s="27" t="inlineStr">
        <is>
          <t>Mar 2025</t>
        </is>
      </c>
      <c r="C4" s="27" t="inlineStr">
        <is>
          <t>Apr 2025</t>
        </is>
      </c>
      <c r="D4" s="27" t="inlineStr">
        <is>
          <t>May 2025</t>
        </is>
      </c>
      <c r="E4" s="27" t="inlineStr">
        <is>
          <t>Jun 2025</t>
        </is>
      </c>
      <c r="F4" s="27" t="inlineStr">
        <is>
          <t>Apr–Jun avg</t>
        </is>
      </c>
      <c r="G4" s="27" t="inlineStr">
        <is>
          <t>Model (M3)</t>
        </is>
      </c>
      <c r="H4" s="27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6">
        <f>'Revenue Model'!E14</f>
        <v/>
      </c>
      <c r="H5" s="39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8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51">
        <f>'Revenue Model'!E17</f>
        <v/>
      </c>
      <c r="H8" s="32">
        <f>IF(F8=0,0,(G8-F8)/F8)</f>
        <v/>
      </c>
    </row>
    <row r="9">
      <c r="A9" s="21" t="inlineStr">
        <is>
          <t>Implied ADC (net ÷ $181 ÷ days)</t>
        </is>
      </c>
      <c r="B9" s="66">
        <f>B8/Inputs!$B$12/31</f>
        <v/>
      </c>
      <c r="C9" s="66">
        <f>C8/Inputs!$B$12/30</f>
        <v/>
      </c>
      <c r="D9" s="66">
        <f>D8/Inputs!$B$12/31</f>
        <v/>
      </c>
      <c r="E9" s="66">
        <f>E8/Inputs!$B$12/30</f>
        <v/>
      </c>
      <c r="F9" s="66">
        <f>AVERAGE(C9:E9)</f>
        <v/>
      </c>
      <c r="G9" s="49">
        <f>'Revenue Model'!E10</f>
        <v/>
      </c>
      <c r="H9" s="39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6">
        <f>'Revenue Model'!E12*Inputs!$B$74</f>
        <v/>
      </c>
      <c r="H12" s="39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6">
        <f>'Revenue Model'!E12*Inputs!$B$72</f>
        <v/>
      </c>
      <c r="H13" s="39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6">
        <f>'Revenue Model'!E12*Inputs!$B$73</f>
        <v/>
      </c>
      <c r="H14" s="39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8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51">
        <f>'Staffing &amp; Payroll'!E41+'Staffing &amp; Payroll'!E42</f>
        <v/>
      </c>
    </row>
    <row r="21">
      <c r="A21" s="33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Investor Model</dc:title>
  <dcterms:created xsi:type="dcterms:W3CDTF">2026-06-02T18:06:06Z</dcterms:created>
  <dcterms:modified xsi:type="dcterms:W3CDTF">2026-06-02T18:06:06Z</dcterms:modified>
</cp:coreProperties>
</file>