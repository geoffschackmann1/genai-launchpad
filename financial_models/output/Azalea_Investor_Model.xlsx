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Returns" sheetId="2" state="visible" r:id="rId2"/>
    <sheet name="Unit Economics" sheetId="3" state="visible" r:id="rId3"/>
    <sheet name="Sensitivity" sheetId="4" state="visible" r:id="rId4"/>
    <sheet name="Revenue Model" sheetId="5" state="visible" r:id="rId5"/>
    <sheet name="Staffing &amp; Payroll" sheetId="6" state="visible" r:id="rId6"/>
    <sheet name="Operating Budget" sheetId="7" state="visible" r:id="rId7"/>
    <sheet name="Debt Schedule" sheetId="8" state="visible" r:id="rId8"/>
    <sheet name="Cash Flow &amp; BS" sheetId="9" state="visible" r:id="rId9"/>
    <sheet name="Actuals vs Model" sheetId="10" state="visible" r:id="rId10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avg_days_month">Inputs!$B$24</definedName>
    <definedName name="capture_rate">Inputs!$B$27</definedName>
    <definedName name="census_scenario">Inputs!$B$28</definedName>
    <definedName name="rn_caseload">Inputs!$B$53</definedName>
    <definedName name="aide_caseload">Inputs!$B$54</definedName>
    <definedName name="visits_rn_day">Inputs!$B$55</definedName>
    <definedName name="visits_aide_day">Inputs!$B$56</definedName>
    <definedName name="merit">Inputs!$B$57</definedName>
    <definedName name="benefits_load">Inputs!$B$60</definedName>
    <definedName name="health_pm">Inputs!$B$61</definedName>
    <definedName name="med_director">Inputs!$B$64</definedName>
    <definedName name="supplies_pd">Inputs!$B$67</definedName>
    <definedName name="dme_pd">Inputs!$B$68</definedName>
    <definedName name="pharmacy_pd">Inputs!$B$69</definedName>
    <definedName name="ga_utilities">Inputs!$B$72</definedName>
    <definedName name="ga_internet">Inputs!$B$73</definedName>
    <definedName name="ga_telephone">Inputs!$B$74</definedName>
    <definedName name="ga_bvtm">Inputs!$B$75</definedName>
    <definedName name="ga_billing">Inputs!$B$76</definedName>
    <definedName name="ga_emr">Inputs!$B$77</definedName>
    <definedName name="ga_pcr">Inputs!$B$78</definedName>
    <definedName name="ga_cc">Inputs!$B$79</definedName>
    <definedName name="ga_liability">Inputs!$B$80</definedName>
    <definedName name="ga_training">Inputs!$B$81</definedName>
    <definedName name="ga_other">Inputs!$B$82</definedName>
    <definedName name="ga_bankfees">Inputs!$B$83</definedName>
    <definedName name="ga_rent">Inputs!$B$84</definedName>
    <definedName name="ga_marketing">Inputs!$B$85</definedName>
    <definedName name="qr_fee_pct">Inputs!$B$88</definedName>
    <definedName name="sba_principal">Inputs!$B$91</definedName>
    <definedName name="sba_rate">Inputs!$B$92</definedName>
    <definedName name="sba_term_mo">Inputs!$B$93</definedName>
    <definedName name="equity">Inputs!$B$94</definedName>
    <definedName name="loc_limit">Inputs!$B$95</definedName>
    <definedName name="loc_rate">Inputs!$B$96</definedName>
    <definedName name="min_cash">Inputs!$B$97</definedName>
    <definedName name="capex">Inputs!$B$98</definedName>
    <definedName name="deprec_yrs">Inputs!$B$99</definedName>
    <definedName name="tx_tax">Inputs!$B$100</definedName>
    <definedName name="su_enroll">Inputs!$B$103</definedName>
    <definedName name="su_accred">Inputs!$B$104</definedName>
    <definedName name="su_license">Inputs!$B$105</definedName>
    <definedName name="su_emr">Inputs!$B$106</definedName>
    <definedName name="su_supplies">Inputs!$B$107</definedName>
    <definedName name="su_legal">Inputs!$B$108</definedName>
    <definedName name="su_conting">Inputs!$B$109</definedName>
    <definedName name="ar_days">Inputs!$B$112</definedName>
    <definedName name="ap_days">Inputs!$B$113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72" fontId="5" fillId="4" borderId="1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6" fillId="7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167" fontId="6" fillId="5" borderId="0" applyAlignment="1" pivotButton="0" quotePrefix="0" xfId="0">
      <alignment horizontal="right" vertical="center"/>
    </xf>
    <xf numFmtId="165" fontId="6" fillId="8" borderId="0" applyAlignment="1" pivotButton="0" quotePrefix="0" xfId="0">
      <alignment horizontal="right" vertical="center"/>
    </xf>
    <xf numFmtId="172" fontId="6" fillId="8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170" fontId="10" fillId="0" borderId="0" applyAlignment="1" pivotButton="0" quotePrefix="0" xfId="0">
      <alignment horizontal="right" vertical="center"/>
    </xf>
    <xf numFmtId="170" fontId="6" fillId="6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9" fontId="6" fillId="8" borderId="0" applyAlignment="1" pivotButton="0" quotePrefix="0" xfId="0">
      <alignment horizontal="right" vertical="center"/>
    </xf>
    <xf numFmtId="0" fontId="9" fillId="0" borderId="0" pivotButton="0" quotePrefix="0" xfId="0"/>
    <xf numFmtId="164" fontId="5" fillId="4" borderId="1" applyAlignment="1" pivotButton="0" quotePrefix="0" xfId="0">
      <alignment horizontal="center" vertical="center" wrapText="1"/>
    </xf>
    <xf numFmtId="169" fontId="5" fillId="4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69" fontId="10" fillId="0" borderId="0" applyAlignment="1" pivotButton="0" quotePrefix="0" xfId="0">
      <alignment horizontal="right" vertical="center"/>
    </xf>
    <xf numFmtId="171" fontId="6" fillId="0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0" fontId="6" fillId="7" borderId="1" applyAlignment="1" pivotButton="0" quotePrefix="0" xfId="0">
      <alignment horizontal="left" vertical="center"/>
    </xf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24" authorId="0" shapeId="0">
      <text>
        <t>Used for patient-days; quarters = x3.</t>
      </text>
    </comment>
    <comment ref="B27" authorId="0" shapeId="0">
      <text>
        <t>Base 100% -&gt; steady-state ADC 22. Downside 80% -&gt; ADC ~18. Each Paloma patient must revoke and re-elect Azalea.</t>
      </text>
    </comment>
    <comment ref="B28" authorId="0" shapeId="0">
      <text>
        <t>1 = hold migrated panel flat at steady state (SBA conservative). 2 = grow from new referrals toward ADC ~35-60 (investor upside).</t>
      </text>
    </comment>
    <comment ref="C30" authorId="0" shapeId="0">
      <text>
        <t xml:space="preserve">Migrated panel. M1=12 (~75% migrated), M2=19.8, M3+=22 steady. </t>
      </text>
    </comment>
    <comment ref="D30" authorId="0" shapeId="0">
      <text>
        <t xml:space="preserve">Migrated panel. M1=12 (~75% migrated), M2=19.8, M3+=22 steady. </t>
      </text>
    </comment>
    <comment ref="E30" authorId="0" shapeId="0">
      <text>
        <t>Migrated panel. M1=12 (~75% migrated), M2=19.8, M3+=22 steady. Source: Paloma P&amp;L 2025.</t>
      </text>
    </comment>
    <comment ref="F30" authorId="0" shapeId="0">
      <text>
        <t>Migrated panel. M1=12 (~75% migrated), M2=19.8, M3+=22 steady. Source: Paloma P&amp;L 2025.</t>
      </text>
    </comment>
    <comment ref="G30" authorId="0" shapeId="0">
      <text>
        <t>Migrated panel. M1=12 (~75% migrated), M2=19.8, M3+=22 steady. Source: Paloma P&amp;L 2025.</t>
      </text>
    </comment>
    <comment ref="H30" authorId="0" shapeId="0">
      <text>
        <t>Migrated panel. M1=12 (~75% migrated), M2=19.8, M3+=22 steady. Source: Paloma P&amp;L 2025.</t>
      </text>
    </comment>
    <comment ref="I30" authorId="0" shapeId="0">
      <text>
        <t>Migrated panel. M1=12 (~75% migrated), M2=19.8, M3+=22 steady. Source: Paloma P&amp;L 2025.</t>
      </text>
    </comment>
    <comment ref="J30" authorId="0" shapeId="0">
      <text>
        <t>Migrated panel. M1=12 (~75% migrated), M2=19.8, M3+=22 steady. Source: Paloma P&amp;L 2025.</t>
      </text>
    </comment>
    <comment ref="K30" authorId="0" shapeId="0">
      <text>
        <t>Migrated panel. M1=12 (~75% migrated), M2=19.8, M3+=22 steady. Source: Paloma P&amp;L 2025.</t>
      </text>
    </comment>
    <comment ref="L30" authorId="0" shapeId="0">
      <text>
        <t>Migrated panel. M1=12 (~75% migrated), M2=19.8, M3+=22 steady. Source: Paloma P&amp;L 2025.</t>
      </text>
    </comment>
    <comment ref="M30" authorId="0" shapeId="0">
      <text>
        <t>Migrated panel. M1=12 (~75% migrated), M2=19.8, M3+=22 steady. Source: Paloma P&amp;L 2025.</t>
      </text>
    </comment>
    <comment ref="N30" authorId="0" shapeId="0">
      <text>
        <t>Migrated panel. M1=12 (~75% migrated), M2=19.8, M3+=22 steady. Source: Paloma P&amp;L 2025.</t>
      </text>
    </comment>
    <comment ref="O30" authorId="0" shapeId="0">
      <text>
        <t>Migrated panel. M1=12 (~75% migrated), M2=19.8, M3+=22 steady. Source: Paloma P&amp;L 2025.</t>
      </text>
    </comment>
    <comment ref="P30" authorId="0" shapeId="0">
      <text>
        <t>Migrated panel. M1=12 (~75% migrated), M2=19.8, M3+=22 steady. Source: Paloma P&amp;L 2025.</t>
      </text>
    </comment>
    <comment ref="Q30" authorId="0" shapeId="0">
      <text>
        <t>Migrated panel. M1=12 (~75% migrated), M2=19.8, M3+=22 steady. Source: Paloma P&amp;L 2025.</t>
      </text>
    </comment>
    <comment ref="R30" authorId="0" shapeId="0">
      <text>
        <t>Migrated panel. M1=12 (~75% migrated), M2=19.8, M3+=22 steady. Source: Paloma P&amp;L 2025.</t>
      </text>
    </comment>
    <comment ref="S30" authorId="0" shapeId="0">
      <text>
        <t>Migrated panel. M1=12 (~75% migrated), M2=19.8, M3+=22 steady. Source: Paloma P&amp;L 2025.</t>
      </text>
    </comment>
    <comment ref="T30" authorId="0" shapeId="0">
      <text>
        <t>Migrated panel. M1=12 (~75% migrated), M2=19.8, M3+=22 steady. Source: Paloma P&amp;L 2025.</t>
      </text>
    </comment>
    <comment ref="U30" authorId="0" shapeId="0">
      <text>
        <t>Migrated panel. M1=12 (~75% migrated), M2=19.8, M3+=22 steady. Source: Paloma P&amp;L 2025.</t>
      </text>
    </comment>
    <comment ref="V30" authorId="0" shapeId="0">
      <text>
        <t>Migrated panel. M1=12 (~75% migrated), M2=19.8, M3+=22 steady. Source: Paloma P&amp;L 2025.</t>
      </text>
    </comment>
    <comment ref="C31" authorId="0" shapeId="0">
      <text>
        <t>Growth from Azalea's own referral pipeline.</t>
      </text>
    </comment>
    <comment ref="D31" authorId="0" shapeId="0">
      <text>
        <t>Growth from Azalea's own referral pipeline.</t>
      </text>
    </comment>
    <comment ref="E31" authorId="0" shapeId="0">
      <text>
        <t>Growth from Azalea's own referral pipeline.</t>
      </text>
    </comment>
    <comment ref="F31" authorId="0" shapeId="0">
      <text>
        <t>Growth from Azalea's own referral pipeline.</t>
      </text>
    </comment>
    <comment ref="G31" authorId="0" shapeId="0">
      <text>
        <t>Growth from Azalea's own referral pipeline.</t>
      </text>
    </comment>
    <comment ref="H31" authorId="0" shapeId="0">
      <text>
        <t>Growth from Azalea's own referral pipeline.</t>
      </text>
    </comment>
    <comment ref="I31" authorId="0" shapeId="0">
      <text>
        <t>Growth from Azalea's own referral pipeline.</t>
      </text>
    </comment>
    <comment ref="J31" authorId="0" shapeId="0">
      <text>
        <t>Growth from Azalea's own referral pipeline.</t>
      </text>
    </comment>
    <comment ref="K31" authorId="0" shapeId="0">
      <text>
        <t>Growth from Azalea's own referral pipeline.</t>
      </text>
    </comment>
    <comment ref="L31" authorId="0" shapeId="0">
      <text>
        <t>Growth from Azalea's own referral pipeline.</t>
      </text>
    </comment>
    <comment ref="M31" authorId="0" shapeId="0">
      <text>
        <t>Growth from Azalea's own referral pipeline.</t>
      </text>
    </comment>
    <comment ref="N31" authorId="0" shapeId="0">
      <text>
        <t>Growth from Azalea's own referral pipeline.</t>
      </text>
    </comment>
    <comment ref="O31" authorId="0" shapeId="0">
      <text>
        <t>Growth from Azalea's own referral pipeline.</t>
      </text>
    </comment>
    <comment ref="P31" authorId="0" shapeId="0">
      <text>
        <t>Growth from Azalea's own referral pipeline.</t>
      </text>
    </comment>
    <comment ref="Q31" authorId="0" shapeId="0">
      <text>
        <t>Growth from Azalea's own referral pipeline.</t>
      </text>
    </comment>
    <comment ref="R31" authorId="0" shapeId="0">
      <text>
        <t>Growth from Azalea's own referral pipeline.</t>
      </text>
    </comment>
    <comment ref="S31" authorId="0" shapeId="0">
      <text>
        <t>Growth from Azalea's own referral pipeline.</t>
      </text>
    </comment>
    <comment ref="T31" authorId="0" shapeId="0">
      <text>
        <t>Growth from Azalea's own referral pipeline.</t>
      </text>
    </comment>
    <comment ref="U31" authorId="0" shapeId="0">
      <text>
        <t>Growth from Azalea's own referral pipeline.</t>
      </text>
    </comment>
    <comment ref="V31" authorId="0" shapeId="0">
      <text>
        <t>Growth from Azalea's own referral pipeline.</t>
      </text>
    </comment>
    <comment ref="C36" authorId="0" shapeId="0">
      <text>
        <t>Source: Paloma payrolls Apr-May 2025.</t>
      </text>
    </comment>
    <comment ref="D36" authorId="0" shapeId="0">
      <text>
        <t>Model month this hire starts full-time.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PRN run-rate ($/yr). Source: Paloma payrolls.</t>
      </text>
    </comment>
    <comment ref="C46" authorId="0" shapeId="0">
      <text>
        <t>Visits per patient per month.</t>
      </text>
    </comment>
    <comment ref="D46" authorId="0" shapeId="0">
      <text>
        <t>Per-visit pay rate. Source: Paloma payrolls.</t>
      </text>
    </comment>
    <comment ref="C47" authorId="0" shapeId="0">
      <text>
        <t>Visits per patient per month.</t>
      </text>
    </comment>
    <comment ref="D47" authorId="0" shapeId="0">
      <text>
        <t>Per-visit pay rate. Source: Paloma payrolls.</t>
      </text>
    </comment>
    <comment ref="C48" authorId="0" shapeId="0">
      <text>
        <t>Visits per patient per month.</t>
      </text>
    </comment>
    <comment ref="D48" authorId="0" shapeId="0">
      <text>
        <t>Per-visit pay rate. Source: Paloma payrolls.</t>
      </text>
    </comment>
    <comment ref="C49" authorId="0" shapeId="0">
      <text>
        <t>Visits per patient per month.</t>
      </text>
    </comment>
    <comment ref="D49" authorId="0" shapeId="0">
      <text>
        <t>Per-visit pay rate. Source: Paloma payrolls.</t>
      </text>
    </comment>
    <comment ref="C50" authorId="0" shapeId="0">
      <text>
        <t>Visits per patient per month.</t>
      </text>
    </comment>
    <comment ref="D50" authorId="0" shapeId="0">
      <text>
        <t>Per-visit pay rate. Source: Paloma payrolls.</t>
      </text>
    </comment>
    <comment ref="B53" authorId="0" shapeId="0">
      <text>
        <t>Productivity benchmark for capacity planning.</t>
      </text>
    </comment>
    <comment ref="B54" authorId="0" shapeId="0">
      <text>
        <t>Productivity benchmark for capacity planning.</t>
      </text>
    </comment>
    <comment ref="B55" authorId="0" shapeId="0">
      <text>
        <t>Ops KPI.</t>
      </text>
    </comment>
    <comment ref="B56" authorId="0" shapeId="0">
      <text>
        <t>Ops KPI.</t>
      </text>
    </comment>
    <comment ref="B57" authorId="0" shapeId="0">
      <text>
        <t>Applied to salaried wages from Y2.</t>
      </text>
    </comment>
    <comment ref="B60" authorId="0" shapeId="0">
      <text>
        <t>Blended employer burden (FICA 7.65% + FUTA/SUTA + WC + other). Source: Paloma payrolls Apr-May 2025.</t>
      </text>
    </comment>
    <comment ref="B61" authorId="0" shapeId="0">
      <text>
        <t>Per full-time W-2 employee. FLAG / CONFIRM: go-forward assumption, not in Paloma actuals.</t>
      </text>
    </comment>
    <comment ref="B64" authorId="0" shapeId="0">
      <text>
        <t>1099 contract, flat, NO benefits. Paloma actual ran $1,000/mo; spec models $4,000/mo go-forward. FLAG / CONFIRM: go-forward assumption, not in Paloma actuals.</t>
      </text>
    </comment>
    <comment ref="B67" authorId="0" shapeId="0">
      <text>
        <t>Source: Paloma P&amp;L 2025 (Tyler_PL_2025.xlsx).</t>
      </text>
    </comment>
    <comment ref="B68" authorId="0" shapeId="0">
      <text>
        <t>Source: Paloma P&amp;L 2025 (Tyler_PL_2025.xlsx).</t>
      </text>
    </comment>
    <comment ref="B69" authorId="0" shapeId="0">
      <text>
        <t>Source: Paloma P&amp;L 2025 (Tyler_PL_2025.xlsx).</t>
      </text>
    </comment>
    <comment ref="B72" authorId="0" shapeId="0">
      <text>
        <t>Source: Paloma P&amp;L 2025 (Tyler_PL_2025.xlsx).</t>
      </text>
    </comment>
    <comment ref="B73" authorId="0" shapeId="0">
      <text>
        <t>Source: Paloma P&amp;L 2025 (Tyler_PL_2025.xlsx).</t>
      </text>
    </comment>
    <comment ref="B74" authorId="0" shapeId="0">
      <text>
        <t>Source: Paloma P&amp;L 2025 (Tyler_PL_2025.xlsx).</t>
      </text>
    </comment>
    <comment ref="B75" authorId="0" shapeId="0">
      <text>
        <t>Source: Paloma P&amp;L 2025 (Tyler_PL_2025.xlsx).</t>
      </text>
    </comment>
    <comment ref="B76" authorId="0" shapeId="0">
      <text>
        <t>Source: Paloma P&amp;L 2025 (Tyler_PL_2025.xlsx).</t>
      </text>
    </comment>
    <comment ref="B77" authorId="0" shapeId="0">
      <text>
        <t>Source: Paloma P&amp;L 2025 (Tyler_PL_2025.xlsx).</t>
      </text>
    </comment>
    <comment ref="B78" authorId="0" shapeId="0">
      <text>
        <t>Source: Paloma P&amp;L 2025 (Tyler_PL_2025.xlsx).</t>
      </text>
    </comment>
    <comment ref="B79" authorId="0" shapeId="0">
      <text>
        <t>Source: Paloma P&amp;L 2025 (Tyler_PL_2025.xlsx).</t>
      </text>
    </comment>
    <comment ref="B80" authorId="0" shapeId="0">
      <text>
        <t>Source: Paloma P&amp;L 2025 (Tyler_PL_2025.xlsx).</t>
      </text>
    </comment>
    <comment ref="B81" authorId="0" shapeId="0">
      <text>
        <t>Source: Paloma P&amp;L 2025 (Tyler_PL_2025.xlsx).</t>
      </text>
    </comment>
    <comment ref="B82" authorId="0" shapeId="0">
      <text>
        <t>Source: Paloma P&amp;L 2025 (Tyler_PL_2025.xlsx).</t>
      </text>
    </comment>
    <comment ref="B83" authorId="0" shapeId="0">
      <text>
        <t>Source: Paloma P&amp;L 2025 (Tyler_PL_2025.xlsx).</t>
      </text>
    </comment>
    <comment ref="B84" authorId="0" shapeId="0">
      <text>
        <t>Paloma actual was $0 (embedded/rent-free). Azalea needs its own lease. FLAG / CONFIRM: go-forward assumption, not in Paloma actuals.</t>
      </text>
    </comment>
    <comment ref="B85" authorId="0" shapeId="0">
      <text>
        <t>Paloma actual was $0. FLAG / CONFIRM: go-forward assumption, not in Paloma actuals.</t>
      </text>
    </comment>
    <comment ref="B88" authorId="0" shapeId="0">
      <text>
        <t>Source: Paloma P&amp;L 2025 (Tyler_PL_2025.xlsx).</t>
      </text>
    </comment>
    <comment ref="B91" authorId="0" shapeId="0">
      <text>
        <t>Sized to fund ramp-period operating need + startup costs. FLAG / CONFIRM: go-forward assumption, not in Paloma actuals.</t>
      </text>
    </comment>
    <comment ref="B92" authorId="0" shapeId="0">
      <text>
        <t>FLAG / CONFIRM: go-forward assumption, not in Paloma actuals.</t>
      </text>
    </comment>
    <comment ref="B93" authorId="0" shapeId="0">
      <text>
        <t>10-year amortization. FLAG / CONFIRM: go-forward assumption, not in Paloma actuals.</t>
      </text>
    </comment>
    <comment ref="B94" authorId="0" shapeId="0">
      <text>
        <t>FLAG / CONFIRM: go-forward assumption, not in Paloma actuals.</t>
      </text>
    </comment>
    <comment ref="B95" authorId="0" shapeId="0">
      <text>
        <t>FLAG / CONFIRM: go-forward assumption, not in Paloma actuals.</t>
      </text>
    </comment>
    <comment ref="B96" authorId="0" shapeId="0">
      <text>
        <t>FLAG / CONFIRM: go-forward assumption, not in Paloma actuals.</t>
      </text>
    </comment>
    <comment ref="B97" authorId="0" shapeId="0">
      <text>
        <t>Operating cash buffer; LOC draws to hold this floor. FLAG / CONFIRM: go-forward assumption, not in Paloma actuals.</t>
      </text>
    </comment>
    <comment ref="B98" authorId="0" shapeId="0">
      <text>
        <t>Computers, office furniture; depreciated straight-line. FLAG / CONFIRM: go-forward assumption, not in Paloma actuals.</t>
      </text>
    </comment>
    <comment ref="B99" authorId="0" shapeId="0">
      <text>
        <t>FLAG / CONFIRM: go-forward assumption, not in Paloma actuals.</t>
      </text>
    </comment>
    <comment ref="B100" authorId="0" shapeId="0">
      <text>
        <t>Applied to revenue when pre-tax income positive.</t>
      </text>
    </comment>
    <comment ref="B103" authorId="0" shapeId="0">
      <text>
        <t>FLAG / CONFIRM: go-forward assumption, not in Paloma actuals.</t>
      </text>
    </comment>
    <comment ref="B104" authorId="0" shapeId="0">
      <text>
        <t>FLAG / CONFIRM: go-forward assumption, not in Paloma actuals.</t>
      </text>
    </comment>
    <comment ref="B105" authorId="0" shapeId="0">
      <text>
        <t>FLAG / CONFIRM: go-forward assumption, not in Paloma actuals.</t>
      </text>
    </comment>
    <comment ref="B106" authorId="0" shapeId="0">
      <text>
        <t>FLAG / CONFIRM: go-forward assumption, not in Paloma actuals.</t>
      </text>
    </comment>
    <comment ref="B107" authorId="0" shapeId="0">
      <text>
        <t>FLAG / CONFIRM: go-forward assumption, not in Paloma actuals.</t>
      </text>
    </comment>
    <comment ref="B108" authorId="0" shapeId="0">
      <text>
        <t>FLAG / CONFIRM: go-forward assumption, not in Paloma actuals.</t>
      </text>
    </comment>
    <comment ref="B109" authorId="0" shapeId="0">
      <text>
        <t>FLAG / CONFIRM: go-forward assumption, not in Paloma actuals.</t>
      </text>
    </comment>
    <comment ref="B112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13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5" authorId="0" shapeId="0">
      <text>
        <t>Exit enterprise value = multiple × Year-3 EBITDA.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18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single source of truth · blue = input · black = formula · green = cross-sheet link · cells noted to Paloma actuals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5">
      <c r="A15" s="3" t="inlineStr">
        <is>
          <t>A2.  DERIVED RATE BUILD (formulas)</t>
        </is>
      </c>
    </row>
    <row r="16">
      <c r="A16" s="4" t="inlineStr">
        <is>
          <t>Wage-index adjustment factor</t>
        </is>
      </c>
      <c r="B16" s="10">
        <f>Inputs!$B$8*Inputs!$B$7+(1-Inputs!$B$8)</f>
        <v/>
      </c>
    </row>
    <row r="17">
      <c r="A17" s="4" t="inlineStr">
        <is>
          <t>Wage-adjusted rate, days 1-60</t>
        </is>
      </c>
      <c r="B17" s="11">
        <f>Inputs!$B$5*Inputs!$B$16</f>
        <v/>
      </c>
    </row>
    <row r="18">
      <c r="A18" s="4" t="inlineStr">
        <is>
          <t>Wage-adjusted rate, days 61+</t>
        </is>
      </c>
      <c r="B18" s="11">
        <f>Inputs!$B$6*Inputs!$B$16</f>
        <v/>
      </c>
    </row>
    <row r="19">
      <c r="A19" s="4" t="inlineStr">
        <is>
          <t>Blended GROSS rate ($/PD)</t>
        </is>
      </c>
      <c r="B19" s="11">
        <f>Inputs!$B$9*Inputs!$B$17+(1-Inputs!$B$9)*Inputs!$B$18</f>
        <v/>
      </c>
    </row>
    <row r="20">
      <c r="A20" s="12" t="inlineStr">
        <is>
          <t>Blended NET rate ($/PD)  [model]</t>
        </is>
      </c>
      <c r="B20" s="13">
        <f>Inputs!$B$19*(1-Inputs!$B$10-Inputs!$B$11)</f>
        <v/>
      </c>
    </row>
    <row r="21">
      <c r="A21" s="14" t="inlineStr">
        <is>
          <t>Validation: model net rate vs actual $181</t>
        </is>
      </c>
      <c r="B21" s="11">
        <f>Inputs!$B$20-Inputs!$B$12</f>
        <v/>
      </c>
      <c r="C21" s="15" t="inlineStr">
        <is>
          <t>should be near $0</t>
        </is>
      </c>
    </row>
    <row r="23">
      <c r="A23" s="3" t="inlineStr">
        <is>
          <t>B.  TIMING</t>
        </is>
      </c>
    </row>
    <row r="24">
      <c r="A24" s="4" t="inlineStr">
        <is>
          <t>Average days per month</t>
        </is>
      </c>
      <c r="B24" s="16" t="n">
        <v>30.4</v>
      </c>
    </row>
    <row r="26">
      <c r="A26" s="3" t="inlineStr">
        <is>
          <t>C.  CENSUS — PATIENT-MIGRATION RAMP (front-loaded M1-M2)</t>
        </is>
      </c>
    </row>
    <row r="27">
      <c r="A27" s="4" t="inlineStr">
        <is>
          <t>Patient-migration capture rate</t>
        </is>
      </c>
      <c r="B27" s="7" t="n">
        <v>1</v>
      </c>
    </row>
    <row r="28">
      <c r="A28" s="4" t="inlineStr">
        <is>
          <t>Census scenario (1=Base flat, 2=Upside growth)</t>
        </is>
      </c>
      <c r="B28" s="17" t="n">
        <v>1</v>
      </c>
    </row>
    <row r="30">
      <c r="A30" s="4" t="inlineStr">
        <is>
          <t>ADC path — BASE (100% capture, flat steady-state)</t>
        </is>
      </c>
      <c r="C30" s="16" t="n">
        <v>12</v>
      </c>
      <c r="D30" s="16" t="n">
        <v>19.8</v>
      </c>
      <c r="E30" s="16" t="n">
        <v>22</v>
      </c>
      <c r="F30" s="16" t="n">
        <v>22</v>
      </c>
      <c r="G30" s="16" t="n">
        <v>22</v>
      </c>
      <c r="H30" s="16" t="n">
        <v>22</v>
      </c>
      <c r="I30" s="16" t="n">
        <v>22</v>
      </c>
      <c r="J30" s="16" t="n">
        <v>22</v>
      </c>
      <c r="K30" s="16" t="n">
        <v>22</v>
      </c>
      <c r="L30" s="16" t="n">
        <v>22</v>
      </c>
      <c r="M30" s="16" t="n">
        <v>22</v>
      </c>
      <c r="N30" s="16" t="n">
        <v>22</v>
      </c>
      <c r="O30" s="16" t="n">
        <v>22</v>
      </c>
      <c r="P30" s="16" t="n">
        <v>22</v>
      </c>
      <c r="Q30" s="16" t="n">
        <v>22</v>
      </c>
      <c r="R30" s="16" t="n">
        <v>22</v>
      </c>
      <c r="S30" s="16" t="n">
        <v>22</v>
      </c>
      <c r="T30" s="16" t="n">
        <v>22</v>
      </c>
      <c r="U30" s="16" t="n">
        <v>22</v>
      </c>
      <c r="V30" s="16" t="n">
        <v>22</v>
      </c>
    </row>
    <row r="31">
      <c r="A31" s="4" t="inlineStr">
        <is>
          <t>ADC path — UPSIDE (referral growth)</t>
        </is>
      </c>
      <c r="C31" s="16" t="n">
        <v>12</v>
      </c>
      <c r="D31" s="16" t="n">
        <v>19.8</v>
      </c>
      <c r="E31" s="16" t="n">
        <v>22</v>
      </c>
      <c r="F31" s="16" t="n">
        <v>23</v>
      </c>
      <c r="G31" s="16" t="n">
        <v>24</v>
      </c>
      <c r="H31" s="16" t="n">
        <v>25</v>
      </c>
      <c r="I31" s="16" t="n">
        <v>26</v>
      </c>
      <c r="J31" s="16" t="n">
        <v>27</v>
      </c>
      <c r="K31" s="16" t="n">
        <v>28</v>
      </c>
      <c r="L31" s="16" t="n">
        <v>29</v>
      </c>
      <c r="M31" s="16" t="n">
        <v>30</v>
      </c>
      <c r="N31" s="16" t="n">
        <v>31</v>
      </c>
      <c r="O31" s="16" t="n">
        <v>33</v>
      </c>
      <c r="P31" s="16" t="n">
        <v>35</v>
      </c>
      <c r="Q31" s="16" t="n">
        <v>37</v>
      </c>
      <c r="R31" s="16" t="n">
        <v>39</v>
      </c>
      <c r="S31" s="16" t="n">
        <v>44</v>
      </c>
      <c r="T31" s="16" t="n">
        <v>50</v>
      </c>
      <c r="U31" s="16" t="n">
        <v>55</v>
      </c>
      <c r="V31" s="16" t="n">
        <v>60</v>
      </c>
    </row>
    <row r="32">
      <c r="A32" s="12" t="inlineStr">
        <is>
          <t>EFFECTIVE ADC  = chosen path x capture</t>
        </is>
      </c>
      <c r="C32" s="18">
        <f>IF(Inputs!$B$28=2,C31,C30)*Inputs!$B$27</f>
        <v/>
      </c>
      <c r="D32" s="18">
        <f>IF(Inputs!$B$28=2,D31,D30)*Inputs!$B$27</f>
        <v/>
      </c>
      <c r="E32" s="18">
        <f>IF(Inputs!$B$28=2,E31,E30)*Inputs!$B$27</f>
        <v/>
      </c>
      <c r="F32" s="18">
        <f>IF(Inputs!$B$28=2,F31,F30)*Inputs!$B$27</f>
        <v/>
      </c>
      <c r="G32" s="18">
        <f>IF(Inputs!$B$28=2,G31,G30)*Inputs!$B$27</f>
        <v/>
      </c>
      <c r="H32" s="18">
        <f>IF(Inputs!$B$28=2,H31,H30)*Inputs!$B$27</f>
        <v/>
      </c>
      <c r="I32" s="18">
        <f>IF(Inputs!$B$28=2,I31,I30)*Inputs!$B$27</f>
        <v/>
      </c>
      <c r="J32" s="18">
        <f>IF(Inputs!$B$28=2,J31,J30)*Inputs!$B$27</f>
        <v/>
      </c>
      <c r="K32" s="18">
        <f>IF(Inputs!$B$28=2,K31,K30)*Inputs!$B$27</f>
        <v/>
      </c>
      <c r="L32" s="18">
        <f>IF(Inputs!$B$28=2,L31,L30)*Inputs!$B$27</f>
        <v/>
      </c>
      <c r="M32" s="18">
        <f>IF(Inputs!$B$28=2,M31,M30)*Inputs!$B$27</f>
        <v/>
      </c>
      <c r="N32" s="18">
        <f>IF(Inputs!$B$28=2,N31,N30)*Inputs!$B$27</f>
        <v/>
      </c>
      <c r="O32" s="18">
        <f>IF(Inputs!$B$28=2,O31,O30)*Inputs!$B$27</f>
        <v/>
      </c>
      <c r="P32" s="18">
        <f>IF(Inputs!$B$28=2,P31,P30)*Inputs!$B$27</f>
        <v/>
      </c>
      <c r="Q32" s="18">
        <f>IF(Inputs!$B$28=2,Q31,Q30)*Inputs!$B$27</f>
        <v/>
      </c>
      <c r="R32" s="18">
        <f>IF(Inputs!$B$28=2,R31,R30)*Inputs!$B$27</f>
        <v/>
      </c>
      <c r="S32" s="18">
        <f>IF(Inputs!$B$28=2,S31,S30)*Inputs!$B$27</f>
        <v/>
      </c>
      <c r="T32" s="18">
        <f>IF(Inputs!$B$28=2,T31,T30)*Inputs!$B$27</f>
        <v/>
      </c>
      <c r="U32" s="18">
        <f>IF(Inputs!$B$28=2,U31,U30)*Inputs!$B$27</f>
        <v/>
      </c>
      <c r="V32" s="18">
        <f>IF(Inputs!$B$28=2,V31,V30)*Inputs!$B$27</f>
        <v/>
      </c>
    </row>
    <row r="34">
      <c r="A34" s="3" t="inlineStr">
        <is>
          <t>D.  STAGGERED FT ROSTER (named hires)</t>
        </is>
      </c>
    </row>
    <row r="35">
      <c r="A35" s="19" t="inlineStr">
        <is>
          <t>Name</t>
        </is>
      </c>
      <c r="B35" s="19" t="inlineStr">
        <is>
          <t>Role</t>
        </is>
      </c>
      <c r="C35" s="19" t="inlineStr">
        <is>
          <t>Annual salary</t>
        </is>
      </c>
      <c r="D35" s="19" t="inlineStr">
        <is>
          <t>Start month</t>
        </is>
      </c>
      <c r="E35" s="19" t="inlineStr">
        <is>
          <t>Cost group</t>
        </is>
      </c>
      <c r="F35" s="19" t="inlineStr">
        <is>
          <t>Status</t>
        </is>
      </c>
    </row>
    <row r="36">
      <c r="A36" s="4" t="inlineStr">
        <is>
          <t>Brad Woodard</t>
        </is>
      </c>
      <c r="B36" s="20" t="inlineStr">
        <is>
          <t>Administrator / Director</t>
        </is>
      </c>
      <c r="C36" s="9" t="n">
        <v>120000</v>
      </c>
      <c r="D36" s="17" t="n">
        <v>1</v>
      </c>
      <c r="E36" s="20" t="inlineStr">
        <is>
          <t>Indirect (SG&amp;A)</t>
        </is>
      </c>
      <c r="F36" s="20" t="inlineStr">
        <is>
          <t>Filled</t>
        </is>
      </c>
    </row>
    <row r="37">
      <c r="A37" s="4" t="inlineStr">
        <is>
          <t>Angie Frost</t>
        </is>
      </c>
      <c r="B37" s="20" t="inlineStr">
        <is>
          <t>RN Case Manager</t>
        </is>
      </c>
      <c r="C37" s="9" t="n">
        <v>77504</v>
      </c>
      <c r="D37" s="17" t="n">
        <v>1</v>
      </c>
      <c r="E37" s="20" t="inlineStr">
        <is>
          <t>Direct (COGS)</t>
        </is>
      </c>
      <c r="F37" s="20" t="inlineStr">
        <is>
          <t>Filled</t>
        </is>
      </c>
    </row>
    <row r="38">
      <c r="A38" s="4" t="inlineStr">
        <is>
          <t>Tanisha Robison</t>
        </is>
      </c>
      <c r="B38" s="20" t="inlineStr">
        <is>
          <t>CNA / Hospice Aide</t>
        </is>
      </c>
      <c r="C38" s="9" t="n">
        <v>46511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Dana Davenport</t>
        </is>
      </c>
      <c r="B39" s="20" t="inlineStr">
        <is>
          <t>Director of Clinical Services</t>
        </is>
      </c>
      <c r="C39" s="9" t="n">
        <v>110000</v>
      </c>
      <c r="D39" s="17" t="n">
        <v>2</v>
      </c>
      <c r="E39" s="20" t="inlineStr">
        <is>
          <t>Indirect (SG&amp;A)</t>
        </is>
      </c>
      <c r="F39" s="20" t="inlineStr">
        <is>
          <t>Filled</t>
        </is>
      </c>
    </row>
    <row r="40">
      <c r="A40" s="4" t="inlineStr">
        <is>
          <t>Silas Shelton</t>
        </is>
      </c>
      <c r="B40" s="20" t="inlineStr">
        <is>
          <t>Administrator</t>
        </is>
      </c>
      <c r="C40" s="9" t="n">
        <v>130000</v>
      </c>
      <c r="D40" s="17" t="n">
        <v>3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Jodi McCollum</t>
        </is>
      </c>
      <c r="B41" s="20" t="inlineStr">
        <is>
          <t>RN Case Manager (2nd seat)</t>
        </is>
      </c>
      <c r="C41" s="9" t="n">
        <v>75008</v>
      </c>
      <c r="D41" s="17" t="n">
        <v>4</v>
      </c>
      <c r="E41" s="20" t="inlineStr">
        <is>
          <t>Direct (COGS)</t>
        </is>
      </c>
      <c r="F41" s="21" t="inlineStr">
        <is>
          <t>OPEN REQ</t>
        </is>
      </c>
    </row>
    <row r="42">
      <c r="A42" s="4" t="inlineStr">
        <is>
          <t>Rhonda Smith — Office Mgr (PRN, W-2)</t>
        </is>
      </c>
      <c r="B42" s="20" t="inlineStr">
        <is>
          <t>Per-visit / part-time office support</t>
        </is>
      </c>
      <c r="C42" s="9" t="n">
        <v>34000</v>
      </c>
    </row>
    <row r="44">
      <c r="A44" s="3" t="inlineStr">
        <is>
          <t>D2.  PRN / PER-VISIT ROSTER (census-driven)</t>
        </is>
      </c>
    </row>
    <row r="45">
      <c r="A45" s="19" t="inlineStr">
        <is>
          <t>Role</t>
        </is>
      </c>
      <c r="B45" s="19" t="inlineStr"/>
      <c r="C45" s="19" t="inlineStr">
        <is>
          <t>Visits / pt / mo</t>
        </is>
      </c>
      <c r="D45" s="19" t="inlineStr">
        <is>
          <t>Rate / visit</t>
        </is>
      </c>
    </row>
    <row r="46">
      <c r="A46" s="4" t="inlineStr">
        <is>
          <t>PRN On-Call LVN (Kendricks-Tuck, Foster)</t>
        </is>
      </c>
      <c r="C46" s="16" t="n">
        <v>0.6</v>
      </c>
      <c r="D46" s="9" t="n">
        <v>100</v>
      </c>
    </row>
    <row r="47">
      <c r="A47" s="4" t="inlineStr">
        <is>
          <t>PRN Chaplain (Ector, Johnson)</t>
        </is>
      </c>
      <c r="C47" s="16" t="n">
        <v>0.75</v>
      </c>
      <c r="D47" s="9" t="n">
        <v>75</v>
      </c>
    </row>
    <row r="48">
      <c r="A48" s="4" t="inlineStr">
        <is>
          <t>PRN Social Worker (Sanders)</t>
        </is>
      </c>
      <c r="C48" s="16" t="n">
        <v>1</v>
      </c>
      <c r="D48" s="9" t="n">
        <v>75</v>
      </c>
    </row>
    <row r="49">
      <c r="A49" s="4" t="inlineStr">
        <is>
          <t>PRN Nurse Practitioner (Rogers)</t>
        </is>
      </c>
      <c r="C49" s="16" t="n">
        <v>0.15</v>
      </c>
      <c r="D49" s="9" t="n">
        <v>200</v>
      </c>
    </row>
    <row r="50">
      <c r="A50" s="4" t="inlineStr">
        <is>
          <t>PRN CNA / per-visit (Henson, Mills)</t>
        </is>
      </c>
      <c r="C50" s="16" t="n">
        <v>0.5</v>
      </c>
      <c r="D50" s="9" t="n">
        <v>21</v>
      </c>
    </row>
    <row r="52">
      <c r="A52" s="3" t="inlineStr">
        <is>
          <t>E.  STAFFING RATIOS (Y2-Y3 capacity reference)</t>
        </is>
      </c>
    </row>
    <row r="53">
      <c r="A53" s="4" t="inlineStr">
        <is>
          <t>RN case-manager caseload (1 : N ADC)</t>
        </is>
      </c>
      <c r="B53" s="17" t="n">
        <v>15</v>
      </c>
    </row>
    <row r="54">
      <c r="A54" s="4" t="inlineStr">
        <is>
          <t>CNA / aide caseload (1 : N ADC)</t>
        </is>
      </c>
      <c r="B54" s="17" t="n">
        <v>12</v>
      </c>
    </row>
    <row r="55">
      <c r="A55" s="4" t="inlineStr">
        <is>
          <t>Target visits / RN / day</t>
        </is>
      </c>
      <c r="B55" s="16" t="n">
        <v>5.5</v>
      </c>
    </row>
    <row r="56">
      <c r="A56" s="4" t="inlineStr">
        <is>
          <t>Target visits / aide / day</t>
        </is>
      </c>
      <c r="B56" s="16" t="n">
        <v>6</v>
      </c>
    </row>
    <row r="57">
      <c r="A57" s="4" t="inlineStr">
        <is>
          <t>Annual merit / COL increase (Y2, Y3)</t>
        </is>
      </c>
      <c r="B57" s="7" t="n">
        <v>0.03</v>
      </c>
    </row>
    <row r="59">
      <c r="A59" s="3" t="inlineStr">
        <is>
          <t>F.  BENEFITS &amp; EMPLOYER BURDEN</t>
        </is>
      </c>
    </row>
    <row r="60">
      <c r="A60" s="4" t="inlineStr">
        <is>
          <t>Benefits load on W-2 wages</t>
        </is>
      </c>
      <c r="B60" s="7" t="n">
        <v>0.1827</v>
      </c>
    </row>
    <row r="61">
      <c r="A61" s="4" t="inlineStr">
        <is>
          <t>Health insurance ($/FT employee/mo)</t>
        </is>
      </c>
      <c r="B61" s="9" t="n">
        <v>550</v>
      </c>
    </row>
    <row r="63">
      <c r="A63" s="3" t="inlineStr">
        <is>
          <t>F2.  MEDICAL DIRECTOR (1099 — no benefits)</t>
        </is>
      </c>
    </row>
    <row r="64">
      <c r="A64" s="4" t="inlineStr">
        <is>
          <t>Medical Director (1099, $/mo)</t>
        </is>
      </c>
      <c r="B64" s="9" t="n">
        <v>4000</v>
      </c>
    </row>
    <row r="66">
      <c r="A66" s="3" t="inlineStr">
        <is>
          <t>G.  PATIENT-RELATED COGS (per patient-day, trued to actuals)</t>
        </is>
      </c>
    </row>
    <row r="67">
      <c r="A67" s="4" t="inlineStr">
        <is>
          <t>Medical supplies ($/patient-day)</t>
        </is>
      </c>
      <c r="B67" s="22" t="n">
        <v>3.99</v>
      </c>
    </row>
    <row r="68">
      <c r="A68" s="4" t="inlineStr">
        <is>
          <t>DME ($/patient-day)</t>
        </is>
      </c>
      <c r="B68" s="22" t="n">
        <v>1.77</v>
      </c>
    </row>
    <row r="69">
      <c r="A69" s="4" t="inlineStr">
        <is>
          <t>Pharmacy ($/patient-day)</t>
        </is>
      </c>
      <c r="B69" s="22" t="n">
        <v>3.23</v>
      </c>
    </row>
    <row r="71">
      <c r="A71" s="3" t="inlineStr">
        <is>
          <t>G2.  FIXED MONTHLY G&amp;A (trued to actuals)</t>
        </is>
      </c>
    </row>
    <row r="72">
      <c r="A72" s="4" t="inlineStr">
        <is>
          <t>Utilities</t>
        </is>
      </c>
      <c r="B72" s="9" t="n">
        <v>293</v>
      </c>
    </row>
    <row r="73">
      <c r="A73" s="4" t="inlineStr">
        <is>
          <t>Internet</t>
        </is>
      </c>
      <c r="B73" s="9" t="n">
        <v>779</v>
      </c>
    </row>
    <row r="74">
      <c r="A74" s="4" t="inlineStr">
        <is>
          <t>Telephone / fax</t>
        </is>
      </c>
      <c r="B74" s="9" t="n">
        <v>403</v>
      </c>
    </row>
    <row r="75">
      <c r="A75" s="4" t="inlineStr">
        <is>
          <t>After-hours messaging (BVTM)</t>
        </is>
      </c>
      <c r="B75" s="9" t="n">
        <v>48</v>
      </c>
    </row>
    <row r="76">
      <c r="A76" s="4" t="inlineStr">
        <is>
          <t>BCBP billing fee</t>
        </is>
      </c>
      <c r="B76" s="9" t="n">
        <v>1550</v>
      </c>
    </row>
    <row r="77">
      <c r="A77" s="4" t="inlineStr">
        <is>
          <t>EMR system</t>
        </is>
      </c>
      <c r="B77" s="9" t="n">
        <v>1281</v>
      </c>
    </row>
    <row r="78">
      <c r="A78" s="4" t="inlineStr">
        <is>
          <t>PCR (CPM)</t>
        </is>
      </c>
      <c r="B78" s="9" t="n">
        <v>1001</v>
      </c>
    </row>
    <row r="79">
      <c r="A79" s="4" t="inlineStr">
        <is>
          <t>Credit-card fees</t>
        </is>
      </c>
      <c r="B79" s="9" t="n">
        <v>1004</v>
      </c>
    </row>
    <row r="80">
      <c r="A80" s="4" t="inlineStr">
        <is>
          <t>Liability / D&amp;O insurance</t>
        </is>
      </c>
      <c r="B80" s="9" t="n">
        <v>250</v>
      </c>
    </row>
    <row r="81">
      <c r="A81" s="4" t="inlineStr">
        <is>
          <t>Training / CEUs</t>
        </is>
      </c>
      <c r="B81" s="9" t="n">
        <v>100</v>
      </c>
    </row>
    <row r="82">
      <c r="A82" s="4" t="inlineStr">
        <is>
          <t>Other (client)</t>
        </is>
      </c>
      <c r="B82" s="9" t="n">
        <v>1050</v>
      </c>
    </row>
    <row r="83">
      <c r="A83" s="4" t="inlineStr">
        <is>
          <t>Bank / payroll fees</t>
        </is>
      </c>
      <c r="B83" s="9" t="n">
        <v>1750</v>
      </c>
    </row>
    <row r="84">
      <c r="A84" s="4" t="inlineStr">
        <is>
          <t>Facility rent</t>
        </is>
      </c>
      <c r="B84" s="9" t="n">
        <v>3000</v>
      </c>
    </row>
    <row r="85">
      <c r="A85" s="4" t="inlineStr">
        <is>
          <t>Marketing / patient acquisition</t>
        </is>
      </c>
      <c r="B85" s="9" t="n">
        <v>3000</v>
      </c>
    </row>
    <row r="87">
      <c r="A87" s="3" t="inlineStr">
        <is>
          <t>G3.  VARIABLE G&amp;A</t>
        </is>
      </c>
    </row>
    <row r="88">
      <c r="A88" s="4" t="inlineStr">
        <is>
          <t>QR payment fee (% of gross)</t>
        </is>
      </c>
      <c r="B88" s="8" t="n">
        <v>0.0075</v>
      </c>
    </row>
    <row r="90">
      <c r="A90" s="3" t="inlineStr">
        <is>
          <t>H.  CAPITAL STRUCTURE (startup — NO acquisition)</t>
        </is>
      </c>
    </row>
    <row r="91">
      <c r="A91" s="4" t="inlineStr">
        <is>
          <t>SBA 7(a) loan principal ($)</t>
        </is>
      </c>
      <c r="B91" s="9" t="n">
        <v>500000</v>
      </c>
    </row>
    <row r="92">
      <c r="A92" s="4" t="inlineStr">
        <is>
          <t>SBA interest rate (APR)</t>
        </is>
      </c>
      <c r="B92" s="7" t="n">
        <v>0.115</v>
      </c>
    </row>
    <row r="93">
      <c r="A93" s="4" t="inlineStr">
        <is>
          <t>SBA term (months)</t>
        </is>
      </c>
      <c r="B93" s="17" t="n">
        <v>120</v>
      </c>
    </row>
    <row r="94">
      <c r="A94" s="4" t="inlineStr">
        <is>
          <t>Owner equity injection ($)</t>
        </is>
      </c>
      <c r="B94" s="9" t="n">
        <v>250000</v>
      </c>
    </row>
    <row r="95">
      <c r="A95" s="4" t="inlineStr">
        <is>
          <t>Working-capital line limit ($)</t>
        </is>
      </c>
      <c r="B95" s="9" t="n">
        <v>100000</v>
      </c>
    </row>
    <row r="96">
      <c r="A96" s="4" t="inlineStr">
        <is>
          <t>Working-capital line rate (APR)</t>
        </is>
      </c>
      <c r="B96" s="7" t="n">
        <v>0.105</v>
      </c>
    </row>
    <row r="97">
      <c r="A97" s="4" t="inlineStr">
        <is>
          <t>Minimum cash floor ($)</t>
        </is>
      </c>
      <c r="B97" s="9" t="n">
        <v>25000</v>
      </c>
    </row>
    <row r="98">
      <c r="A98" s="4" t="inlineStr">
        <is>
          <t>Startup capex - equipment ($)</t>
        </is>
      </c>
      <c r="B98" s="9" t="n">
        <v>15000</v>
      </c>
    </row>
    <row r="99">
      <c r="A99" s="4" t="inlineStr">
        <is>
          <t>Depreciation / amortization life (yrs)</t>
        </is>
      </c>
      <c r="B99" s="17" t="n">
        <v>5</v>
      </c>
    </row>
    <row r="100">
      <c r="A100" s="4" t="inlineStr">
        <is>
          <t>TX franchise/margin tax (eff.)</t>
        </is>
      </c>
      <c r="B100" s="8" t="n">
        <v>0.00375</v>
      </c>
    </row>
    <row r="102">
      <c r="A102" s="3" t="inlineStr">
        <is>
          <t>H2.  STARTUP ONE-TIME USES (Sources &amp; Uses)</t>
        </is>
      </c>
    </row>
    <row r="103">
      <c r="A103" s="4" t="inlineStr">
        <is>
          <t>Medicare 855A enrollment</t>
        </is>
      </c>
      <c r="B103" s="9" t="n">
        <v>3000</v>
      </c>
    </row>
    <row r="104">
      <c r="A104" s="4" t="inlineStr">
        <is>
          <t>Accreditation (CHAP / ACHC)</t>
        </is>
      </c>
      <c r="B104" s="9" t="n">
        <v>8000</v>
      </c>
    </row>
    <row r="105">
      <c r="A105" s="4" t="inlineStr">
        <is>
          <t>TX state licensure</t>
        </is>
      </c>
      <c r="B105" s="9" t="n">
        <v>5000</v>
      </c>
    </row>
    <row r="106">
      <c r="A106" s="4" t="inlineStr">
        <is>
          <t>EMR implementation / setup</t>
        </is>
      </c>
      <c r="B106" s="9" t="n">
        <v>10000</v>
      </c>
    </row>
    <row r="107">
      <c r="A107" s="4" t="inlineStr">
        <is>
          <t>Initial medical-supply stock</t>
        </is>
      </c>
      <c r="B107" s="9" t="n">
        <v>10000</v>
      </c>
    </row>
    <row r="108">
      <c r="A108" s="4" t="inlineStr">
        <is>
          <t>Legal / entity formation</t>
        </is>
      </c>
      <c r="B108" s="9" t="n">
        <v>15000</v>
      </c>
    </row>
    <row r="109">
      <c r="A109" s="4" t="inlineStr">
        <is>
          <t>Contingency</t>
        </is>
      </c>
      <c r="B109" s="9" t="n">
        <v>20000</v>
      </c>
    </row>
    <row r="111">
      <c r="A111" s="3" t="inlineStr">
        <is>
          <t>I.  WORKING CAPITAL</t>
        </is>
      </c>
    </row>
    <row r="112">
      <c r="A112" s="4" t="inlineStr">
        <is>
          <t>Accounts-receivable days (Medicare RAP-to-final lag)</t>
        </is>
      </c>
      <c r="B112" s="17" t="n">
        <v>45</v>
      </c>
    </row>
    <row r="113">
      <c r="A113" s="4" t="inlineStr">
        <is>
          <t>Accounts-payable days</t>
        </is>
      </c>
      <c r="B113" s="17" t="n">
        <v>30</v>
      </c>
    </row>
    <row r="115">
      <c r="A115" s="3" t="inlineStr">
        <is>
          <t>DERIVED CAPITAL HELPERS</t>
        </is>
      </c>
    </row>
    <row r="116">
      <c r="A116" s="12" t="inlineStr">
        <is>
          <t>Total startup one-time uses</t>
        </is>
      </c>
      <c r="B116" s="23">
        <f>SUM(B103:B109)</f>
        <v/>
      </c>
    </row>
    <row r="117">
      <c r="A117" s="12" t="inlineStr">
        <is>
          <t>Opening cash = equity + loan - startup - capex</t>
        </is>
      </c>
      <c r="B117" s="23">
        <f>Inputs!$B$94+Inputs!$B$91-Inputs!$B$116-Inputs!$B$98</f>
        <v/>
      </c>
    </row>
    <row r="118">
      <c r="A118" s="4" t="inlineStr">
        <is>
          <t>Monthly D&amp;A (capex+startup) / life / 12</t>
        </is>
      </c>
      <c r="B118" s="24">
        <f>(Inputs!$B$98+Inputs!$B$116)/Inputs!$B$99/12</f>
        <v/>
      </c>
    </row>
  </sheetData>
  <mergeCells count="18">
    <mergeCell ref="A2:V2"/>
    <mergeCell ref="A52:V52"/>
    <mergeCell ref="A115:V115"/>
    <mergeCell ref="A90:V90"/>
    <mergeCell ref="A71:V71"/>
    <mergeCell ref="A63:V63"/>
    <mergeCell ref="A44:V44"/>
    <mergeCell ref="A66:V66"/>
    <mergeCell ref="A1:V1"/>
    <mergeCell ref="A23:V23"/>
    <mergeCell ref="A102:V102"/>
    <mergeCell ref="A111:V111"/>
    <mergeCell ref="A59:V59"/>
    <mergeCell ref="A87:V87"/>
    <mergeCell ref="A34:V34"/>
    <mergeCell ref="A15:V15"/>
    <mergeCell ref="A4:V4"/>
    <mergeCell ref="A26:V26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E21"/>
  <sheetViews>
    <sheetView showGridLines="0" tabSelected="1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Equity Returns — IRR · MOIC · cash-on-cash · 3-yr hold, exit at EBITDA multiple</t>
        </is>
      </c>
    </row>
    <row r="4">
      <c r="A4" s="3" t="inlineStr">
        <is>
          <t>ASSUMPTIONS</t>
        </is>
      </c>
    </row>
    <row r="5">
      <c r="A5" s="4" t="inlineStr">
        <is>
          <t>Exit EBITDA multiple</t>
        </is>
      </c>
      <c r="B5" s="25" t="n">
        <v>5</v>
      </c>
    </row>
    <row r="6">
      <c r="A6" s="4" t="inlineStr">
        <is>
          <t>Equity invested</t>
        </is>
      </c>
      <c r="B6" s="26">
        <f>Inputs!$B$94</f>
        <v/>
      </c>
    </row>
    <row r="8">
      <c r="A8" s="3" t="inlineStr">
        <is>
          <t>EQUITY CASH FLOWS</t>
        </is>
      </c>
    </row>
    <row r="9">
      <c r="B9" s="27" t="inlineStr">
        <is>
          <t>Close</t>
        </is>
      </c>
      <c r="C9" s="27" t="inlineStr">
        <is>
          <t>Year 1</t>
        </is>
      </c>
      <c r="D9" s="27" t="inlineStr">
        <is>
          <t>Year 2</t>
        </is>
      </c>
      <c r="E9" s="27" t="inlineStr">
        <is>
          <t>Year 3</t>
        </is>
      </c>
    </row>
    <row r="10">
      <c r="A10" s="20" t="inlineStr">
        <is>
          <t>Free cash flow to equity</t>
        </is>
      </c>
      <c r="B10" s="24">
        <f>-$B$6</f>
        <v/>
      </c>
      <c r="C10" s="26">
        <f>SUM('Cash Flow &amp; BS'!C13:N13)+SUM('Cash Flow &amp; BS'!C14:N14)</f>
        <v/>
      </c>
      <c r="D10" s="26">
        <f>SUM('Cash Flow &amp; BS'!O13:R13)+SUM('Cash Flow &amp; BS'!O14:R14)</f>
        <v/>
      </c>
      <c r="E10" s="26">
        <f>SUM('Cash Flow &amp; BS'!S13:V13)+SUM('Cash Flow &amp; BS'!S14:V14)</f>
        <v/>
      </c>
    </row>
    <row r="11">
      <c r="A11" s="20" t="inlineStr">
        <is>
          <t>Terminal equity value (exit)</t>
        </is>
      </c>
      <c r="E11" s="26">
        <f>$B$5*SUM('Operating Budget'!S23:V23)-'Debt Schedule'!V13-'Cash Flow &amp; BS'!V19</f>
        <v/>
      </c>
    </row>
    <row r="12">
      <c r="A12" s="28" t="inlineStr">
        <is>
          <t>Net equity cash flow</t>
        </is>
      </c>
      <c r="B12" s="23">
        <f>B10</f>
        <v/>
      </c>
      <c r="C12" s="29">
        <f>C10</f>
        <v/>
      </c>
      <c r="D12" s="29">
        <f>D10</f>
        <v/>
      </c>
      <c r="E12" s="29">
        <f>E10+E11</f>
        <v/>
      </c>
    </row>
    <row r="14">
      <c r="A14" s="3" t="inlineStr">
        <is>
          <t>RETURNS</t>
        </is>
      </c>
    </row>
    <row r="15">
      <c r="A15" s="28" t="inlineStr">
        <is>
          <t>Equity IRR (3-yr)</t>
        </is>
      </c>
      <c r="B15" s="30">
        <f>IRR(B12:E12)</f>
        <v/>
      </c>
    </row>
    <row r="16">
      <c r="A16" s="28" t="inlineStr">
        <is>
          <t>MOIC (gross multiple)</t>
        </is>
      </c>
      <c r="B16" s="31">
        <f>SUM(C12:E12)/$B$6</f>
        <v/>
      </c>
    </row>
    <row r="17">
      <c r="A17" s="28" t="inlineStr">
        <is>
          <t>Avg cash-on-cash (Y1-Y3)</t>
        </is>
      </c>
      <c r="B17" s="32">
        <f>AVERAGE(C10:E10)/$B$6</f>
        <v/>
      </c>
    </row>
    <row r="19">
      <c r="A19" s="33" t="inlineStr">
        <is>
          <t>Base case (ADC 22 flat) is already profitable; switch Census scenario to 2 (Upside) on the Inputs tab to see growth-driven returns. Distribution policy assumes free cash flow to equity is distributed annually; terminal value exits at the EBITDA multiple net of remaining debt.</t>
        </is>
      </c>
    </row>
    <row r="20"/>
    <row r="21"/>
  </sheetData>
  <mergeCells count="6">
    <mergeCell ref="A4:E4"/>
    <mergeCell ref="A19:E21"/>
    <mergeCell ref="A2:E2"/>
    <mergeCell ref="A8:E8"/>
    <mergeCell ref="A1:E1"/>
    <mergeCell ref="A14:E14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D17"/>
  <sheetViews>
    <sheetView showGridLines="0" tabSelected="0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Unit Economics — contribution margin per patient-day</t>
        </is>
      </c>
    </row>
    <row r="4">
      <c r="A4" s="28" t="inlineStr">
        <is>
          <t>Net revenue per patient-day</t>
        </is>
      </c>
      <c r="B4" s="34">
        <f>Inputs!$B$20</f>
        <v/>
      </c>
    </row>
    <row r="5">
      <c r="A5" s="4" t="inlineStr">
        <is>
          <t>Medical supplies / PD</t>
        </is>
      </c>
      <c r="B5" s="34">
        <f>-Inputs!$B$67</f>
        <v/>
      </c>
    </row>
    <row r="6">
      <c r="A6" s="4" t="inlineStr">
        <is>
          <t>DME / PD</t>
        </is>
      </c>
      <c r="B6" s="34">
        <f>-Inputs!$B$68</f>
        <v/>
      </c>
    </row>
    <row r="7">
      <c r="A7" s="4" t="inlineStr">
        <is>
          <t>Pharmacy / PD</t>
        </is>
      </c>
      <c r="B7" s="34">
        <f>-Inputs!$B$69</f>
        <v/>
      </c>
    </row>
    <row r="8">
      <c r="A8" s="4" t="inlineStr">
        <is>
          <t>PRN / per-visit labor / PD</t>
        </is>
      </c>
      <c r="B8" s="34">
        <f>-(Inputs!$C$46*Inputs!$D$46+Inputs!$C$47*Inputs!$D$47+Inputs!$C$48*Inputs!$D$48+Inputs!$C$49*Inputs!$D$49+Inputs!$C$50*Inputs!$D$50)/Inputs!$B$24</f>
        <v/>
      </c>
    </row>
    <row r="9">
      <c r="A9" s="4" t="inlineStr">
        <is>
          <t>QR payment fee / PD</t>
        </is>
      </c>
      <c r="B9" s="34">
        <f>-Inputs!$B$19*Inputs!$B$88</f>
        <v/>
      </c>
    </row>
    <row r="10">
      <c r="A10" s="28" t="inlineStr">
        <is>
          <t>CONTRIBUTION MARGIN / PD</t>
        </is>
      </c>
      <c r="B10" s="35">
        <f>B4-SUM(B5:B9)</f>
        <v/>
      </c>
    </row>
    <row r="11">
      <c r="A11" s="21" t="inlineStr">
        <is>
          <t>Contribution margin %</t>
        </is>
      </c>
      <c r="B11" s="36">
        <f>B10/B4</f>
        <v/>
      </c>
    </row>
    <row r="13">
      <c r="A13" s="4" t="inlineStr">
        <is>
          <t>Daily fixed-cost burden (annual fixed ÷ 365)</t>
        </is>
      </c>
      <c r="B13" s="34">
        <f>((Inputs!$C$36+Inputs!$C$37+Inputs!$C$38+Inputs!$C$39+Inputs!$C$40+Inputs!$C$41+Inputs!$C$42)*(1+Inputs!$B$60)+Inputs!$B$61*6*12+Inputs!$B$64*12+SUM(Inputs!$B$72:$B$85)*12)/(Inputs!$B$24*12)</f>
        <v/>
      </c>
    </row>
    <row r="14">
      <c r="A14" s="28" t="inlineStr">
        <is>
          <t>Break-even ADC (fixed ÷ contribution/PD)</t>
        </is>
      </c>
      <c r="B14" s="37">
        <f>B13/B10</f>
        <v/>
      </c>
    </row>
    <row r="16">
      <c r="A16" s="33" t="inlineStr">
        <is>
          <t>Low per-PD COGS (~$9, trued to Paloma actuals) drives a high contribution margin; operating leverage improves as census grows beyond the migrated panel.</t>
        </is>
      </c>
    </row>
    <row r="17"/>
  </sheetData>
  <mergeCells count="3">
    <mergeCell ref="A1:D1"/>
    <mergeCell ref="A16:D17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G15"/>
  <sheetViews>
    <sheetView showGridLines="0" tabSelected="0" zoomScale="10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Sensitivity — steady-state annual EBITDA by ADC × net rate/PD</t>
        </is>
      </c>
    </row>
    <row r="4">
      <c r="A4" s="38" t="inlineStr">
        <is>
          <t>EBITDA ($/yr)</t>
        </is>
      </c>
    </row>
    <row r="5">
      <c r="A5" s="27" t="inlineStr">
        <is>
          <t>ADC  ↓  /  net rate →</t>
        </is>
      </c>
      <c r="B5" s="39" t="n">
        <v>170</v>
      </c>
      <c r="C5" s="39" t="n">
        <v>176</v>
      </c>
      <c r="D5" s="39" t="n">
        <v>181</v>
      </c>
      <c r="E5" s="39" t="n">
        <v>186</v>
      </c>
      <c r="F5" s="39" t="n">
        <v>192</v>
      </c>
    </row>
    <row r="6">
      <c r="A6" s="40" t="n">
        <v>16</v>
      </c>
      <c r="B6" s="24">
        <f>$A6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6" s="24">
        <f>$A6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6" s="24">
        <f>$A6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6" s="24">
        <f>$A6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6" s="24">
        <f>$A6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7">
      <c r="A7" s="40" t="n">
        <v>18</v>
      </c>
      <c r="B7" s="24">
        <f>$A7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7" s="24">
        <f>$A7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7" s="24">
        <f>$A7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7" s="24">
        <f>$A7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7" s="24">
        <f>$A7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8">
      <c r="A8" s="40" t="n">
        <v>20</v>
      </c>
      <c r="B8" s="24">
        <f>$A8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8" s="24">
        <f>$A8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8" s="24">
        <f>$A8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8" s="24">
        <f>$A8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8" s="24">
        <f>$A8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9">
      <c r="A9" s="40" t="n">
        <v>22</v>
      </c>
      <c r="B9" s="24">
        <f>$A9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9" s="24">
        <f>$A9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9" s="24">
        <f>$A9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9" s="24">
        <f>$A9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9" s="24">
        <f>$A9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10">
      <c r="A10" s="40" t="n">
        <v>26</v>
      </c>
      <c r="B10" s="24">
        <f>$A10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10" s="24">
        <f>$A10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10" s="24">
        <f>$A10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10" s="24">
        <f>$A10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10" s="24">
        <f>$A10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11">
      <c r="A11" s="40" t="n">
        <v>30</v>
      </c>
      <c r="B11" s="24">
        <f>$A11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11" s="24">
        <f>$A11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11" s="24">
        <f>$A11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11" s="24">
        <f>$A11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11" s="24">
        <f>$A11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12">
      <c r="A12" s="40" t="n">
        <v>35</v>
      </c>
      <c r="B12" s="24">
        <f>$A12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12" s="24">
        <f>$A12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12" s="24">
        <f>$A12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12" s="24">
        <f>$A12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12" s="24">
        <f>$A12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14">
      <c r="A14" s="33" t="inlineStr">
        <is>
          <t>Steady-state annual approximation: contribution = ADC × 365 × (net rate − variable/PD) less annual fixed cost. Base case ≈ ADC 22 @ $181.</t>
        </is>
      </c>
    </row>
    <row r="15"/>
  </sheetData>
  <mergeCells count="3">
    <mergeCell ref="A2:G2"/>
    <mergeCell ref="A14:G15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V18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41">
        <f>Inputs!$B$19</f>
        <v/>
      </c>
    </row>
    <row r="6">
      <c r="A6" s="4" t="inlineStr">
        <is>
          <t>Blended NET rate ($/PD)</t>
        </is>
      </c>
      <c r="B6" s="41">
        <f>Inputs!$B$20</f>
        <v/>
      </c>
    </row>
    <row r="8">
      <c r="A8" s="42" t="inlineStr">
        <is>
          <t>($ per period)</t>
        </is>
      </c>
      <c r="C8" s="43" t="inlineStr">
        <is>
          <t>YEAR 1 — monthly</t>
        </is>
      </c>
      <c r="O8" s="43" t="inlineStr">
        <is>
          <t>YEAR 2 — quarterly</t>
        </is>
      </c>
      <c r="S8" s="43" t="inlineStr">
        <is>
          <t>YEAR 3 — quarterly</t>
        </is>
      </c>
    </row>
    <row r="9">
      <c r="A9" s="44" t="inlineStr"/>
      <c r="C9" s="27" t="inlineStr">
        <is>
          <t>M1</t>
        </is>
      </c>
      <c r="D9" s="27" t="inlineStr">
        <is>
          <t>M2</t>
        </is>
      </c>
      <c r="E9" s="27" t="inlineStr">
        <is>
          <t>M3</t>
        </is>
      </c>
      <c r="F9" s="27" t="inlineStr">
        <is>
          <t>M4</t>
        </is>
      </c>
      <c r="G9" s="27" t="inlineStr">
        <is>
          <t>M5</t>
        </is>
      </c>
      <c r="H9" s="27" t="inlineStr">
        <is>
          <t>M6</t>
        </is>
      </c>
      <c r="I9" s="27" t="inlineStr">
        <is>
          <t>M7</t>
        </is>
      </c>
      <c r="J9" s="27" t="inlineStr">
        <is>
          <t>M8</t>
        </is>
      </c>
      <c r="K9" s="27" t="inlineStr">
        <is>
          <t>M9</t>
        </is>
      </c>
      <c r="L9" s="27" t="inlineStr">
        <is>
          <t>M10</t>
        </is>
      </c>
      <c r="M9" s="27" t="inlineStr">
        <is>
          <t>M11</t>
        </is>
      </c>
      <c r="N9" s="27" t="inlineStr">
        <is>
          <t>M12</t>
        </is>
      </c>
      <c r="O9" s="27" t="inlineStr">
        <is>
          <t>Y2 Q1</t>
        </is>
      </c>
      <c r="P9" s="27" t="inlineStr">
        <is>
          <t>Y2 Q2</t>
        </is>
      </c>
      <c r="Q9" s="27" t="inlineStr">
        <is>
          <t>Y2 Q3</t>
        </is>
      </c>
      <c r="R9" s="27" t="inlineStr">
        <is>
          <t>Y2 Q4</t>
        </is>
      </c>
      <c r="S9" s="27" t="inlineStr">
        <is>
          <t>Y3 Q1</t>
        </is>
      </c>
      <c r="T9" s="27" t="inlineStr">
        <is>
          <t>Y3 Q2</t>
        </is>
      </c>
      <c r="U9" s="27" t="inlineStr">
        <is>
          <t>Y3 Q3</t>
        </is>
      </c>
      <c r="V9" s="27" t="inlineStr">
        <is>
          <t>Y3 Q4</t>
        </is>
      </c>
    </row>
    <row r="10">
      <c r="A10" s="20" t="inlineStr">
        <is>
          <t>Average daily census (ADC)</t>
        </is>
      </c>
      <c r="C10" s="45">
        <f>Inputs!C$32</f>
        <v/>
      </c>
      <c r="D10" s="45">
        <f>Inputs!D$32</f>
        <v/>
      </c>
      <c r="E10" s="45">
        <f>Inputs!E$32</f>
        <v/>
      </c>
      <c r="F10" s="45">
        <f>Inputs!F$32</f>
        <v/>
      </c>
      <c r="G10" s="45">
        <f>Inputs!G$32</f>
        <v/>
      </c>
      <c r="H10" s="45">
        <f>Inputs!H$32</f>
        <v/>
      </c>
      <c r="I10" s="45">
        <f>Inputs!I$32</f>
        <v/>
      </c>
      <c r="J10" s="45">
        <f>Inputs!J$32</f>
        <v/>
      </c>
      <c r="K10" s="45">
        <f>Inputs!K$32</f>
        <v/>
      </c>
      <c r="L10" s="45">
        <f>Inputs!L$32</f>
        <v/>
      </c>
      <c r="M10" s="45">
        <f>Inputs!M$32</f>
        <v/>
      </c>
      <c r="N10" s="45">
        <f>Inputs!N$32</f>
        <v/>
      </c>
      <c r="O10" s="45">
        <f>Inputs!O$32</f>
        <v/>
      </c>
      <c r="P10" s="45">
        <f>Inputs!P$32</f>
        <v/>
      </c>
      <c r="Q10" s="45">
        <f>Inputs!Q$32</f>
        <v/>
      </c>
      <c r="R10" s="45">
        <f>Inputs!R$32</f>
        <v/>
      </c>
      <c r="S10" s="45">
        <f>Inputs!S$32</f>
        <v/>
      </c>
      <c r="T10" s="45">
        <f>Inputs!T$32</f>
        <v/>
      </c>
      <c r="U10" s="45">
        <f>Inputs!U$32</f>
        <v/>
      </c>
      <c r="V10" s="45">
        <f>Inputs!V$32</f>
        <v/>
      </c>
    </row>
    <row r="11">
      <c r="A11" s="20" t="inlineStr">
        <is>
          <t>Days in period</t>
        </is>
      </c>
      <c r="C11" s="45">
        <f>Inputs!$B$24*1</f>
        <v/>
      </c>
      <c r="D11" s="45">
        <f>Inputs!$B$24*1</f>
        <v/>
      </c>
      <c r="E11" s="45">
        <f>Inputs!$B$24*1</f>
        <v/>
      </c>
      <c r="F11" s="45">
        <f>Inputs!$B$24*1</f>
        <v/>
      </c>
      <c r="G11" s="45">
        <f>Inputs!$B$24*1</f>
        <v/>
      </c>
      <c r="H11" s="45">
        <f>Inputs!$B$24*1</f>
        <v/>
      </c>
      <c r="I11" s="45">
        <f>Inputs!$B$24*1</f>
        <v/>
      </c>
      <c r="J11" s="45">
        <f>Inputs!$B$24*1</f>
        <v/>
      </c>
      <c r="K11" s="45">
        <f>Inputs!$B$24*1</f>
        <v/>
      </c>
      <c r="L11" s="45">
        <f>Inputs!$B$24*1</f>
        <v/>
      </c>
      <c r="M11" s="45">
        <f>Inputs!$B$24*1</f>
        <v/>
      </c>
      <c r="N11" s="45">
        <f>Inputs!$B$24*1</f>
        <v/>
      </c>
      <c r="O11" s="45">
        <f>Inputs!$B$24*3</f>
        <v/>
      </c>
      <c r="P11" s="45">
        <f>Inputs!$B$24*3</f>
        <v/>
      </c>
      <c r="Q11" s="45">
        <f>Inputs!$B$24*3</f>
        <v/>
      </c>
      <c r="R11" s="45">
        <f>Inputs!$B$24*3</f>
        <v/>
      </c>
      <c r="S11" s="45">
        <f>Inputs!$B$24*3</f>
        <v/>
      </c>
      <c r="T11" s="45">
        <f>Inputs!$B$24*3</f>
        <v/>
      </c>
      <c r="U11" s="45">
        <f>Inputs!$B$24*3</f>
        <v/>
      </c>
      <c r="V11" s="45">
        <f>Inputs!$B$24*3</f>
        <v/>
      </c>
    </row>
    <row r="12">
      <c r="A12" s="28" t="inlineStr">
        <is>
          <t>Patient-days</t>
        </is>
      </c>
      <c r="C12" s="46">
        <f>C10*C11</f>
        <v/>
      </c>
      <c r="D12" s="46">
        <f>D10*D11</f>
        <v/>
      </c>
      <c r="E12" s="46">
        <f>E10*E11</f>
        <v/>
      </c>
      <c r="F12" s="46">
        <f>F10*F11</f>
        <v/>
      </c>
      <c r="G12" s="46">
        <f>G10*G11</f>
        <v/>
      </c>
      <c r="H12" s="46">
        <f>H10*H11</f>
        <v/>
      </c>
      <c r="I12" s="46">
        <f>I10*I11</f>
        <v/>
      </c>
      <c r="J12" s="46">
        <f>J10*J11</f>
        <v/>
      </c>
      <c r="K12" s="46">
        <f>K10*K11</f>
        <v/>
      </c>
      <c r="L12" s="46">
        <f>L10*L11</f>
        <v/>
      </c>
      <c r="M12" s="46">
        <f>M10*M11</f>
        <v/>
      </c>
      <c r="N12" s="46">
        <f>N10*N11</f>
        <v/>
      </c>
      <c r="O12" s="46">
        <f>O10*O11</f>
        <v/>
      </c>
      <c r="P12" s="46">
        <f>P10*P11</f>
        <v/>
      </c>
      <c r="Q12" s="46">
        <f>Q10*Q11</f>
        <v/>
      </c>
      <c r="R12" s="46">
        <f>R10*R11</f>
        <v/>
      </c>
      <c r="S12" s="46">
        <f>S10*S11</f>
        <v/>
      </c>
      <c r="T12" s="46">
        <f>T10*T11</f>
        <v/>
      </c>
      <c r="U12" s="46">
        <f>U10*U11</f>
        <v/>
      </c>
      <c r="V12" s="46">
        <f>V10*V11</f>
        <v/>
      </c>
    </row>
    <row r="13">
      <c r="A13" s="20" t="inlineStr">
        <is>
          <t>Gross Medicare revenue</t>
        </is>
      </c>
      <c r="C13" s="24">
        <f>C12*Inputs!$B$19</f>
        <v/>
      </c>
      <c r="D13" s="24">
        <f>D12*Inputs!$B$19</f>
        <v/>
      </c>
      <c r="E13" s="24">
        <f>E12*Inputs!$B$19</f>
        <v/>
      </c>
      <c r="F13" s="24">
        <f>F12*Inputs!$B$19</f>
        <v/>
      </c>
      <c r="G13" s="24">
        <f>G12*Inputs!$B$19</f>
        <v/>
      </c>
      <c r="H13" s="24">
        <f>H12*Inputs!$B$19</f>
        <v/>
      </c>
      <c r="I13" s="24">
        <f>I12*Inputs!$B$19</f>
        <v/>
      </c>
      <c r="J13" s="24">
        <f>J12*Inputs!$B$19</f>
        <v/>
      </c>
      <c r="K13" s="24">
        <f>K12*Inputs!$B$19</f>
        <v/>
      </c>
      <c r="L13" s="24">
        <f>L12*Inputs!$B$19</f>
        <v/>
      </c>
      <c r="M13" s="24">
        <f>M12*Inputs!$B$19</f>
        <v/>
      </c>
      <c r="N13" s="24">
        <f>N12*Inputs!$B$19</f>
        <v/>
      </c>
      <c r="O13" s="24">
        <f>O12*Inputs!$B$19</f>
        <v/>
      </c>
      <c r="P13" s="24">
        <f>P12*Inputs!$B$19</f>
        <v/>
      </c>
      <c r="Q13" s="24">
        <f>Q12*Inputs!$B$19</f>
        <v/>
      </c>
      <c r="R13" s="24">
        <f>R12*Inputs!$B$19</f>
        <v/>
      </c>
      <c r="S13" s="24">
        <f>S12*Inputs!$B$19</f>
        <v/>
      </c>
      <c r="T13" s="24">
        <f>T12*Inputs!$B$19</f>
        <v/>
      </c>
      <c r="U13" s="24">
        <f>U12*Inputs!$B$19</f>
        <v/>
      </c>
      <c r="V13" s="24">
        <f>V12*Inputs!$B$19</f>
        <v/>
      </c>
    </row>
    <row r="14">
      <c r="A14" s="4" t="inlineStr">
        <is>
          <t>Less: sequestration</t>
        </is>
      </c>
      <c r="C14" s="24">
        <f>-C13*Inputs!$B$10</f>
        <v/>
      </c>
      <c r="D14" s="24">
        <f>-D13*Inputs!$B$10</f>
        <v/>
      </c>
      <c r="E14" s="24">
        <f>-E13*Inputs!$B$10</f>
        <v/>
      </c>
      <c r="F14" s="24">
        <f>-F13*Inputs!$B$10</f>
        <v/>
      </c>
      <c r="G14" s="24">
        <f>-G13*Inputs!$B$10</f>
        <v/>
      </c>
      <c r="H14" s="24">
        <f>-H13*Inputs!$B$10</f>
        <v/>
      </c>
      <c r="I14" s="24">
        <f>-I13*Inputs!$B$10</f>
        <v/>
      </c>
      <c r="J14" s="24">
        <f>-J13*Inputs!$B$10</f>
        <v/>
      </c>
      <c r="K14" s="24">
        <f>-K13*Inputs!$B$10</f>
        <v/>
      </c>
      <c r="L14" s="24">
        <f>-L13*Inputs!$B$10</f>
        <v/>
      </c>
      <c r="M14" s="24">
        <f>-M13*Inputs!$B$10</f>
        <v/>
      </c>
      <c r="N14" s="24">
        <f>-N13*Inputs!$B$10</f>
        <v/>
      </c>
      <c r="O14" s="24">
        <f>-O13*Inputs!$B$10</f>
        <v/>
      </c>
      <c r="P14" s="24">
        <f>-P13*Inputs!$B$10</f>
        <v/>
      </c>
      <c r="Q14" s="24">
        <f>-Q13*Inputs!$B$10</f>
        <v/>
      </c>
      <c r="R14" s="24">
        <f>-R13*Inputs!$B$10</f>
        <v/>
      </c>
      <c r="S14" s="24">
        <f>-S13*Inputs!$B$10</f>
        <v/>
      </c>
      <c r="T14" s="24">
        <f>-T13*Inputs!$B$10</f>
        <v/>
      </c>
      <c r="U14" s="24">
        <f>-U13*Inputs!$B$10</f>
        <v/>
      </c>
      <c r="V14" s="24">
        <f>-V13*Inputs!$B$10</f>
        <v/>
      </c>
    </row>
    <row r="15">
      <c r="A15" s="4" t="inlineStr">
        <is>
          <t>Less: write-offs</t>
        </is>
      </c>
      <c r="C15" s="24">
        <f>-C13*Inputs!$B$11</f>
        <v/>
      </c>
      <c r="D15" s="24">
        <f>-D13*Inputs!$B$11</f>
        <v/>
      </c>
      <c r="E15" s="24">
        <f>-E13*Inputs!$B$11</f>
        <v/>
      </c>
      <c r="F15" s="24">
        <f>-F13*Inputs!$B$11</f>
        <v/>
      </c>
      <c r="G15" s="24">
        <f>-G13*Inputs!$B$11</f>
        <v/>
      </c>
      <c r="H15" s="24">
        <f>-H13*Inputs!$B$11</f>
        <v/>
      </c>
      <c r="I15" s="24">
        <f>-I13*Inputs!$B$11</f>
        <v/>
      </c>
      <c r="J15" s="24">
        <f>-J13*Inputs!$B$11</f>
        <v/>
      </c>
      <c r="K15" s="24">
        <f>-K13*Inputs!$B$11</f>
        <v/>
      </c>
      <c r="L15" s="24">
        <f>-L13*Inputs!$B$11</f>
        <v/>
      </c>
      <c r="M15" s="24">
        <f>-M13*Inputs!$B$11</f>
        <v/>
      </c>
      <c r="N15" s="24">
        <f>-N13*Inputs!$B$11</f>
        <v/>
      </c>
      <c r="O15" s="24">
        <f>-O13*Inputs!$B$11</f>
        <v/>
      </c>
      <c r="P15" s="24">
        <f>-P13*Inputs!$B$11</f>
        <v/>
      </c>
      <c r="Q15" s="24">
        <f>-Q13*Inputs!$B$11</f>
        <v/>
      </c>
      <c r="R15" s="24">
        <f>-R13*Inputs!$B$11</f>
        <v/>
      </c>
      <c r="S15" s="24">
        <f>-S13*Inputs!$B$11</f>
        <v/>
      </c>
      <c r="T15" s="24">
        <f>-T13*Inputs!$B$11</f>
        <v/>
      </c>
      <c r="U15" s="24">
        <f>-U13*Inputs!$B$11</f>
        <v/>
      </c>
      <c r="V15" s="24">
        <f>-V13*Inputs!$B$11</f>
        <v/>
      </c>
    </row>
    <row r="16">
      <c r="A16" s="28" t="inlineStr">
        <is>
          <t>NET REVENUE</t>
        </is>
      </c>
      <c r="C16" s="29">
        <f>C13*(1-Inputs!$B$10-Inputs!$B$11)</f>
        <v/>
      </c>
      <c r="D16" s="29">
        <f>D13*(1-Inputs!$B$10-Inputs!$B$11)</f>
        <v/>
      </c>
      <c r="E16" s="29">
        <f>E13*(1-Inputs!$B$10-Inputs!$B$11)</f>
        <v/>
      </c>
      <c r="F16" s="29">
        <f>F13*(1-Inputs!$B$10-Inputs!$B$11)</f>
        <v/>
      </c>
      <c r="G16" s="29">
        <f>G13*(1-Inputs!$B$10-Inputs!$B$11)</f>
        <v/>
      </c>
      <c r="H16" s="29">
        <f>H13*(1-Inputs!$B$10-Inputs!$B$11)</f>
        <v/>
      </c>
      <c r="I16" s="29">
        <f>I13*(1-Inputs!$B$10-Inputs!$B$11)</f>
        <v/>
      </c>
      <c r="J16" s="29">
        <f>J13*(1-Inputs!$B$10-Inputs!$B$11)</f>
        <v/>
      </c>
      <c r="K16" s="29">
        <f>K13*(1-Inputs!$B$10-Inputs!$B$11)</f>
        <v/>
      </c>
      <c r="L16" s="29">
        <f>L13*(1-Inputs!$B$10-Inputs!$B$11)</f>
        <v/>
      </c>
      <c r="M16" s="29">
        <f>M13*(1-Inputs!$B$10-Inputs!$B$11)</f>
        <v/>
      </c>
      <c r="N16" s="29">
        <f>N13*(1-Inputs!$B$10-Inputs!$B$11)</f>
        <v/>
      </c>
      <c r="O16" s="29">
        <f>O13*(1-Inputs!$B$10-Inputs!$B$11)</f>
        <v/>
      </c>
      <c r="P16" s="29">
        <f>P13*(1-Inputs!$B$10-Inputs!$B$11)</f>
        <v/>
      </c>
      <c r="Q16" s="29">
        <f>Q13*(1-Inputs!$B$10-Inputs!$B$11)</f>
        <v/>
      </c>
      <c r="R16" s="29">
        <f>R13*(1-Inputs!$B$10-Inputs!$B$11)</f>
        <v/>
      </c>
      <c r="S16" s="29">
        <f>S13*(1-Inputs!$B$10-Inputs!$B$11)</f>
        <v/>
      </c>
      <c r="T16" s="29">
        <f>T13*(1-Inputs!$B$10-Inputs!$B$11)</f>
        <v/>
      </c>
      <c r="U16" s="29">
        <f>U13*(1-Inputs!$B$10-Inputs!$B$11)</f>
        <v/>
      </c>
      <c r="V16" s="29">
        <f>V13*(1-Inputs!$B$10-Inputs!$B$11)</f>
        <v/>
      </c>
    </row>
    <row r="18">
      <c r="A18" s="21" t="inlineStr">
        <is>
          <t>Memo: net revenue per patient-day</t>
        </is>
      </c>
      <c r="C18" s="11">
        <f>IF(C12=0,0,C16/C12)</f>
        <v/>
      </c>
      <c r="D18" s="11">
        <f>IF(D12=0,0,D16/D12)</f>
        <v/>
      </c>
      <c r="E18" s="11">
        <f>IF(E12=0,0,E16/E12)</f>
        <v/>
      </c>
      <c r="F18" s="11">
        <f>IF(F12=0,0,F16/F12)</f>
        <v/>
      </c>
      <c r="G18" s="11">
        <f>IF(G12=0,0,G16/G12)</f>
        <v/>
      </c>
      <c r="H18" s="11">
        <f>IF(H12=0,0,H16/H12)</f>
        <v/>
      </c>
      <c r="I18" s="11">
        <f>IF(I12=0,0,I16/I12)</f>
        <v/>
      </c>
      <c r="J18" s="11">
        <f>IF(J12=0,0,J16/J12)</f>
        <v/>
      </c>
      <c r="K18" s="11">
        <f>IF(K12=0,0,K16/K12)</f>
        <v/>
      </c>
      <c r="L18" s="11">
        <f>IF(L12=0,0,L16/L12)</f>
        <v/>
      </c>
      <c r="M18" s="11">
        <f>IF(M12=0,0,M16/M12)</f>
        <v/>
      </c>
      <c r="N18" s="11">
        <f>IF(N12=0,0,N16/N12)</f>
        <v/>
      </c>
      <c r="O18" s="11">
        <f>IF(O12=0,0,O16/O12)</f>
        <v/>
      </c>
      <c r="P18" s="11">
        <f>IF(P12=0,0,P16/P12)</f>
        <v/>
      </c>
      <c r="Q18" s="11">
        <f>IF(Q12=0,0,Q16/Q12)</f>
        <v/>
      </c>
      <c r="R18" s="11">
        <f>IF(R12=0,0,R16/R12)</f>
        <v/>
      </c>
      <c r="S18" s="11">
        <f>IF(S12=0,0,S16/S12)</f>
        <v/>
      </c>
      <c r="T18" s="11">
        <f>IF(T12=0,0,T16/T12)</f>
        <v/>
      </c>
      <c r="U18" s="11">
        <f>IF(U12=0,0,U16/U12)</f>
        <v/>
      </c>
      <c r="V18" s="11">
        <f>IF(V12=0,0,V16/V12)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2" t="inlineStr">
        <is>
          <t>($ per period)</t>
        </is>
      </c>
      <c r="C4" s="43" t="inlineStr">
        <is>
          <t>YEAR 1 — monthly</t>
        </is>
      </c>
      <c r="O4" s="43" t="inlineStr">
        <is>
          <t>YEAR 2 — quarterly</t>
        </is>
      </c>
      <c r="S4" s="43" t="inlineStr">
        <is>
          <t>YEAR 3 — quarterly</t>
        </is>
      </c>
    </row>
    <row r="5">
      <c r="A5" s="44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21" t="inlineStr">
        <is>
          <t>ADC (driver)</t>
        </is>
      </c>
      <c r="C6" s="45">
        <f>'Revenue Model'!C10</f>
        <v/>
      </c>
      <c r="D6" s="45">
        <f>'Revenue Model'!D10</f>
        <v/>
      </c>
      <c r="E6" s="45">
        <f>'Revenue Model'!E10</f>
        <v/>
      </c>
      <c r="F6" s="45">
        <f>'Revenue Model'!F10</f>
        <v/>
      </c>
      <c r="G6" s="45">
        <f>'Revenue Model'!G10</f>
        <v/>
      </c>
      <c r="H6" s="45">
        <f>'Revenue Model'!H10</f>
        <v/>
      </c>
      <c r="I6" s="45">
        <f>'Revenue Model'!I10</f>
        <v/>
      </c>
      <c r="J6" s="45">
        <f>'Revenue Model'!J10</f>
        <v/>
      </c>
      <c r="K6" s="45">
        <f>'Revenue Model'!K10</f>
        <v/>
      </c>
      <c r="L6" s="45">
        <f>'Revenue Model'!L10</f>
        <v/>
      </c>
      <c r="M6" s="45">
        <f>'Revenue Model'!M10</f>
        <v/>
      </c>
      <c r="N6" s="45">
        <f>'Revenue Model'!N10</f>
        <v/>
      </c>
      <c r="O6" s="45">
        <f>'Revenue Model'!O10</f>
        <v/>
      </c>
      <c r="P6" s="45">
        <f>'Revenue Model'!P10</f>
        <v/>
      </c>
      <c r="Q6" s="45">
        <f>'Revenue Model'!Q10</f>
        <v/>
      </c>
      <c r="R6" s="45">
        <f>'Revenue Model'!R10</f>
        <v/>
      </c>
      <c r="S6" s="45">
        <f>'Revenue Model'!S10</f>
        <v/>
      </c>
      <c r="T6" s="45">
        <f>'Revenue Model'!T10</f>
        <v/>
      </c>
      <c r="U6" s="45">
        <f>'Revenue Model'!U10</f>
        <v/>
      </c>
      <c r="V6" s="45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IF(1&gt;=Inputs!$D$36,Inputs!$C$36/12*1*1,0)</f>
        <v/>
      </c>
      <c r="D8" s="24">
        <f>IF(2&gt;=Inputs!$D$36,Inputs!$C$36/12*1*1,0)</f>
        <v/>
      </c>
      <c r="E8" s="24">
        <f>IF(3&gt;=Inputs!$D$36,Inputs!$C$36/12*1*1,0)</f>
        <v/>
      </c>
      <c r="F8" s="24">
        <f>IF(4&gt;=Inputs!$D$36,Inputs!$C$36/12*1*1,0)</f>
        <v/>
      </c>
      <c r="G8" s="24">
        <f>IF(5&gt;=Inputs!$D$36,Inputs!$C$36/12*1*1,0)</f>
        <v/>
      </c>
      <c r="H8" s="24">
        <f>IF(6&gt;=Inputs!$D$36,Inputs!$C$36/12*1*1,0)</f>
        <v/>
      </c>
      <c r="I8" s="24">
        <f>IF(7&gt;=Inputs!$D$36,Inputs!$C$36/12*1*1,0)</f>
        <v/>
      </c>
      <c r="J8" s="24">
        <f>IF(8&gt;=Inputs!$D$36,Inputs!$C$36/12*1*1,0)</f>
        <v/>
      </c>
      <c r="K8" s="24">
        <f>IF(9&gt;=Inputs!$D$36,Inputs!$C$36/12*1*1,0)</f>
        <v/>
      </c>
      <c r="L8" s="24">
        <f>IF(10&gt;=Inputs!$D$36,Inputs!$C$36/12*1*1,0)</f>
        <v/>
      </c>
      <c r="M8" s="24">
        <f>IF(11&gt;=Inputs!$D$36,Inputs!$C$36/12*1*1,0)</f>
        <v/>
      </c>
      <c r="N8" s="24">
        <f>IF(12&gt;=Inputs!$D$36,Inputs!$C$36/12*1*1,0)</f>
        <v/>
      </c>
      <c r="O8" s="24">
        <f>IF(15&gt;=Inputs!$D$36,Inputs!$C$36/12*3*(1+Inputs!$B$57)^1,0)</f>
        <v/>
      </c>
      <c r="P8" s="24">
        <f>IF(18&gt;=Inputs!$D$36,Inputs!$C$36/12*3*(1+Inputs!$B$57)^1,0)</f>
        <v/>
      </c>
      <c r="Q8" s="24">
        <f>IF(21&gt;=Inputs!$D$36,Inputs!$C$36/12*3*(1+Inputs!$B$57)^1,0)</f>
        <v/>
      </c>
      <c r="R8" s="24">
        <f>IF(24&gt;=Inputs!$D$36,Inputs!$C$36/12*3*(1+Inputs!$B$57)^1,0)</f>
        <v/>
      </c>
      <c r="S8" s="24">
        <f>IF(27&gt;=Inputs!$D$36,Inputs!$C$36/12*3*(1+Inputs!$B$57)^2,0)</f>
        <v/>
      </c>
      <c r="T8" s="24">
        <f>IF(30&gt;=Inputs!$D$36,Inputs!$C$36/12*3*(1+Inputs!$B$57)^2,0)</f>
        <v/>
      </c>
      <c r="U8" s="24">
        <f>IF(33&gt;=Inputs!$D$36,Inputs!$C$36/12*3*(1+Inputs!$B$57)^2,0)</f>
        <v/>
      </c>
      <c r="V8" s="24">
        <f>IF(36&gt;=Inputs!$D$36,Inputs!$C$36/12*3*(1+Inputs!$B$57)^2,0)</f>
        <v/>
      </c>
    </row>
    <row r="9">
      <c r="A9" s="4" t="inlineStr">
        <is>
          <t>Angie Frost — RN Case Manager</t>
        </is>
      </c>
      <c r="C9" s="24">
        <f>IF(1&gt;=Inputs!$D$37,Inputs!$C$37/12*1*1,0)</f>
        <v/>
      </c>
      <c r="D9" s="24">
        <f>IF(2&gt;=Inputs!$D$37,Inputs!$C$37/12*1*1,0)</f>
        <v/>
      </c>
      <c r="E9" s="24">
        <f>IF(3&gt;=Inputs!$D$37,Inputs!$C$37/12*1*1,0)</f>
        <v/>
      </c>
      <c r="F9" s="24">
        <f>IF(4&gt;=Inputs!$D$37,Inputs!$C$37/12*1*1,0)</f>
        <v/>
      </c>
      <c r="G9" s="24">
        <f>IF(5&gt;=Inputs!$D$37,Inputs!$C$37/12*1*1,0)</f>
        <v/>
      </c>
      <c r="H9" s="24">
        <f>IF(6&gt;=Inputs!$D$37,Inputs!$C$37/12*1*1,0)</f>
        <v/>
      </c>
      <c r="I9" s="24">
        <f>IF(7&gt;=Inputs!$D$37,Inputs!$C$37/12*1*1,0)</f>
        <v/>
      </c>
      <c r="J9" s="24">
        <f>IF(8&gt;=Inputs!$D$37,Inputs!$C$37/12*1*1,0)</f>
        <v/>
      </c>
      <c r="K9" s="24">
        <f>IF(9&gt;=Inputs!$D$37,Inputs!$C$37/12*1*1,0)</f>
        <v/>
      </c>
      <c r="L9" s="24">
        <f>IF(10&gt;=Inputs!$D$37,Inputs!$C$37/12*1*1,0)</f>
        <v/>
      </c>
      <c r="M9" s="24">
        <f>IF(11&gt;=Inputs!$D$37,Inputs!$C$37/12*1*1,0)</f>
        <v/>
      </c>
      <c r="N9" s="24">
        <f>IF(12&gt;=Inputs!$D$37,Inputs!$C$37/12*1*1,0)</f>
        <v/>
      </c>
      <c r="O9" s="24">
        <f>IF(15&gt;=Inputs!$D$37,Inputs!$C$37/12*3*(1+Inputs!$B$57)^1,0)</f>
        <v/>
      </c>
      <c r="P9" s="24">
        <f>IF(18&gt;=Inputs!$D$37,Inputs!$C$37/12*3*(1+Inputs!$B$57)^1,0)</f>
        <v/>
      </c>
      <c r="Q9" s="24">
        <f>IF(21&gt;=Inputs!$D$37,Inputs!$C$37/12*3*(1+Inputs!$B$57)^1,0)</f>
        <v/>
      </c>
      <c r="R9" s="24">
        <f>IF(24&gt;=Inputs!$D$37,Inputs!$C$37/12*3*(1+Inputs!$B$57)^1,0)</f>
        <v/>
      </c>
      <c r="S9" s="24">
        <f>IF(27&gt;=Inputs!$D$37,Inputs!$C$37/12*3*(1+Inputs!$B$57)^2,0)</f>
        <v/>
      </c>
      <c r="T9" s="24">
        <f>IF(30&gt;=Inputs!$D$37,Inputs!$C$37/12*3*(1+Inputs!$B$57)^2,0)</f>
        <v/>
      </c>
      <c r="U9" s="24">
        <f>IF(33&gt;=Inputs!$D$37,Inputs!$C$37/12*3*(1+Inputs!$B$57)^2,0)</f>
        <v/>
      </c>
      <c r="V9" s="24">
        <f>IF(36&gt;=Inputs!$D$37,Inputs!$C$37/12*3*(1+Inputs!$B$57)^2,0)</f>
        <v/>
      </c>
    </row>
    <row r="10">
      <c r="A10" s="4" t="inlineStr">
        <is>
          <t>Tanisha Robison — CNA / Hospice Aide</t>
        </is>
      </c>
      <c r="C10" s="24">
        <f>IF(1&gt;=Inputs!$D$38,Inputs!$C$38/12*1*1,0)</f>
        <v/>
      </c>
      <c r="D10" s="24">
        <f>IF(2&gt;=Inputs!$D$38,Inputs!$C$38/12*1*1,0)</f>
        <v/>
      </c>
      <c r="E10" s="24">
        <f>IF(3&gt;=Inputs!$D$38,Inputs!$C$38/12*1*1,0)</f>
        <v/>
      </c>
      <c r="F10" s="24">
        <f>IF(4&gt;=Inputs!$D$38,Inputs!$C$38/12*1*1,0)</f>
        <v/>
      </c>
      <c r="G10" s="24">
        <f>IF(5&gt;=Inputs!$D$38,Inputs!$C$38/12*1*1,0)</f>
        <v/>
      </c>
      <c r="H10" s="24">
        <f>IF(6&gt;=Inputs!$D$38,Inputs!$C$38/12*1*1,0)</f>
        <v/>
      </c>
      <c r="I10" s="24">
        <f>IF(7&gt;=Inputs!$D$38,Inputs!$C$38/12*1*1,0)</f>
        <v/>
      </c>
      <c r="J10" s="24">
        <f>IF(8&gt;=Inputs!$D$38,Inputs!$C$38/12*1*1,0)</f>
        <v/>
      </c>
      <c r="K10" s="24">
        <f>IF(9&gt;=Inputs!$D$38,Inputs!$C$38/12*1*1,0)</f>
        <v/>
      </c>
      <c r="L10" s="24">
        <f>IF(10&gt;=Inputs!$D$38,Inputs!$C$38/12*1*1,0)</f>
        <v/>
      </c>
      <c r="M10" s="24">
        <f>IF(11&gt;=Inputs!$D$38,Inputs!$C$38/12*1*1,0)</f>
        <v/>
      </c>
      <c r="N10" s="24">
        <f>IF(12&gt;=Inputs!$D$38,Inputs!$C$38/12*1*1,0)</f>
        <v/>
      </c>
      <c r="O10" s="24">
        <f>IF(15&gt;=Inputs!$D$38,Inputs!$C$38/12*3*(1+Inputs!$B$57)^1,0)</f>
        <v/>
      </c>
      <c r="P10" s="24">
        <f>IF(18&gt;=Inputs!$D$38,Inputs!$C$38/12*3*(1+Inputs!$B$57)^1,0)</f>
        <v/>
      </c>
      <c r="Q10" s="24">
        <f>IF(21&gt;=Inputs!$D$38,Inputs!$C$38/12*3*(1+Inputs!$B$57)^1,0)</f>
        <v/>
      </c>
      <c r="R10" s="24">
        <f>IF(24&gt;=Inputs!$D$38,Inputs!$C$38/12*3*(1+Inputs!$B$57)^1,0)</f>
        <v/>
      </c>
      <c r="S10" s="24">
        <f>IF(27&gt;=Inputs!$D$38,Inputs!$C$38/12*3*(1+Inputs!$B$57)^2,0)</f>
        <v/>
      </c>
      <c r="T10" s="24">
        <f>IF(30&gt;=Inputs!$D$38,Inputs!$C$38/12*3*(1+Inputs!$B$57)^2,0)</f>
        <v/>
      </c>
      <c r="U10" s="24">
        <f>IF(33&gt;=Inputs!$D$38,Inputs!$C$38/12*3*(1+Inputs!$B$57)^2,0)</f>
        <v/>
      </c>
      <c r="V10" s="24">
        <f>IF(36&gt;=Inputs!$D$38,Inputs!$C$38/12*3*(1+Inputs!$B$57)^2,0)</f>
        <v/>
      </c>
    </row>
    <row r="11">
      <c r="A11" s="4" t="inlineStr">
        <is>
          <t>Dana Davenport — Director of Clinical Services</t>
        </is>
      </c>
      <c r="C11" s="24">
        <f>IF(1&gt;=Inputs!$D$39,Inputs!$C$39/12*1*1,0)</f>
        <v/>
      </c>
      <c r="D11" s="24">
        <f>IF(2&gt;=Inputs!$D$39,Inputs!$C$39/12*1*1,0)</f>
        <v/>
      </c>
      <c r="E11" s="24">
        <f>IF(3&gt;=Inputs!$D$39,Inputs!$C$39/12*1*1,0)</f>
        <v/>
      </c>
      <c r="F11" s="24">
        <f>IF(4&gt;=Inputs!$D$39,Inputs!$C$39/12*1*1,0)</f>
        <v/>
      </c>
      <c r="G11" s="24">
        <f>IF(5&gt;=Inputs!$D$39,Inputs!$C$39/12*1*1,0)</f>
        <v/>
      </c>
      <c r="H11" s="24">
        <f>IF(6&gt;=Inputs!$D$39,Inputs!$C$39/12*1*1,0)</f>
        <v/>
      </c>
      <c r="I11" s="24">
        <f>IF(7&gt;=Inputs!$D$39,Inputs!$C$39/12*1*1,0)</f>
        <v/>
      </c>
      <c r="J11" s="24">
        <f>IF(8&gt;=Inputs!$D$39,Inputs!$C$39/12*1*1,0)</f>
        <v/>
      </c>
      <c r="K11" s="24">
        <f>IF(9&gt;=Inputs!$D$39,Inputs!$C$39/12*1*1,0)</f>
        <v/>
      </c>
      <c r="L11" s="24">
        <f>IF(10&gt;=Inputs!$D$39,Inputs!$C$39/12*1*1,0)</f>
        <v/>
      </c>
      <c r="M11" s="24">
        <f>IF(11&gt;=Inputs!$D$39,Inputs!$C$39/12*1*1,0)</f>
        <v/>
      </c>
      <c r="N11" s="24">
        <f>IF(12&gt;=Inputs!$D$39,Inputs!$C$39/12*1*1,0)</f>
        <v/>
      </c>
      <c r="O11" s="24">
        <f>IF(15&gt;=Inputs!$D$39,Inputs!$C$39/12*3*(1+Inputs!$B$57)^1,0)</f>
        <v/>
      </c>
      <c r="P11" s="24">
        <f>IF(18&gt;=Inputs!$D$39,Inputs!$C$39/12*3*(1+Inputs!$B$57)^1,0)</f>
        <v/>
      </c>
      <c r="Q11" s="24">
        <f>IF(21&gt;=Inputs!$D$39,Inputs!$C$39/12*3*(1+Inputs!$B$57)^1,0)</f>
        <v/>
      </c>
      <c r="R11" s="24">
        <f>IF(24&gt;=Inputs!$D$39,Inputs!$C$39/12*3*(1+Inputs!$B$57)^1,0)</f>
        <v/>
      </c>
      <c r="S11" s="24">
        <f>IF(27&gt;=Inputs!$D$39,Inputs!$C$39/12*3*(1+Inputs!$B$57)^2,0)</f>
        <v/>
      </c>
      <c r="T11" s="24">
        <f>IF(30&gt;=Inputs!$D$39,Inputs!$C$39/12*3*(1+Inputs!$B$57)^2,0)</f>
        <v/>
      </c>
      <c r="U11" s="24">
        <f>IF(33&gt;=Inputs!$D$39,Inputs!$C$39/12*3*(1+Inputs!$B$57)^2,0)</f>
        <v/>
      </c>
      <c r="V11" s="24">
        <f>IF(36&gt;=Inputs!$D$39,Inputs!$C$39/12*3*(1+Inputs!$B$57)^2,0)</f>
        <v/>
      </c>
    </row>
    <row r="12">
      <c r="A12" s="4" t="inlineStr">
        <is>
          <t>Silas Shelton — Administrator</t>
        </is>
      </c>
      <c r="C12" s="24">
        <f>IF(1&gt;=Inputs!$D$40,Inputs!$C$40/12*1*1,0)</f>
        <v/>
      </c>
      <c r="D12" s="24">
        <f>IF(2&gt;=Inputs!$D$40,Inputs!$C$40/12*1*1,0)</f>
        <v/>
      </c>
      <c r="E12" s="24">
        <f>IF(3&gt;=Inputs!$D$40,Inputs!$C$40/12*1*1,0)</f>
        <v/>
      </c>
      <c r="F12" s="24">
        <f>IF(4&gt;=Inputs!$D$40,Inputs!$C$40/12*1*1,0)</f>
        <v/>
      </c>
      <c r="G12" s="24">
        <f>IF(5&gt;=Inputs!$D$40,Inputs!$C$40/12*1*1,0)</f>
        <v/>
      </c>
      <c r="H12" s="24">
        <f>IF(6&gt;=Inputs!$D$40,Inputs!$C$40/12*1*1,0)</f>
        <v/>
      </c>
      <c r="I12" s="24">
        <f>IF(7&gt;=Inputs!$D$40,Inputs!$C$40/12*1*1,0)</f>
        <v/>
      </c>
      <c r="J12" s="24">
        <f>IF(8&gt;=Inputs!$D$40,Inputs!$C$40/12*1*1,0)</f>
        <v/>
      </c>
      <c r="K12" s="24">
        <f>IF(9&gt;=Inputs!$D$40,Inputs!$C$40/12*1*1,0)</f>
        <v/>
      </c>
      <c r="L12" s="24">
        <f>IF(10&gt;=Inputs!$D$40,Inputs!$C$40/12*1*1,0)</f>
        <v/>
      </c>
      <c r="M12" s="24">
        <f>IF(11&gt;=Inputs!$D$40,Inputs!$C$40/12*1*1,0)</f>
        <v/>
      </c>
      <c r="N12" s="24">
        <f>IF(12&gt;=Inputs!$D$40,Inputs!$C$40/12*1*1,0)</f>
        <v/>
      </c>
      <c r="O12" s="24">
        <f>IF(15&gt;=Inputs!$D$40,Inputs!$C$40/12*3*(1+Inputs!$B$57)^1,0)</f>
        <v/>
      </c>
      <c r="P12" s="24">
        <f>IF(18&gt;=Inputs!$D$40,Inputs!$C$40/12*3*(1+Inputs!$B$57)^1,0)</f>
        <v/>
      </c>
      <c r="Q12" s="24">
        <f>IF(21&gt;=Inputs!$D$40,Inputs!$C$40/12*3*(1+Inputs!$B$57)^1,0)</f>
        <v/>
      </c>
      <c r="R12" s="24">
        <f>IF(24&gt;=Inputs!$D$40,Inputs!$C$40/12*3*(1+Inputs!$B$57)^1,0)</f>
        <v/>
      </c>
      <c r="S12" s="24">
        <f>IF(27&gt;=Inputs!$D$40,Inputs!$C$40/12*3*(1+Inputs!$B$57)^2,0)</f>
        <v/>
      </c>
      <c r="T12" s="24">
        <f>IF(30&gt;=Inputs!$D$40,Inputs!$C$40/12*3*(1+Inputs!$B$57)^2,0)</f>
        <v/>
      </c>
      <c r="U12" s="24">
        <f>IF(33&gt;=Inputs!$D$40,Inputs!$C$40/12*3*(1+Inputs!$B$57)^2,0)</f>
        <v/>
      </c>
      <c r="V12" s="24">
        <f>IF(36&gt;=Inputs!$D$40,Inputs!$C$40/12*3*(1+Inputs!$B$57)^2,0)</f>
        <v/>
      </c>
    </row>
    <row r="13">
      <c r="A13" s="14" t="inlineStr">
        <is>
          <t>Jodi McCollum — RN Case Manager (2nd seat) [OPEN REQ]</t>
        </is>
      </c>
      <c r="C13" s="24">
        <f>IF(1&gt;=Inputs!$D$41,Inputs!$C$41/12*1*1,0)</f>
        <v/>
      </c>
      <c r="D13" s="24">
        <f>IF(2&gt;=Inputs!$D$41,Inputs!$C$41/12*1*1,0)</f>
        <v/>
      </c>
      <c r="E13" s="24">
        <f>IF(3&gt;=Inputs!$D$41,Inputs!$C$41/12*1*1,0)</f>
        <v/>
      </c>
      <c r="F13" s="24">
        <f>IF(4&gt;=Inputs!$D$41,Inputs!$C$41/12*1*1,0)</f>
        <v/>
      </c>
      <c r="G13" s="24">
        <f>IF(5&gt;=Inputs!$D$41,Inputs!$C$41/12*1*1,0)</f>
        <v/>
      </c>
      <c r="H13" s="24">
        <f>IF(6&gt;=Inputs!$D$41,Inputs!$C$41/12*1*1,0)</f>
        <v/>
      </c>
      <c r="I13" s="24">
        <f>IF(7&gt;=Inputs!$D$41,Inputs!$C$41/12*1*1,0)</f>
        <v/>
      </c>
      <c r="J13" s="24">
        <f>IF(8&gt;=Inputs!$D$41,Inputs!$C$41/12*1*1,0)</f>
        <v/>
      </c>
      <c r="K13" s="24">
        <f>IF(9&gt;=Inputs!$D$41,Inputs!$C$41/12*1*1,0)</f>
        <v/>
      </c>
      <c r="L13" s="24">
        <f>IF(10&gt;=Inputs!$D$41,Inputs!$C$41/12*1*1,0)</f>
        <v/>
      </c>
      <c r="M13" s="24">
        <f>IF(11&gt;=Inputs!$D$41,Inputs!$C$41/12*1*1,0)</f>
        <v/>
      </c>
      <c r="N13" s="24">
        <f>IF(12&gt;=Inputs!$D$41,Inputs!$C$41/12*1*1,0)</f>
        <v/>
      </c>
      <c r="O13" s="24">
        <f>IF(15&gt;=Inputs!$D$41,Inputs!$C$41/12*3*(1+Inputs!$B$57)^1,0)</f>
        <v/>
      </c>
      <c r="P13" s="24">
        <f>IF(18&gt;=Inputs!$D$41,Inputs!$C$41/12*3*(1+Inputs!$B$57)^1,0)</f>
        <v/>
      </c>
      <c r="Q13" s="24">
        <f>IF(21&gt;=Inputs!$D$41,Inputs!$C$41/12*3*(1+Inputs!$B$57)^1,0)</f>
        <v/>
      </c>
      <c r="R13" s="24">
        <f>IF(24&gt;=Inputs!$D$41,Inputs!$C$41/12*3*(1+Inputs!$B$57)^1,0)</f>
        <v/>
      </c>
      <c r="S13" s="24">
        <f>IF(27&gt;=Inputs!$D$41,Inputs!$C$41/12*3*(1+Inputs!$B$57)^2,0)</f>
        <v/>
      </c>
      <c r="T13" s="24">
        <f>IF(30&gt;=Inputs!$D$41,Inputs!$C$41/12*3*(1+Inputs!$B$57)^2,0)</f>
        <v/>
      </c>
      <c r="U13" s="24">
        <f>IF(33&gt;=Inputs!$D$41,Inputs!$C$41/12*3*(1+Inputs!$B$57)^2,0)</f>
        <v/>
      </c>
      <c r="V13" s="24">
        <f>IF(36&gt;=Inputs!$D$41,Inputs!$C$41/12*3*(1+Inputs!$B$57)^2,0)</f>
        <v/>
      </c>
    </row>
    <row r="14">
      <c r="A14" s="28" t="inlineStr">
        <is>
          <t>Subtotal — direct-care FT salaries</t>
        </is>
      </c>
      <c r="C14" s="23">
        <f>C9+C10+C13</f>
        <v/>
      </c>
      <c r="D14" s="23">
        <f>D9+D10+D13</f>
        <v/>
      </c>
      <c r="E14" s="23">
        <f>E9+E10+E13</f>
        <v/>
      </c>
      <c r="F14" s="23">
        <f>F9+F10+F13</f>
        <v/>
      </c>
      <c r="G14" s="23">
        <f>G9+G10+G13</f>
        <v/>
      </c>
      <c r="H14" s="23">
        <f>H9+H10+H13</f>
        <v/>
      </c>
      <c r="I14" s="23">
        <f>I9+I10+I13</f>
        <v/>
      </c>
      <c r="J14" s="23">
        <f>J9+J10+J13</f>
        <v/>
      </c>
      <c r="K14" s="23">
        <f>K9+K10+K13</f>
        <v/>
      </c>
      <c r="L14" s="23">
        <f>L9+L10+L13</f>
        <v/>
      </c>
      <c r="M14" s="23">
        <f>M9+M10+M13</f>
        <v/>
      </c>
      <c r="N14" s="23">
        <f>N9+N10+N13</f>
        <v/>
      </c>
      <c r="O14" s="23">
        <f>O9+O10+O13</f>
        <v/>
      </c>
      <c r="P14" s="23">
        <f>P9+P10+P13</f>
        <v/>
      </c>
      <c r="Q14" s="23">
        <f>Q9+Q10+Q13</f>
        <v/>
      </c>
      <c r="R14" s="23">
        <f>R9+R10+R13</f>
        <v/>
      </c>
      <c r="S14" s="23">
        <f>S9+S10+S13</f>
        <v/>
      </c>
      <c r="T14" s="23">
        <f>T9+T10+T13</f>
        <v/>
      </c>
      <c r="U14" s="23">
        <f>U9+U10+U13</f>
        <v/>
      </c>
      <c r="V14" s="23">
        <f>V9+V10+V13</f>
        <v/>
      </c>
    </row>
    <row r="16">
      <c r="A16" s="3" t="inlineStr">
        <is>
          <t>PRN / PER-VISIT DIRECT CARE (census-driven)</t>
        </is>
      </c>
    </row>
    <row r="17">
      <c r="A17" s="4" t="inlineStr">
        <is>
          <t>PRN On-Call LVN (Kendricks-Tuck, Foster)</t>
        </is>
      </c>
      <c r="C17" s="24">
        <f>C6*Inputs!$C$46*Inputs!$D$46*1</f>
        <v/>
      </c>
      <c r="D17" s="24">
        <f>D6*Inputs!$C$46*Inputs!$D$46*1</f>
        <v/>
      </c>
      <c r="E17" s="24">
        <f>E6*Inputs!$C$46*Inputs!$D$46*1</f>
        <v/>
      </c>
      <c r="F17" s="24">
        <f>F6*Inputs!$C$46*Inputs!$D$46*1</f>
        <v/>
      </c>
      <c r="G17" s="24">
        <f>G6*Inputs!$C$46*Inputs!$D$46*1</f>
        <v/>
      </c>
      <c r="H17" s="24">
        <f>H6*Inputs!$C$46*Inputs!$D$46*1</f>
        <v/>
      </c>
      <c r="I17" s="24">
        <f>I6*Inputs!$C$46*Inputs!$D$46*1</f>
        <v/>
      </c>
      <c r="J17" s="24">
        <f>J6*Inputs!$C$46*Inputs!$D$46*1</f>
        <v/>
      </c>
      <c r="K17" s="24">
        <f>K6*Inputs!$C$46*Inputs!$D$46*1</f>
        <v/>
      </c>
      <c r="L17" s="24">
        <f>L6*Inputs!$C$46*Inputs!$D$46*1</f>
        <v/>
      </c>
      <c r="M17" s="24">
        <f>M6*Inputs!$C$46*Inputs!$D$46*1</f>
        <v/>
      </c>
      <c r="N17" s="24">
        <f>N6*Inputs!$C$46*Inputs!$D$46*1</f>
        <v/>
      </c>
      <c r="O17" s="24">
        <f>O6*Inputs!$C$46*Inputs!$D$46*3</f>
        <v/>
      </c>
      <c r="P17" s="24">
        <f>P6*Inputs!$C$46*Inputs!$D$46*3</f>
        <v/>
      </c>
      <c r="Q17" s="24">
        <f>Q6*Inputs!$C$46*Inputs!$D$46*3</f>
        <v/>
      </c>
      <c r="R17" s="24">
        <f>R6*Inputs!$C$46*Inputs!$D$46*3</f>
        <v/>
      </c>
      <c r="S17" s="24">
        <f>S6*Inputs!$C$46*Inputs!$D$46*3</f>
        <v/>
      </c>
      <c r="T17" s="24">
        <f>T6*Inputs!$C$46*Inputs!$D$46*3</f>
        <v/>
      </c>
      <c r="U17" s="24">
        <f>U6*Inputs!$C$46*Inputs!$D$46*3</f>
        <v/>
      </c>
      <c r="V17" s="24">
        <f>V6*Inputs!$C$46*Inputs!$D$46*3</f>
        <v/>
      </c>
    </row>
    <row r="18">
      <c r="A18" s="4" t="inlineStr">
        <is>
          <t>PRN Chaplain (Ector, Johnson)</t>
        </is>
      </c>
      <c r="C18" s="24">
        <f>C6*Inputs!$C$47*Inputs!$D$47*1</f>
        <v/>
      </c>
      <c r="D18" s="24">
        <f>D6*Inputs!$C$47*Inputs!$D$47*1</f>
        <v/>
      </c>
      <c r="E18" s="24">
        <f>E6*Inputs!$C$47*Inputs!$D$47*1</f>
        <v/>
      </c>
      <c r="F18" s="24">
        <f>F6*Inputs!$C$47*Inputs!$D$47*1</f>
        <v/>
      </c>
      <c r="G18" s="24">
        <f>G6*Inputs!$C$47*Inputs!$D$47*1</f>
        <v/>
      </c>
      <c r="H18" s="24">
        <f>H6*Inputs!$C$47*Inputs!$D$47*1</f>
        <v/>
      </c>
      <c r="I18" s="24">
        <f>I6*Inputs!$C$47*Inputs!$D$47*1</f>
        <v/>
      </c>
      <c r="J18" s="24">
        <f>J6*Inputs!$C$47*Inputs!$D$47*1</f>
        <v/>
      </c>
      <c r="K18" s="24">
        <f>K6*Inputs!$C$47*Inputs!$D$47*1</f>
        <v/>
      </c>
      <c r="L18" s="24">
        <f>L6*Inputs!$C$47*Inputs!$D$47*1</f>
        <v/>
      </c>
      <c r="M18" s="24">
        <f>M6*Inputs!$C$47*Inputs!$D$47*1</f>
        <v/>
      </c>
      <c r="N18" s="24">
        <f>N6*Inputs!$C$47*Inputs!$D$47*1</f>
        <v/>
      </c>
      <c r="O18" s="24">
        <f>O6*Inputs!$C$47*Inputs!$D$47*3</f>
        <v/>
      </c>
      <c r="P18" s="24">
        <f>P6*Inputs!$C$47*Inputs!$D$47*3</f>
        <v/>
      </c>
      <c r="Q18" s="24">
        <f>Q6*Inputs!$C$47*Inputs!$D$47*3</f>
        <v/>
      </c>
      <c r="R18" s="24">
        <f>R6*Inputs!$C$47*Inputs!$D$47*3</f>
        <v/>
      </c>
      <c r="S18" s="24">
        <f>S6*Inputs!$C$47*Inputs!$D$47*3</f>
        <v/>
      </c>
      <c r="T18" s="24">
        <f>T6*Inputs!$C$47*Inputs!$D$47*3</f>
        <v/>
      </c>
      <c r="U18" s="24">
        <f>U6*Inputs!$C$47*Inputs!$D$47*3</f>
        <v/>
      </c>
      <c r="V18" s="24">
        <f>V6*Inputs!$C$47*Inputs!$D$47*3</f>
        <v/>
      </c>
    </row>
    <row r="19">
      <c r="A19" s="4" t="inlineStr">
        <is>
          <t>PRN Social Worker (Sanders)</t>
        </is>
      </c>
      <c r="C19" s="24">
        <f>C6*Inputs!$C$48*Inputs!$D$48*1</f>
        <v/>
      </c>
      <c r="D19" s="24">
        <f>D6*Inputs!$C$48*Inputs!$D$48*1</f>
        <v/>
      </c>
      <c r="E19" s="24">
        <f>E6*Inputs!$C$48*Inputs!$D$48*1</f>
        <v/>
      </c>
      <c r="F19" s="24">
        <f>F6*Inputs!$C$48*Inputs!$D$48*1</f>
        <v/>
      </c>
      <c r="G19" s="24">
        <f>G6*Inputs!$C$48*Inputs!$D$48*1</f>
        <v/>
      </c>
      <c r="H19" s="24">
        <f>H6*Inputs!$C$48*Inputs!$D$48*1</f>
        <v/>
      </c>
      <c r="I19" s="24">
        <f>I6*Inputs!$C$48*Inputs!$D$48*1</f>
        <v/>
      </c>
      <c r="J19" s="24">
        <f>J6*Inputs!$C$48*Inputs!$D$48*1</f>
        <v/>
      </c>
      <c r="K19" s="24">
        <f>K6*Inputs!$C$48*Inputs!$D$48*1</f>
        <v/>
      </c>
      <c r="L19" s="24">
        <f>L6*Inputs!$C$48*Inputs!$D$48*1</f>
        <v/>
      </c>
      <c r="M19" s="24">
        <f>M6*Inputs!$C$48*Inputs!$D$48*1</f>
        <v/>
      </c>
      <c r="N19" s="24">
        <f>N6*Inputs!$C$48*Inputs!$D$48*1</f>
        <v/>
      </c>
      <c r="O19" s="24">
        <f>O6*Inputs!$C$48*Inputs!$D$48*3</f>
        <v/>
      </c>
      <c r="P19" s="24">
        <f>P6*Inputs!$C$48*Inputs!$D$48*3</f>
        <v/>
      </c>
      <c r="Q19" s="24">
        <f>Q6*Inputs!$C$48*Inputs!$D$48*3</f>
        <v/>
      </c>
      <c r="R19" s="24">
        <f>R6*Inputs!$C$48*Inputs!$D$48*3</f>
        <v/>
      </c>
      <c r="S19" s="24">
        <f>S6*Inputs!$C$48*Inputs!$D$48*3</f>
        <v/>
      </c>
      <c r="T19" s="24">
        <f>T6*Inputs!$C$48*Inputs!$D$48*3</f>
        <v/>
      </c>
      <c r="U19" s="24">
        <f>U6*Inputs!$C$48*Inputs!$D$48*3</f>
        <v/>
      </c>
      <c r="V19" s="24">
        <f>V6*Inputs!$C$48*Inputs!$D$48*3</f>
        <v/>
      </c>
    </row>
    <row r="20">
      <c r="A20" s="4" t="inlineStr">
        <is>
          <t>PRN Nurse Practitioner (Rogers)</t>
        </is>
      </c>
      <c r="C20" s="24">
        <f>C6*Inputs!$C$49*Inputs!$D$49*1</f>
        <v/>
      </c>
      <c r="D20" s="24">
        <f>D6*Inputs!$C$49*Inputs!$D$49*1</f>
        <v/>
      </c>
      <c r="E20" s="24">
        <f>E6*Inputs!$C$49*Inputs!$D$49*1</f>
        <v/>
      </c>
      <c r="F20" s="24">
        <f>F6*Inputs!$C$49*Inputs!$D$49*1</f>
        <v/>
      </c>
      <c r="G20" s="24">
        <f>G6*Inputs!$C$49*Inputs!$D$49*1</f>
        <v/>
      </c>
      <c r="H20" s="24">
        <f>H6*Inputs!$C$49*Inputs!$D$49*1</f>
        <v/>
      </c>
      <c r="I20" s="24">
        <f>I6*Inputs!$C$49*Inputs!$D$49*1</f>
        <v/>
      </c>
      <c r="J20" s="24">
        <f>J6*Inputs!$C$49*Inputs!$D$49*1</f>
        <v/>
      </c>
      <c r="K20" s="24">
        <f>K6*Inputs!$C$49*Inputs!$D$49*1</f>
        <v/>
      </c>
      <c r="L20" s="24">
        <f>L6*Inputs!$C$49*Inputs!$D$49*1</f>
        <v/>
      </c>
      <c r="M20" s="24">
        <f>M6*Inputs!$C$49*Inputs!$D$49*1</f>
        <v/>
      </c>
      <c r="N20" s="24">
        <f>N6*Inputs!$C$49*Inputs!$D$49*1</f>
        <v/>
      </c>
      <c r="O20" s="24">
        <f>O6*Inputs!$C$49*Inputs!$D$49*3</f>
        <v/>
      </c>
      <c r="P20" s="24">
        <f>P6*Inputs!$C$49*Inputs!$D$49*3</f>
        <v/>
      </c>
      <c r="Q20" s="24">
        <f>Q6*Inputs!$C$49*Inputs!$D$49*3</f>
        <v/>
      </c>
      <c r="R20" s="24">
        <f>R6*Inputs!$C$49*Inputs!$D$49*3</f>
        <v/>
      </c>
      <c r="S20" s="24">
        <f>S6*Inputs!$C$49*Inputs!$D$49*3</f>
        <v/>
      </c>
      <c r="T20" s="24">
        <f>T6*Inputs!$C$49*Inputs!$D$49*3</f>
        <v/>
      </c>
      <c r="U20" s="24">
        <f>U6*Inputs!$C$49*Inputs!$D$49*3</f>
        <v/>
      </c>
      <c r="V20" s="24">
        <f>V6*Inputs!$C$49*Inputs!$D$49*3</f>
        <v/>
      </c>
    </row>
    <row r="21">
      <c r="A21" s="4" t="inlineStr">
        <is>
          <t>PRN CNA / per-visit (Henson, Mills)</t>
        </is>
      </c>
      <c r="C21" s="24">
        <f>C6*Inputs!$C$50*Inputs!$D$50*1</f>
        <v/>
      </c>
      <c r="D21" s="24">
        <f>D6*Inputs!$C$50*Inputs!$D$50*1</f>
        <v/>
      </c>
      <c r="E21" s="24">
        <f>E6*Inputs!$C$50*Inputs!$D$50*1</f>
        <v/>
      </c>
      <c r="F21" s="24">
        <f>F6*Inputs!$C$50*Inputs!$D$50*1</f>
        <v/>
      </c>
      <c r="G21" s="24">
        <f>G6*Inputs!$C$50*Inputs!$D$50*1</f>
        <v/>
      </c>
      <c r="H21" s="24">
        <f>H6*Inputs!$C$50*Inputs!$D$50*1</f>
        <v/>
      </c>
      <c r="I21" s="24">
        <f>I6*Inputs!$C$50*Inputs!$D$50*1</f>
        <v/>
      </c>
      <c r="J21" s="24">
        <f>J6*Inputs!$C$50*Inputs!$D$50*1</f>
        <v/>
      </c>
      <c r="K21" s="24">
        <f>K6*Inputs!$C$50*Inputs!$D$50*1</f>
        <v/>
      </c>
      <c r="L21" s="24">
        <f>L6*Inputs!$C$50*Inputs!$D$50*1</f>
        <v/>
      </c>
      <c r="M21" s="24">
        <f>M6*Inputs!$C$50*Inputs!$D$50*1</f>
        <v/>
      </c>
      <c r="N21" s="24">
        <f>N6*Inputs!$C$50*Inputs!$D$50*1</f>
        <v/>
      </c>
      <c r="O21" s="24">
        <f>O6*Inputs!$C$50*Inputs!$D$50*3</f>
        <v/>
      </c>
      <c r="P21" s="24">
        <f>P6*Inputs!$C$50*Inputs!$D$50*3</f>
        <v/>
      </c>
      <c r="Q21" s="24">
        <f>Q6*Inputs!$C$50*Inputs!$D$50*3</f>
        <v/>
      </c>
      <c r="R21" s="24">
        <f>R6*Inputs!$C$50*Inputs!$D$50*3</f>
        <v/>
      </c>
      <c r="S21" s="24">
        <f>S6*Inputs!$C$50*Inputs!$D$50*3</f>
        <v/>
      </c>
      <c r="T21" s="24">
        <f>T6*Inputs!$C$50*Inputs!$D$50*3</f>
        <v/>
      </c>
      <c r="U21" s="24">
        <f>U6*Inputs!$C$50*Inputs!$D$50*3</f>
        <v/>
      </c>
      <c r="V21" s="24">
        <f>V6*Inputs!$C$50*Inputs!$D$50*3</f>
        <v/>
      </c>
    </row>
    <row r="22">
      <c r="A22" s="28" t="inlineStr">
        <is>
          <t>Subtotal — PRN visit wages</t>
        </is>
      </c>
      <c r="C22" s="23">
        <f>C17+C18+C19+C20+C21</f>
        <v/>
      </c>
      <c r="D22" s="23">
        <f>D17+D18+D19+D20+D21</f>
        <v/>
      </c>
      <c r="E22" s="23">
        <f>E17+E18+E19+E20+E21</f>
        <v/>
      </c>
      <c r="F22" s="23">
        <f>F17+F18+F19+F20+F21</f>
        <v/>
      </c>
      <c r="G22" s="23">
        <f>G17+G18+G19+G20+G21</f>
        <v/>
      </c>
      <c r="H22" s="23">
        <f>H17+H18+H19+H20+H21</f>
        <v/>
      </c>
      <c r="I22" s="23">
        <f>I17+I18+I19+I20+I21</f>
        <v/>
      </c>
      <c r="J22" s="23">
        <f>J17+J18+J19+J20+J21</f>
        <v/>
      </c>
      <c r="K22" s="23">
        <f>K17+K18+K19+K20+K21</f>
        <v/>
      </c>
      <c r="L22" s="23">
        <f>L17+L18+L19+L20+L21</f>
        <v/>
      </c>
      <c r="M22" s="23">
        <f>M17+M18+M19+M20+M21</f>
        <v/>
      </c>
      <c r="N22" s="23">
        <f>N17+N18+N19+N20+N21</f>
        <v/>
      </c>
      <c r="O22" s="23">
        <f>O17+O18+O19+O20+O21</f>
        <v/>
      </c>
      <c r="P22" s="23">
        <f>P17+P18+P19+P20+P21</f>
        <v/>
      </c>
      <c r="Q22" s="23">
        <f>Q17+Q18+Q19+Q20+Q21</f>
        <v/>
      </c>
      <c r="R22" s="23">
        <f>R17+R18+R19+R20+R21</f>
        <v/>
      </c>
      <c r="S22" s="23">
        <f>S17+S18+S19+S20+S21</f>
        <v/>
      </c>
      <c r="T22" s="23">
        <f>T17+T18+T19+T20+T21</f>
        <v/>
      </c>
      <c r="U22" s="23">
        <f>U17+U18+U19+U20+U21</f>
        <v/>
      </c>
      <c r="V22" s="23">
        <f>V17+V18+V19+V20+V21</f>
        <v/>
      </c>
    </row>
    <row r="23">
      <c r="A23" s="4" t="inlineStr">
        <is>
          <t>Medical Director (1099)</t>
        </is>
      </c>
      <c r="C23" s="24">
        <f>Inputs!$B$64*1</f>
        <v/>
      </c>
      <c r="D23" s="24">
        <f>Inputs!$B$64*1</f>
        <v/>
      </c>
      <c r="E23" s="24">
        <f>Inputs!$B$64*1</f>
        <v/>
      </c>
      <c r="F23" s="24">
        <f>Inputs!$B$64*1</f>
        <v/>
      </c>
      <c r="G23" s="24">
        <f>Inputs!$B$64*1</f>
        <v/>
      </c>
      <c r="H23" s="24">
        <f>Inputs!$B$64*1</f>
        <v/>
      </c>
      <c r="I23" s="24">
        <f>Inputs!$B$64*1</f>
        <v/>
      </c>
      <c r="J23" s="24">
        <f>Inputs!$B$64*1</f>
        <v/>
      </c>
      <c r="K23" s="24">
        <f>Inputs!$B$64*1</f>
        <v/>
      </c>
      <c r="L23" s="24">
        <f>Inputs!$B$64*1</f>
        <v/>
      </c>
      <c r="M23" s="24">
        <f>Inputs!$B$64*1</f>
        <v/>
      </c>
      <c r="N23" s="24">
        <f>Inputs!$B$64*1</f>
        <v/>
      </c>
      <c r="O23" s="24">
        <f>Inputs!$B$64*3</f>
        <v/>
      </c>
      <c r="P23" s="24">
        <f>Inputs!$B$64*3</f>
        <v/>
      </c>
      <c r="Q23" s="24">
        <f>Inputs!$B$64*3</f>
        <v/>
      </c>
      <c r="R23" s="24">
        <f>Inputs!$B$64*3</f>
        <v/>
      </c>
      <c r="S23" s="24">
        <f>Inputs!$B$64*3</f>
        <v/>
      </c>
      <c r="T23" s="24">
        <f>Inputs!$B$64*3</f>
        <v/>
      </c>
      <c r="U23" s="24">
        <f>Inputs!$B$64*3</f>
        <v/>
      </c>
      <c r="V23" s="24">
        <f>Inputs!$B$64*3</f>
        <v/>
      </c>
    </row>
    <row r="25">
      <c r="A25" s="3" t="inlineStr">
        <is>
          <t>INDIRECT LABOR (SG&amp;A overhead)</t>
        </is>
      </c>
    </row>
    <row r="26">
      <c r="A26" s="28" t="inlineStr">
        <is>
          <t>Subtotal — indirect FT salaries</t>
        </is>
      </c>
      <c r="C26" s="23">
        <f>C8+C11+C12</f>
        <v/>
      </c>
      <c r="D26" s="23">
        <f>D8+D11+D12</f>
        <v/>
      </c>
      <c r="E26" s="23">
        <f>E8+E11+E12</f>
        <v/>
      </c>
      <c r="F26" s="23">
        <f>F8+F11+F12</f>
        <v/>
      </c>
      <c r="G26" s="23">
        <f>G8+G11+G12</f>
        <v/>
      </c>
      <c r="H26" s="23">
        <f>H8+H11+H12</f>
        <v/>
      </c>
      <c r="I26" s="23">
        <f>I8+I11+I12</f>
        <v/>
      </c>
      <c r="J26" s="23">
        <f>J8+J11+J12</f>
        <v/>
      </c>
      <c r="K26" s="23">
        <f>K8+K11+K12</f>
        <v/>
      </c>
      <c r="L26" s="23">
        <f>L8+L11+L12</f>
        <v/>
      </c>
      <c r="M26" s="23">
        <f>M8+M11+M12</f>
        <v/>
      </c>
      <c r="N26" s="23">
        <f>N8+N11+N12</f>
        <v/>
      </c>
      <c r="O26" s="23">
        <f>O8+O11+O12</f>
        <v/>
      </c>
      <c r="P26" s="23">
        <f>P8+P11+P12</f>
        <v/>
      </c>
      <c r="Q26" s="23">
        <f>Q8+Q11+Q12</f>
        <v/>
      </c>
      <c r="R26" s="23">
        <f>R8+R11+R12</f>
        <v/>
      </c>
      <c r="S26" s="23">
        <f>S8+S11+S12</f>
        <v/>
      </c>
      <c r="T26" s="23">
        <f>T8+T11+T12</f>
        <v/>
      </c>
      <c r="U26" s="23">
        <f>U8+U11+U12</f>
        <v/>
      </c>
      <c r="V26" s="23">
        <f>V8+V11+V12</f>
        <v/>
      </c>
    </row>
    <row r="27">
      <c r="A27" s="4" t="inlineStr">
        <is>
          <t>Rhonda Smith — Office Mgr (PRN, W-2)</t>
        </is>
      </c>
      <c r="C27" s="24">
        <f>Inputs!$C$42/12*1*1</f>
        <v/>
      </c>
      <c r="D27" s="24">
        <f>Inputs!$C$42/12*1*1</f>
        <v/>
      </c>
      <c r="E27" s="24">
        <f>Inputs!$C$42/12*1*1</f>
        <v/>
      </c>
      <c r="F27" s="24">
        <f>Inputs!$C$42/12*1*1</f>
        <v/>
      </c>
      <c r="G27" s="24">
        <f>Inputs!$C$42/12*1*1</f>
        <v/>
      </c>
      <c r="H27" s="24">
        <f>Inputs!$C$42/12*1*1</f>
        <v/>
      </c>
      <c r="I27" s="24">
        <f>Inputs!$C$42/12*1*1</f>
        <v/>
      </c>
      <c r="J27" s="24">
        <f>Inputs!$C$42/12*1*1</f>
        <v/>
      </c>
      <c r="K27" s="24">
        <f>Inputs!$C$42/12*1*1</f>
        <v/>
      </c>
      <c r="L27" s="24">
        <f>Inputs!$C$42/12*1*1</f>
        <v/>
      </c>
      <c r="M27" s="24">
        <f>Inputs!$C$42/12*1*1</f>
        <v/>
      </c>
      <c r="N27" s="24">
        <f>Inputs!$C$42/12*1*1</f>
        <v/>
      </c>
      <c r="O27" s="24">
        <f>Inputs!$C$42/12*3*(1+Inputs!$B$57)^1</f>
        <v/>
      </c>
      <c r="P27" s="24">
        <f>Inputs!$C$42/12*3*(1+Inputs!$B$57)^1</f>
        <v/>
      </c>
      <c r="Q27" s="24">
        <f>Inputs!$C$42/12*3*(1+Inputs!$B$57)^1</f>
        <v/>
      </c>
      <c r="R27" s="24">
        <f>Inputs!$C$42/12*3*(1+Inputs!$B$57)^1</f>
        <v/>
      </c>
      <c r="S27" s="24">
        <f>Inputs!$C$42/12*3*(1+Inputs!$B$57)^2</f>
        <v/>
      </c>
      <c r="T27" s="24">
        <f>Inputs!$C$42/12*3*(1+Inputs!$B$57)^2</f>
        <v/>
      </c>
      <c r="U27" s="24">
        <f>Inputs!$C$42/12*3*(1+Inputs!$B$57)^2</f>
        <v/>
      </c>
      <c r="V27" s="24">
        <f>Inputs!$C$42/12*3*(1+Inputs!$B$57)^2</f>
        <v/>
      </c>
    </row>
    <row r="29">
      <c r="A29" s="3" t="inlineStr">
        <is>
          <t>EMPLOYER BURDEN &amp; BENEFITS (W-2 only)</t>
        </is>
      </c>
    </row>
    <row r="30">
      <c r="A30" s="21" t="inlineStr">
        <is>
          <t>Direct W-2 wage base (FT direct + PRN)</t>
        </is>
      </c>
      <c r="C30" s="24">
        <f>C14+C22</f>
        <v/>
      </c>
      <c r="D30" s="24">
        <f>D14+D22</f>
        <v/>
      </c>
      <c r="E30" s="24">
        <f>E14+E22</f>
        <v/>
      </c>
      <c r="F30" s="24">
        <f>F14+F22</f>
        <v/>
      </c>
      <c r="G30" s="24">
        <f>G14+G22</f>
        <v/>
      </c>
      <c r="H30" s="24">
        <f>H14+H22</f>
        <v/>
      </c>
      <c r="I30" s="24">
        <f>I14+I22</f>
        <v/>
      </c>
      <c r="J30" s="24">
        <f>J14+J22</f>
        <v/>
      </c>
      <c r="K30" s="24">
        <f>K14+K22</f>
        <v/>
      </c>
      <c r="L30" s="24">
        <f>L14+L22</f>
        <v/>
      </c>
      <c r="M30" s="24">
        <f>M14+M22</f>
        <v/>
      </c>
      <c r="N30" s="24">
        <f>N14+N22</f>
        <v/>
      </c>
      <c r="O30" s="24">
        <f>O14+O22</f>
        <v/>
      </c>
      <c r="P30" s="24">
        <f>P14+P22</f>
        <v/>
      </c>
      <c r="Q30" s="24">
        <f>Q14+Q22</f>
        <v/>
      </c>
      <c r="R30" s="24">
        <f>R14+R22</f>
        <v/>
      </c>
      <c r="S30" s="24">
        <f>S14+S22</f>
        <v/>
      </c>
      <c r="T30" s="24">
        <f>T14+T22</f>
        <v/>
      </c>
      <c r="U30" s="24">
        <f>U14+U22</f>
        <v/>
      </c>
      <c r="V30" s="24">
        <f>V14+V22</f>
        <v/>
      </c>
    </row>
    <row r="31">
      <c r="A31" s="21" t="inlineStr">
        <is>
          <t>Indirect W-2 wage base (FT indirect + Rhonda)</t>
        </is>
      </c>
      <c r="C31" s="24">
        <f>C26+C27</f>
        <v/>
      </c>
      <c r="D31" s="24">
        <f>D26+D27</f>
        <v/>
      </c>
      <c r="E31" s="24">
        <f>E26+E27</f>
        <v/>
      </c>
      <c r="F31" s="24">
        <f>F26+F27</f>
        <v/>
      </c>
      <c r="G31" s="24">
        <f>G26+G27</f>
        <v/>
      </c>
      <c r="H31" s="24">
        <f>H26+H27</f>
        <v/>
      </c>
      <c r="I31" s="24">
        <f>I26+I27</f>
        <v/>
      </c>
      <c r="J31" s="24">
        <f>J26+J27</f>
        <v/>
      </c>
      <c r="K31" s="24">
        <f>K26+K27</f>
        <v/>
      </c>
      <c r="L31" s="24">
        <f>L26+L27</f>
        <v/>
      </c>
      <c r="M31" s="24">
        <f>M26+M27</f>
        <v/>
      </c>
      <c r="N31" s="24">
        <f>N26+N27</f>
        <v/>
      </c>
      <c r="O31" s="24">
        <f>O26+O27</f>
        <v/>
      </c>
      <c r="P31" s="24">
        <f>P26+P27</f>
        <v/>
      </c>
      <c r="Q31" s="24">
        <f>Q26+Q27</f>
        <v/>
      </c>
      <c r="R31" s="24">
        <f>R26+R27</f>
        <v/>
      </c>
      <c r="S31" s="24">
        <f>S26+S27</f>
        <v/>
      </c>
      <c r="T31" s="24">
        <f>T26+T27</f>
        <v/>
      </c>
      <c r="U31" s="24">
        <f>U26+U27</f>
        <v/>
      </c>
      <c r="V31" s="24">
        <f>V26+V27</f>
        <v/>
      </c>
    </row>
    <row r="32">
      <c r="A32" s="4" t="inlineStr">
        <is>
          <t>Burden — direct (load %)</t>
        </is>
      </c>
      <c r="C32" s="24">
        <f>C30*Inputs!$B$60</f>
        <v/>
      </c>
      <c r="D32" s="24">
        <f>D30*Inputs!$B$60</f>
        <v/>
      </c>
      <c r="E32" s="24">
        <f>E30*Inputs!$B$60</f>
        <v/>
      </c>
      <c r="F32" s="24">
        <f>F30*Inputs!$B$60</f>
        <v/>
      </c>
      <c r="G32" s="24">
        <f>G30*Inputs!$B$60</f>
        <v/>
      </c>
      <c r="H32" s="24">
        <f>H30*Inputs!$B$60</f>
        <v/>
      </c>
      <c r="I32" s="24">
        <f>I30*Inputs!$B$60</f>
        <v/>
      </c>
      <c r="J32" s="24">
        <f>J30*Inputs!$B$60</f>
        <v/>
      </c>
      <c r="K32" s="24">
        <f>K30*Inputs!$B$60</f>
        <v/>
      </c>
      <c r="L32" s="24">
        <f>L30*Inputs!$B$60</f>
        <v/>
      </c>
      <c r="M32" s="24">
        <f>M30*Inputs!$B$60</f>
        <v/>
      </c>
      <c r="N32" s="24">
        <f>N30*Inputs!$B$60</f>
        <v/>
      </c>
      <c r="O32" s="24">
        <f>O30*Inputs!$B$60</f>
        <v/>
      </c>
      <c r="P32" s="24">
        <f>P30*Inputs!$B$60</f>
        <v/>
      </c>
      <c r="Q32" s="24">
        <f>Q30*Inputs!$B$60</f>
        <v/>
      </c>
      <c r="R32" s="24">
        <f>R30*Inputs!$B$60</f>
        <v/>
      </c>
      <c r="S32" s="24">
        <f>S30*Inputs!$B$60</f>
        <v/>
      </c>
      <c r="T32" s="24">
        <f>T30*Inputs!$B$60</f>
        <v/>
      </c>
      <c r="U32" s="24">
        <f>U30*Inputs!$B$60</f>
        <v/>
      </c>
      <c r="V32" s="24">
        <f>V30*Inputs!$B$60</f>
        <v/>
      </c>
    </row>
    <row r="33">
      <c r="A33" s="4" t="inlineStr">
        <is>
          <t>Burden — indirect (load %)</t>
        </is>
      </c>
      <c r="C33" s="24">
        <f>C31*Inputs!$B$60</f>
        <v/>
      </c>
      <c r="D33" s="24">
        <f>D31*Inputs!$B$60</f>
        <v/>
      </c>
      <c r="E33" s="24">
        <f>E31*Inputs!$B$60</f>
        <v/>
      </c>
      <c r="F33" s="24">
        <f>F31*Inputs!$B$60</f>
        <v/>
      </c>
      <c r="G33" s="24">
        <f>G31*Inputs!$B$60</f>
        <v/>
      </c>
      <c r="H33" s="24">
        <f>H31*Inputs!$B$60</f>
        <v/>
      </c>
      <c r="I33" s="24">
        <f>I31*Inputs!$B$60</f>
        <v/>
      </c>
      <c r="J33" s="24">
        <f>J31*Inputs!$B$60</f>
        <v/>
      </c>
      <c r="K33" s="24">
        <f>K31*Inputs!$B$60</f>
        <v/>
      </c>
      <c r="L33" s="24">
        <f>L31*Inputs!$B$60</f>
        <v/>
      </c>
      <c r="M33" s="24">
        <f>M31*Inputs!$B$60</f>
        <v/>
      </c>
      <c r="N33" s="24">
        <f>N31*Inputs!$B$60</f>
        <v/>
      </c>
      <c r="O33" s="24">
        <f>O31*Inputs!$B$60</f>
        <v/>
      </c>
      <c r="P33" s="24">
        <f>P31*Inputs!$B$60</f>
        <v/>
      </c>
      <c r="Q33" s="24">
        <f>Q31*Inputs!$B$60</f>
        <v/>
      </c>
      <c r="R33" s="24">
        <f>R31*Inputs!$B$60</f>
        <v/>
      </c>
      <c r="S33" s="24">
        <f>S31*Inputs!$B$60</f>
        <v/>
      </c>
      <c r="T33" s="24">
        <f>T31*Inputs!$B$60</f>
        <v/>
      </c>
      <c r="U33" s="24">
        <f>U31*Inputs!$B$60</f>
        <v/>
      </c>
      <c r="V33" s="24">
        <f>V31*Inputs!$B$60</f>
        <v/>
      </c>
    </row>
    <row r="34">
      <c r="A34" s="4" t="inlineStr">
        <is>
          <t>Health insurance — direct FT</t>
        </is>
      </c>
      <c r="C34" s="24">
        <f>Inputs!$B$61*(IF(1&gt;=Inputs!$D$37,1,0)+IF(1&gt;=Inputs!$D$38,1,0)+IF(1&gt;=Inputs!$D$41,1,0))*1</f>
        <v/>
      </c>
      <c r="D34" s="24">
        <f>Inputs!$B$61*(IF(2&gt;=Inputs!$D$37,1,0)+IF(2&gt;=Inputs!$D$38,1,0)+IF(2&gt;=Inputs!$D$41,1,0))*1</f>
        <v/>
      </c>
      <c r="E34" s="24">
        <f>Inputs!$B$61*(IF(3&gt;=Inputs!$D$37,1,0)+IF(3&gt;=Inputs!$D$38,1,0)+IF(3&gt;=Inputs!$D$41,1,0))*1</f>
        <v/>
      </c>
      <c r="F34" s="24">
        <f>Inputs!$B$61*(IF(4&gt;=Inputs!$D$37,1,0)+IF(4&gt;=Inputs!$D$38,1,0)+IF(4&gt;=Inputs!$D$41,1,0))*1</f>
        <v/>
      </c>
      <c r="G34" s="24">
        <f>Inputs!$B$61*(IF(5&gt;=Inputs!$D$37,1,0)+IF(5&gt;=Inputs!$D$38,1,0)+IF(5&gt;=Inputs!$D$41,1,0))*1</f>
        <v/>
      </c>
      <c r="H34" s="24">
        <f>Inputs!$B$61*(IF(6&gt;=Inputs!$D$37,1,0)+IF(6&gt;=Inputs!$D$38,1,0)+IF(6&gt;=Inputs!$D$41,1,0))*1</f>
        <v/>
      </c>
      <c r="I34" s="24">
        <f>Inputs!$B$61*(IF(7&gt;=Inputs!$D$37,1,0)+IF(7&gt;=Inputs!$D$38,1,0)+IF(7&gt;=Inputs!$D$41,1,0))*1</f>
        <v/>
      </c>
      <c r="J34" s="24">
        <f>Inputs!$B$61*(IF(8&gt;=Inputs!$D$37,1,0)+IF(8&gt;=Inputs!$D$38,1,0)+IF(8&gt;=Inputs!$D$41,1,0))*1</f>
        <v/>
      </c>
      <c r="K34" s="24">
        <f>Inputs!$B$61*(IF(9&gt;=Inputs!$D$37,1,0)+IF(9&gt;=Inputs!$D$38,1,0)+IF(9&gt;=Inputs!$D$41,1,0))*1</f>
        <v/>
      </c>
      <c r="L34" s="24">
        <f>Inputs!$B$61*(IF(10&gt;=Inputs!$D$37,1,0)+IF(10&gt;=Inputs!$D$38,1,0)+IF(10&gt;=Inputs!$D$41,1,0))*1</f>
        <v/>
      </c>
      <c r="M34" s="24">
        <f>Inputs!$B$61*(IF(11&gt;=Inputs!$D$37,1,0)+IF(11&gt;=Inputs!$D$38,1,0)+IF(11&gt;=Inputs!$D$41,1,0))*1</f>
        <v/>
      </c>
      <c r="N34" s="24">
        <f>Inputs!$B$61*(IF(12&gt;=Inputs!$D$37,1,0)+IF(12&gt;=Inputs!$D$38,1,0)+IF(12&gt;=Inputs!$D$41,1,0))*1</f>
        <v/>
      </c>
      <c r="O34" s="24">
        <f>Inputs!$B$61*(IF(15&gt;=Inputs!$D$37,1,0)+IF(15&gt;=Inputs!$D$38,1,0)+IF(15&gt;=Inputs!$D$41,1,0))*3</f>
        <v/>
      </c>
      <c r="P34" s="24">
        <f>Inputs!$B$61*(IF(18&gt;=Inputs!$D$37,1,0)+IF(18&gt;=Inputs!$D$38,1,0)+IF(18&gt;=Inputs!$D$41,1,0))*3</f>
        <v/>
      </c>
      <c r="Q34" s="24">
        <f>Inputs!$B$61*(IF(21&gt;=Inputs!$D$37,1,0)+IF(21&gt;=Inputs!$D$38,1,0)+IF(21&gt;=Inputs!$D$41,1,0))*3</f>
        <v/>
      </c>
      <c r="R34" s="24">
        <f>Inputs!$B$61*(IF(24&gt;=Inputs!$D$37,1,0)+IF(24&gt;=Inputs!$D$38,1,0)+IF(24&gt;=Inputs!$D$41,1,0))*3</f>
        <v/>
      </c>
      <c r="S34" s="24">
        <f>Inputs!$B$61*(IF(27&gt;=Inputs!$D$37,1,0)+IF(27&gt;=Inputs!$D$38,1,0)+IF(27&gt;=Inputs!$D$41,1,0))*3</f>
        <v/>
      </c>
      <c r="T34" s="24">
        <f>Inputs!$B$61*(IF(30&gt;=Inputs!$D$37,1,0)+IF(30&gt;=Inputs!$D$38,1,0)+IF(30&gt;=Inputs!$D$41,1,0))*3</f>
        <v/>
      </c>
      <c r="U34" s="24">
        <f>Inputs!$B$61*(IF(33&gt;=Inputs!$D$37,1,0)+IF(33&gt;=Inputs!$D$38,1,0)+IF(33&gt;=Inputs!$D$41,1,0))*3</f>
        <v/>
      </c>
      <c r="V34" s="24">
        <f>Inputs!$B$61*(IF(36&gt;=Inputs!$D$37,1,0)+IF(36&gt;=Inputs!$D$38,1,0)+IF(36&gt;=Inputs!$D$41,1,0))*3</f>
        <v/>
      </c>
    </row>
    <row r="35">
      <c r="A35" s="4" t="inlineStr">
        <is>
          <t>Health insurance — indirect FT</t>
        </is>
      </c>
      <c r="C35" s="24">
        <f>Inputs!$B$61*(IF(1&gt;=Inputs!$D$36,1,0)+IF(1&gt;=Inputs!$D$39,1,0)+IF(1&gt;=Inputs!$D$40,1,0))*1</f>
        <v/>
      </c>
      <c r="D35" s="24">
        <f>Inputs!$B$61*(IF(2&gt;=Inputs!$D$36,1,0)+IF(2&gt;=Inputs!$D$39,1,0)+IF(2&gt;=Inputs!$D$40,1,0))*1</f>
        <v/>
      </c>
      <c r="E35" s="24">
        <f>Inputs!$B$61*(IF(3&gt;=Inputs!$D$36,1,0)+IF(3&gt;=Inputs!$D$39,1,0)+IF(3&gt;=Inputs!$D$40,1,0))*1</f>
        <v/>
      </c>
      <c r="F35" s="24">
        <f>Inputs!$B$61*(IF(4&gt;=Inputs!$D$36,1,0)+IF(4&gt;=Inputs!$D$39,1,0)+IF(4&gt;=Inputs!$D$40,1,0))*1</f>
        <v/>
      </c>
      <c r="G35" s="24">
        <f>Inputs!$B$61*(IF(5&gt;=Inputs!$D$36,1,0)+IF(5&gt;=Inputs!$D$39,1,0)+IF(5&gt;=Inputs!$D$40,1,0))*1</f>
        <v/>
      </c>
      <c r="H35" s="24">
        <f>Inputs!$B$61*(IF(6&gt;=Inputs!$D$36,1,0)+IF(6&gt;=Inputs!$D$39,1,0)+IF(6&gt;=Inputs!$D$40,1,0))*1</f>
        <v/>
      </c>
      <c r="I35" s="24">
        <f>Inputs!$B$61*(IF(7&gt;=Inputs!$D$36,1,0)+IF(7&gt;=Inputs!$D$39,1,0)+IF(7&gt;=Inputs!$D$40,1,0))*1</f>
        <v/>
      </c>
      <c r="J35" s="24">
        <f>Inputs!$B$61*(IF(8&gt;=Inputs!$D$36,1,0)+IF(8&gt;=Inputs!$D$39,1,0)+IF(8&gt;=Inputs!$D$40,1,0))*1</f>
        <v/>
      </c>
      <c r="K35" s="24">
        <f>Inputs!$B$61*(IF(9&gt;=Inputs!$D$36,1,0)+IF(9&gt;=Inputs!$D$39,1,0)+IF(9&gt;=Inputs!$D$40,1,0))*1</f>
        <v/>
      </c>
      <c r="L35" s="24">
        <f>Inputs!$B$61*(IF(10&gt;=Inputs!$D$36,1,0)+IF(10&gt;=Inputs!$D$39,1,0)+IF(10&gt;=Inputs!$D$40,1,0))*1</f>
        <v/>
      </c>
      <c r="M35" s="24">
        <f>Inputs!$B$61*(IF(11&gt;=Inputs!$D$36,1,0)+IF(11&gt;=Inputs!$D$39,1,0)+IF(11&gt;=Inputs!$D$40,1,0))*1</f>
        <v/>
      </c>
      <c r="N35" s="24">
        <f>Inputs!$B$61*(IF(12&gt;=Inputs!$D$36,1,0)+IF(12&gt;=Inputs!$D$39,1,0)+IF(12&gt;=Inputs!$D$40,1,0))*1</f>
        <v/>
      </c>
      <c r="O35" s="24">
        <f>Inputs!$B$61*(IF(15&gt;=Inputs!$D$36,1,0)+IF(15&gt;=Inputs!$D$39,1,0)+IF(15&gt;=Inputs!$D$40,1,0))*3</f>
        <v/>
      </c>
      <c r="P35" s="24">
        <f>Inputs!$B$61*(IF(18&gt;=Inputs!$D$36,1,0)+IF(18&gt;=Inputs!$D$39,1,0)+IF(18&gt;=Inputs!$D$40,1,0))*3</f>
        <v/>
      </c>
      <c r="Q35" s="24">
        <f>Inputs!$B$61*(IF(21&gt;=Inputs!$D$36,1,0)+IF(21&gt;=Inputs!$D$39,1,0)+IF(21&gt;=Inputs!$D$40,1,0))*3</f>
        <v/>
      </c>
      <c r="R35" s="24">
        <f>Inputs!$B$61*(IF(24&gt;=Inputs!$D$36,1,0)+IF(24&gt;=Inputs!$D$39,1,0)+IF(24&gt;=Inputs!$D$40,1,0))*3</f>
        <v/>
      </c>
      <c r="S35" s="24">
        <f>Inputs!$B$61*(IF(27&gt;=Inputs!$D$36,1,0)+IF(27&gt;=Inputs!$D$39,1,0)+IF(27&gt;=Inputs!$D$40,1,0))*3</f>
        <v/>
      </c>
      <c r="T35" s="24">
        <f>Inputs!$B$61*(IF(30&gt;=Inputs!$D$36,1,0)+IF(30&gt;=Inputs!$D$39,1,0)+IF(30&gt;=Inputs!$D$40,1,0))*3</f>
        <v/>
      </c>
      <c r="U35" s="24">
        <f>Inputs!$B$61*(IF(33&gt;=Inputs!$D$36,1,0)+IF(33&gt;=Inputs!$D$39,1,0)+IF(33&gt;=Inputs!$D$40,1,0))*3</f>
        <v/>
      </c>
      <c r="V35" s="24">
        <f>Inputs!$B$61*(IF(36&gt;=Inputs!$D$36,1,0)+IF(36&gt;=Inputs!$D$39,1,0)+IF(36&gt;=Inputs!$D$40,1,0))*3</f>
        <v/>
      </c>
    </row>
    <row r="37">
      <c r="A37" s="28" t="inlineStr">
        <is>
          <t>TOTAL DIRECT-CARE LABOR (COGS)</t>
        </is>
      </c>
      <c r="C37" s="29">
        <f>C14+C22+C23+C32+C34</f>
        <v/>
      </c>
      <c r="D37" s="29">
        <f>D14+D22+D23+D32+D34</f>
        <v/>
      </c>
      <c r="E37" s="29">
        <f>E14+E22+E23+E32+E34</f>
        <v/>
      </c>
      <c r="F37" s="29">
        <f>F14+F22+F23+F32+F34</f>
        <v/>
      </c>
      <c r="G37" s="29">
        <f>G14+G22+G23+G32+G34</f>
        <v/>
      </c>
      <c r="H37" s="29">
        <f>H14+H22+H23+H32+H34</f>
        <v/>
      </c>
      <c r="I37" s="29">
        <f>I14+I22+I23+I32+I34</f>
        <v/>
      </c>
      <c r="J37" s="29">
        <f>J14+J22+J23+J32+J34</f>
        <v/>
      </c>
      <c r="K37" s="29">
        <f>K14+K22+K23+K32+K34</f>
        <v/>
      </c>
      <c r="L37" s="29">
        <f>L14+L22+L23+L32+L34</f>
        <v/>
      </c>
      <c r="M37" s="29">
        <f>M14+M22+M23+M32+M34</f>
        <v/>
      </c>
      <c r="N37" s="29">
        <f>N14+N22+N23+N32+N34</f>
        <v/>
      </c>
      <c r="O37" s="29">
        <f>O14+O22+O23+O32+O34</f>
        <v/>
      </c>
      <c r="P37" s="29">
        <f>P14+P22+P23+P32+P34</f>
        <v/>
      </c>
      <c r="Q37" s="29">
        <f>Q14+Q22+Q23+Q32+Q34</f>
        <v/>
      </c>
      <c r="R37" s="29">
        <f>R14+R22+R23+R32+R34</f>
        <v/>
      </c>
      <c r="S37" s="29">
        <f>S14+S22+S23+S32+S34</f>
        <v/>
      </c>
      <c r="T37" s="29">
        <f>T14+T22+T23+T32+T34</f>
        <v/>
      </c>
      <c r="U37" s="29">
        <f>U14+U22+U23+U32+U34</f>
        <v/>
      </c>
      <c r="V37" s="29">
        <f>V14+V22+V23+V32+V34</f>
        <v/>
      </c>
    </row>
    <row r="38">
      <c r="A38" s="28" t="inlineStr">
        <is>
          <t>TOTAL INDIRECT LABOR (SG&amp;A)</t>
        </is>
      </c>
      <c r="C38" s="29">
        <f>C26+C27+C33+C35</f>
        <v/>
      </c>
      <c r="D38" s="29">
        <f>D26+D27+D33+D35</f>
        <v/>
      </c>
      <c r="E38" s="29">
        <f>E26+E27+E33+E35</f>
        <v/>
      </c>
      <c r="F38" s="29">
        <f>F26+F27+F33+F35</f>
        <v/>
      </c>
      <c r="G38" s="29">
        <f>G26+G27+G33+G35</f>
        <v/>
      </c>
      <c r="H38" s="29">
        <f>H26+H27+H33+H35</f>
        <v/>
      </c>
      <c r="I38" s="29">
        <f>I26+I27+I33+I35</f>
        <v/>
      </c>
      <c r="J38" s="29">
        <f>J26+J27+J33+J35</f>
        <v/>
      </c>
      <c r="K38" s="29">
        <f>K26+K27+K33+K35</f>
        <v/>
      </c>
      <c r="L38" s="29">
        <f>L26+L27+L33+L35</f>
        <v/>
      </c>
      <c r="M38" s="29">
        <f>M26+M27+M33+M35</f>
        <v/>
      </c>
      <c r="N38" s="29">
        <f>N26+N27+N33+N35</f>
        <v/>
      </c>
      <c r="O38" s="29">
        <f>O26+O27+O33+O35</f>
        <v/>
      </c>
      <c r="P38" s="29">
        <f>P26+P27+P33+P35</f>
        <v/>
      </c>
      <c r="Q38" s="29">
        <f>Q26+Q27+Q33+Q35</f>
        <v/>
      </c>
      <c r="R38" s="29">
        <f>R26+R27+R33+R35</f>
        <v/>
      </c>
      <c r="S38" s="29">
        <f>S26+S27+S33+S35</f>
        <v/>
      </c>
      <c r="T38" s="29">
        <f>T26+T27+T33+T35</f>
        <v/>
      </c>
      <c r="U38" s="29">
        <f>U26+U27+U33+U35</f>
        <v/>
      </c>
      <c r="V38" s="29">
        <f>V26+V27+V33+V35</f>
        <v/>
      </c>
    </row>
  </sheetData>
  <mergeCells count="9">
    <mergeCell ref="A2:V2"/>
    <mergeCell ref="A16:V16"/>
    <mergeCell ref="O4:R4"/>
    <mergeCell ref="S4:V4"/>
    <mergeCell ref="A1:V1"/>
    <mergeCell ref="A25:V25"/>
    <mergeCell ref="A29:V29"/>
    <mergeCell ref="A7:V7"/>
    <mergeCell ref="C4:N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32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2" t="inlineStr">
        <is>
          <t>($ per period)</t>
        </is>
      </c>
      <c r="C4" s="43" t="inlineStr">
        <is>
          <t>YEAR 1 — monthly</t>
        </is>
      </c>
      <c r="O4" s="43" t="inlineStr">
        <is>
          <t>YEAR 2 — quarterly</t>
        </is>
      </c>
      <c r="S4" s="43" t="inlineStr">
        <is>
          <t>YEAR 3 — quarterly</t>
        </is>
      </c>
    </row>
    <row r="5">
      <c r="A5" s="44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28" t="inlineStr">
        <is>
          <t>NET REVENUE</t>
        </is>
      </c>
      <c r="C6" s="47">
        <f>'Revenue Model'!C16</f>
        <v/>
      </c>
      <c r="D6" s="47">
        <f>'Revenue Model'!D16</f>
        <v/>
      </c>
      <c r="E6" s="47">
        <f>'Revenue Model'!E16</f>
        <v/>
      </c>
      <c r="F6" s="47">
        <f>'Revenue Model'!F16</f>
        <v/>
      </c>
      <c r="G6" s="47">
        <f>'Revenue Model'!G16</f>
        <v/>
      </c>
      <c r="H6" s="47">
        <f>'Revenue Model'!H16</f>
        <v/>
      </c>
      <c r="I6" s="47">
        <f>'Revenue Model'!I16</f>
        <v/>
      </c>
      <c r="J6" s="47">
        <f>'Revenue Model'!J16</f>
        <v/>
      </c>
      <c r="K6" s="47">
        <f>'Revenue Model'!K16</f>
        <v/>
      </c>
      <c r="L6" s="47">
        <f>'Revenue Model'!L16</f>
        <v/>
      </c>
      <c r="M6" s="47">
        <f>'Revenue Model'!M16</f>
        <v/>
      </c>
      <c r="N6" s="47">
        <f>'Revenue Model'!N16</f>
        <v/>
      </c>
      <c r="O6" s="47">
        <f>'Revenue Model'!O16</f>
        <v/>
      </c>
      <c r="P6" s="47">
        <f>'Revenue Model'!P16</f>
        <v/>
      </c>
      <c r="Q6" s="47">
        <f>'Revenue Model'!Q16</f>
        <v/>
      </c>
      <c r="R6" s="47">
        <f>'Revenue Model'!R16</f>
        <v/>
      </c>
      <c r="S6" s="47">
        <f>'Revenue Model'!S16</f>
        <v/>
      </c>
      <c r="T6" s="47">
        <f>'Revenue Model'!T16</f>
        <v/>
      </c>
      <c r="U6" s="47">
        <f>'Revenue Model'!U16</f>
        <v/>
      </c>
      <c r="V6" s="47">
        <f>'Revenue Model'!V16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26">
        <f>'Staffing &amp; Payroll'!C37</f>
        <v/>
      </c>
      <c r="D9" s="26">
        <f>'Staffing &amp; Payroll'!D37</f>
        <v/>
      </c>
      <c r="E9" s="26">
        <f>'Staffing &amp; Payroll'!E37</f>
        <v/>
      </c>
      <c r="F9" s="26">
        <f>'Staffing &amp; Payroll'!F37</f>
        <v/>
      </c>
      <c r="G9" s="26">
        <f>'Staffing &amp; Payroll'!G37</f>
        <v/>
      </c>
      <c r="H9" s="26">
        <f>'Staffing &amp; Payroll'!H37</f>
        <v/>
      </c>
      <c r="I9" s="26">
        <f>'Staffing &amp; Payroll'!I37</f>
        <v/>
      </c>
      <c r="J9" s="26">
        <f>'Staffing &amp; Payroll'!J37</f>
        <v/>
      </c>
      <c r="K9" s="26">
        <f>'Staffing &amp; Payroll'!K37</f>
        <v/>
      </c>
      <c r="L9" s="26">
        <f>'Staffing &amp; Payroll'!L37</f>
        <v/>
      </c>
      <c r="M9" s="26">
        <f>'Staffing &amp; Payroll'!M37</f>
        <v/>
      </c>
      <c r="N9" s="26">
        <f>'Staffing &amp; Payroll'!N37</f>
        <v/>
      </c>
      <c r="O9" s="26">
        <f>'Staffing &amp; Payroll'!O37</f>
        <v/>
      </c>
      <c r="P9" s="26">
        <f>'Staffing &amp; Payroll'!P37</f>
        <v/>
      </c>
      <c r="Q9" s="26">
        <f>'Staffing &amp; Payroll'!Q37</f>
        <v/>
      </c>
      <c r="R9" s="26">
        <f>'Staffing &amp; Payroll'!R37</f>
        <v/>
      </c>
      <c r="S9" s="26">
        <f>'Staffing &amp; Payroll'!S37</f>
        <v/>
      </c>
      <c r="T9" s="26">
        <f>'Staffing &amp; Payroll'!T37</f>
        <v/>
      </c>
      <c r="U9" s="26">
        <f>'Staffing &amp; Payroll'!U37</f>
        <v/>
      </c>
      <c r="V9" s="26">
        <f>'Staffing &amp; Payroll'!V37</f>
        <v/>
      </c>
    </row>
    <row r="10">
      <c r="A10" s="4" t="inlineStr">
        <is>
          <t>Medical supplies</t>
        </is>
      </c>
      <c r="C10" s="26">
        <f>'Revenue Model'!C12*Inputs!$B$67</f>
        <v/>
      </c>
      <c r="D10" s="26">
        <f>'Revenue Model'!D12*Inputs!$B$67</f>
        <v/>
      </c>
      <c r="E10" s="26">
        <f>'Revenue Model'!E12*Inputs!$B$67</f>
        <v/>
      </c>
      <c r="F10" s="26">
        <f>'Revenue Model'!F12*Inputs!$B$67</f>
        <v/>
      </c>
      <c r="G10" s="26">
        <f>'Revenue Model'!G12*Inputs!$B$67</f>
        <v/>
      </c>
      <c r="H10" s="26">
        <f>'Revenue Model'!H12*Inputs!$B$67</f>
        <v/>
      </c>
      <c r="I10" s="26">
        <f>'Revenue Model'!I12*Inputs!$B$67</f>
        <v/>
      </c>
      <c r="J10" s="26">
        <f>'Revenue Model'!J12*Inputs!$B$67</f>
        <v/>
      </c>
      <c r="K10" s="26">
        <f>'Revenue Model'!K12*Inputs!$B$67</f>
        <v/>
      </c>
      <c r="L10" s="26">
        <f>'Revenue Model'!L12*Inputs!$B$67</f>
        <v/>
      </c>
      <c r="M10" s="26">
        <f>'Revenue Model'!M12*Inputs!$B$67</f>
        <v/>
      </c>
      <c r="N10" s="26">
        <f>'Revenue Model'!N12*Inputs!$B$67</f>
        <v/>
      </c>
      <c r="O10" s="26">
        <f>'Revenue Model'!O12*Inputs!$B$67</f>
        <v/>
      </c>
      <c r="P10" s="26">
        <f>'Revenue Model'!P12*Inputs!$B$67</f>
        <v/>
      </c>
      <c r="Q10" s="26">
        <f>'Revenue Model'!Q12*Inputs!$B$67</f>
        <v/>
      </c>
      <c r="R10" s="26">
        <f>'Revenue Model'!R12*Inputs!$B$67</f>
        <v/>
      </c>
      <c r="S10" s="26">
        <f>'Revenue Model'!S12*Inputs!$B$67</f>
        <v/>
      </c>
      <c r="T10" s="26">
        <f>'Revenue Model'!T12*Inputs!$B$67</f>
        <v/>
      </c>
      <c r="U10" s="26">
        <f>'Revenue Model'!U12*Inputs!$B$67</f>
        <v/>
      </c>
      <c r="V10" s="26">
        <f>'Revenue Model'!V12*Inputs!$B$67</f>
        <v/>
      </c>
    </row>
    <row r="11">
      <c r="A11" s="4" t="inlineStr">
        <is>
          <t>DME</t>
        </is>
      </c>
      <c r="C11" s="26">
        <f>'Revenue Model'!C12*Inputs!$B$68</f>
        <v/>
      </c>
      <c r="D11" s="26">
        <f>'Revenue Model'!D12*Inputs!$B$68</f>
        <v/>
      </c>
      <c r="E11" s="26">
        <f>'Revenue Model'!E12*Inputs!$B$68</f>
        <v/>
      </c>
      <c r="F11" s="26">
        <f>'Revenue Model'!F12*Inputs!$B$68</f>
        <v/>
      </c>
      <c r="G11" s="26">
        <f>'Revenue Model'!G12*Inputs!$B$68</f>
        <v/>
      </c>
      <c r="H11" s="26">
        <f>'Revenue Model'!H12*Inputs!$B$68</f>
        <v/>
      </c>
      <c r="I11" s="26">
        <f>'Revenue Model'!I12*Inputs!$B$68</f>
        <v/>
      </c>
      <c r="J11" s="26">
        <f>'Revenue Model'!J12*Inputs!$B$68</f>
        <v/>
      </c>
      <c r="K11" s="26">
        <f>'Revenue Model'!K12*Inputs!$B$68</f>
        <v/>
      </c>
      <c r="L11" s="26">
        <f>'Revenue Model'!L12*Inputs!$B$68</f>
        <v/>
      </c>
      <c r="M11" s="26">
        <f>'Revenue Model'!M12*Inputs!$B$68</f>
        <v/>
      </c>
      <c r="N11" s="26">
        <f>'Revenue Model'!N12*Inputs!$B$68</f>
        <v/>
      </c>
      <c r="O11" s="26">
        <f>'Revenue Model'!O12*Inputs!$B$68</f>
        <v/>
      </c>
      <c r="P11" s="26">
        <f>'Revenue Model'!P12*Inputs!$B$68</f>
        <v/>
      </c>
      <c r="Q11" s="26">
        <f>'Revenue Model'!Q12*Inputs!$B$68</f>
        <v/>
      </c>
      <c r="R11" s="26">
        <f>'Revenue Model'!R12*Inputs!$B$68</f>
        <v/>
      </c>
      <c r="S11" s="26">
        <f>'Revenue Model'!S12*Inputs!$B$68</f>
        <v/>
      </c>
      <c r="T11" s="26">
        <f>'Revenue Model'!T12*Inputs!$B$68</f>
        <v/>
      </c>
      <c r="U11" s="26">
        <f>'Revenue Model'!U12*Inputs!$B$68</f>
        <v/>
      </c>
      <c r="V11" s="26">
        <f>'Revenue Model'!V12*Inputs!$B$68</f>
        <v/>
      </c>
    </row>
    <row r="12">
      <c r="A12" s="4" t="inlineStr">
        <is>
          <t>Pharmacy</t>
        </is>
      </c>
      <c r="C12" s="26">
        <f>'Revenue Model'!C12*Inputs!$B$69</f>
        <v/>
      </c>
      <c r="D12" s="26">
        <f>'Revenue Model'!D12*Inputs!$B$69</f>
        <v/>
      </c>
      <c r="E12" s="26">
        <f>'Revenue Model'!E12*Inputs!$B$69</f>
        <v/>
      </c>
      <c r="F12" s="26">
        <f>'Revenue Model'!F12*Inputs!$B$69</f>
        <v/>
      </c>
      <c r="G12" s="26">
        <f>'Revenue Model'!G12*Inputs!$B$69</f>
        <v/>
      </c>
      <c r="H12" s="26">
        <f>'Revenue Model'!H12*Inputs!$B$69</f>
        <v/>
      </c>
      <c r="I12" s="26">
        <f>'Revenue Model'!I12*Inputs!$B$69</f>
        <v/>
      </c>
      <c r="J12" s="26">
        <f>'Revenue Model'!J12*Inputs!$B$69</f>
        <v/>
      </c>
      <c r="K12" s="26">
        <f>'Revenue Model'!K12*Inputs!$B$69</f>
        <v/>
      </c>
      <c r="L12" s="26">
        <f>'Revenue Model'!L12*Inputs!$B$69</f>
        <v/>
      </c>
      <c r="M12" s="26">
        <f>'Revenue Model'!M12*Inputs!$B$69</f>
        <v/>
      </c>
      <c r="N12" s="26">
        <f>'Revenue Model'!N12*Inputs!$B$69</f>
        <v/>
      </c>
      <c r="O12" s="26">
        <f>'Revenue Model'!O12*Inputs!$B$69</f>
        <v/>
      </c>
      <c r="P12" s="26">
        <f>'Revenue Model'!P12*Inputs!$B$69</f>
        <v/>
      </c>
      <c r="Q12" s="26">
        <f>'Revenue Model'!Q12*Inputs!$B$69</f>
        <v/>
      </c>
      <c r="R12" s="26">
        <f>'Revenue Model'!R12*Inputs!$B$69</f>
        <v/>
      </c>
      <c r="S12" s="26">
        <f>'Revenue Model'!S12*Inputs!$B$69</f>
        <v/>
      </c>
      <c r="T12" s="26">
        <f>'Revenue Model'!T12*Inputs!$B$69</f>
        <v/>
      </c>
      <c r="U12" s="26">
        <f>'Revenue Model'!U12*Inputs!$B$69</f>
        <v/>
      </c>
      <c r="V12" s="26">
        <f>'Revenue Model'!V12*Inputs!$B$69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28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28" t="inlineStr">
        <is>
          <t>GROSS PROFIT</t>
        </is>
      </c>
      <c r="C15" s="29">
        <f>C6-C14</f>
        <v/>
      </c>
      <c r="D15" s="29">
        <f>D6-D14</f>
        <v/>
      </c>
      <c r="E15" s="29">
        <f>E6-E14</f>
        <v/>
      </c>
      <c r="F15" s="29">
        <f>F6-F14</f>
        <v/>
      </c>
      <c r="G15" s="29">
        <f>G6-G14</f>
        <v/>
      </c>
      <c r="H15" s="29">
        <f>H6-H14</f>
        <v/>
      </c>
      <c r="I15" s="29">
        <f>I6-I14</f>
        <v/>
      </c>
      <c r="J15" s="29">
        <f>J6-J14</f>
        <v/>
      </c>
      <c r="K15" s="29">
        <f>K6-K14</f>
        <v/>
      </c>
      <c r="L15" s="29">
        <f>L6-L14</f>
        <v/>
      </c>
      <c r="M15" s="29">
        <f>M6-M14</f>
        <v/>
      </c>
      <c r="N15" s="29">
        <f>N6-N14</f>
        <v/>
      </c>
      <c r="O15" s="29">
        <f>O6-O14</f>
        <v/>
      </c>
      <c r="P15" s="29">
        <f>P6-P14</f>
        <v/>
      </c>
      <c r="Q15" s="29">
        <f>Q6-Q14</f>
        <v/>
      </c>
      <c r="R15" s="29">
        <f>R6-R14</f>
        <v/>
      </c>
      <c r="S15" s="29">
        <f>S6-S14</f>
        <v/>
      </c>
      <c r="T15" s="29">
        <f>T6-T14</f>
        <v/>
      </c>
      <c r="U15" s="29">
        <f>U6-U14</f>
        <v/>
      </c>
      <c r="V15" s="29">
        <f>V6-V14</f>
        <v/>
      </c>
    </row>
    <row r="16">
      <c r="A16" s="21" t="inlineStr">
        <is>
          <t>Gross margin %</t>
        </is>
      </c>
      <c r="C16" s="36">
        <f>IF(C6=0,0,C15/C6)</f>
        <v/>
      </c>
      <c r="D16" s="36">
        <f>IF(D6=0,0,D15/D6)</f>
        <v/>
      </c>
      <c r="E16" s="36">
        <f>IF(E6=0,0,E15/E6)</f>
        <v/>
      </c>
      <c r="F16" s="36">
        <f>IF(F6=0,0,F15/F6)</f>
        <v/>
      </c>
      <c r="G16" s="36">
        <f>IF(G6=0,0,G15/G6)</f>
        <v/>
      </c>
      <c r="H16" s="36">
        <f>IF(H6=0,0,H15/H6)</f>
        <v/>
      </c>
      <c r="I16" s="36">
        <f>IF(I6=0,0,I15/I6)</f>
        <v/>
      </c>
      <c r="J16" s="36">
        <f>IF(J6=0,0,J15/J6)</f>
        <v/>
      </c>
      <c r="K16" s="36">
        <f>IF(K6=0,0,K15/K6)</f>
        <v/>
      </c>
      <c r="L16" s="36">
        <f>IF(L6=0,0,L15/L6)</f>
        <v/>
      </c>
      <c r="M16" s="36">
        <f>IF(M6=0,0,M15/M6)</f>
        <v/>
      </c>
      <c r="N16" s="36">
        <f>IF(N6=0,0,N15/N6)</f>
        <v/>
      </c>
      <c r="O16" s="36">
        <f>IF(O6=0,0,O15/O6)</f>
        <v/>
      </c>
      <c r="P16" s="36">
        <f>IF(P6=0,0,P15/P6)</f>
        <v/>
      </c>
      <c r="Q16" s="36">
        <f>IF(Q6=0,0,Q15/Q6)</f>
        <v/>
      </c>
      <c r="R16" s="36">
        <f>IF(R6=0,0,R15/R6)</f>
        <v/>
      </c>
      <c r="S16" s="36">
        <f>IF(S6=0,0,S15/S6)</f>
        <v/>
      </c>
      <c r="T16" s="36">
        <f>IF(T6=0,0,T15/T6)</f>
        <v/>
      </c>
      <c r="U16" s="36">
        <f>IF(U6=0,0,U15/U6)</f>
        <v/>
      </c>
      <c r="V16" s="36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26">
        <f>'Staffing &amp; Payroll'!C38</f>
        <v/>
      </c>
      <c r="D19" s="26">
        <f>'Staffing &amp; Payroll'!D38</f>
        <v/>
      </c>
      <c r="E19" s="26">
        <f>'Staffing &amp; Payroll'!E38</f>
        <v/>
      </c>
      <c r="F19" s="26">
        <f>'Staffing &amp; Payroll'!F38</f>
        <v/>
      </c>
      <c r="G19" s="26">
        <f>'Staffing &amp; Payroll'!G38</f>
        <v/>
      </c>
      <c r="H19" s="26">
        <f>'Staffing &amp; Payroll'!H38</f>
        <v/>
      </c>
      <c r="I19" s="26">
        <f>'Staffing &amp; Payroll'!I38</f>
        <v/>
      </c>
      <c r="J19" s="26">
        <f>'Staffing &amp; Payroll'!J38</f>
        <v/>
      </c>
      <c r="K19" s="26">
        <f>'Staffing &amp; Payroll'!K38</f>
        <v/>
      </c>
      <c r="L19" s="26">
        <f>'Staffing &amp; Payroll'!L38</f>
        <v/>
      </c>
      <c r="M19" s="26">
        <f>'Staffing &amp; Payroll'!M38</f>
        <v/>
      </c>
      <c r="N19" s="26">
        <f>'Staffing &amp; Payroll'!N38</f>
        <v/>
      </c>
      <c r="O19" s="26">
        <f>'Staffing &amp; Payroll'!O38</f>
        <v/>
      </c>
      <c r="P19" s="26">
        <f>'Staffing &amp; Payroll'!P38</f>
        <v/>
      </c>
      <c r="Q19" s="26">
        <f>'Staffing &amp; Payroll'!Q38</f>
        <v/>
      </c>
      <c r="R19" s="26">
        <f>'Staffing &amp; Payroll'!R38</f>
        <v/>
      </c>
      <c r="S19" s="26">
        <f>'Staffing &amp; Payroll'!S38</f>
        <v/>
      </c>
      <c r="T19" s="26">
        <f>'Staffing &amp; Payroll'!T38</f>
        <v/>
      </c>
      <c r="U19" s="26">
        <f>'Staffing &amp; Payroll'!U38</f>
        <v/>
      </c>
      <c r="V19" s="26">
        <f>'Staffing &amp; Payroll'!V38</f>
        <v/>
      </c>
    </row>
    <row r="20">
      <c r="A20" s="4" t="inlineStr">
        <is>
          <t>Fixed G&amp;A (utilities, EMR, billing, rent, mktg…)</t>
        </is>
      </c>
      <c r="C20" s="26">
        <f>SUM(Inputs!$B$72:$B$85)*1</f>
        <v/>
      </c>
      <c r="D20" s="26">
        <f>SUM(Inputs!$B$72:$B$85)*1</f>
        <v/>
      </c>
      <c r="E20" s="26">
        <f>SUM(Inputs!$B$72:$B$85)*1</f>
        <v/>
      </c>
      <c r="F20" s="26">
        <f>SUM(Inputs!$B$72:$B$85)*1</f>
        <v/>
      </c>
      <c r="G20" s="26">
        <f>SUM(Inputs!$B$72:$B$85)*1</f>
        <v/>
      </c>
      <c r="H20" s="26">
        <f>SUM(Inputs!$B$72:$B$85)*1</f>
        <v/>
      </c>
      <c r="I20" s="26">
        <f>SUM(Inputs!$B$72:$B$85)*1</f>
        <v/>
      </c>
      <c r="J20" s="26">
        <f>SUM(Inputs!$B$72:$B$85)*1</f>
        <v/>
      </c>
      <c r="K20" s="26">
        <f>SUM(Inputs!$B$72:$B$85)*1</f>
        <v/>
      </c>
      <c r="L20" s="26">
        <f>SUM(Inputs!$B$72:$B$85)*1</f>
        <v/>
      </c>
      <c r="M20" s="26">
        <f>SUM(Inputs!$B$72:$B$85)*1</f>
        <v/>
      </c>
      <c r="N20" s="26">
        <f>SUM(Inputs!$B$72:$B$85)*1</f>
        <v/>
      </c>
      <c r="O20" s="26">
        <f>SUM(Inputs!$B$72:$B$85)*3</f>
        <v/>
      </c>
      <c r="P20" s="26">
        <f>SUM(Inputs!$B$72:$B$85)*3</f>
        <v/>
      </c>
      <c r="Q20" s="26">
        <f>SUM(Inputs!$B$72:$B$85)*3</f>
        <v/>
      </c>
      <c r="R20" s="26">
        <f>SUM(Inputs!$B$72:$B$85)*3</f>
        <v/>
      </c>
      <c r="S20" s="26">
        <f>SUM(Inputs!$B$72:$B$85)*3</f>
        <v/>
      </c>
      <c r="T20" s="26">
        <f>SUM(Inputs!$B$72:$B$85)*3</f>
        <v/>
      </c>
      <c r="U20" s="26">
        <f>SUM(Inputs!$B$72:$B$85)*3</f>
        <v/>
      </c>
      <c r="V20" s="26">
        <f>SUM(Inputs!$B$72:$B$85)*3</f>
        <v/>
      </c>
    </row>
    <row r="21">
      <c r="A21" s="4" t="inlineStr">
        <is>
          <t>QR payment fee (% of gross)</t>
        </is>
      </c>
      <c r="C21" s="26">
        <f>'Revenue Model'!C13*Inputs!$B$88</f>
        <v/>
      </c>
      <c r="D21" s="26">
        <f>'Revenue Model'!D13*Inputs!$B$88</f>
        <v/>
      </c>
      <c r="E21" s="26">
        <f>'Revenue Model'!E13*Inputs!$B$88</f>
        <v/>
      </c>
      <c r="F21" s="26">
        <f>'Revenue Model'!F13*Inputs!$B$88</f>
        <v/>
      </c>
      <c r="G21" s="26">
        <f>'Revenue Model'!G13*Inputs!$B$88</f>
        <v/>
      </c>
      <c r="H21" s="26">
        <f>'Revenue Model'!H13*Inputs!$B$88</f>
        <v/>
      </c>
      <c r="I21" s="26">
        <f>'Revenue Model'!I13*Inputs!$B$88</f>
        <v/>
      </c>
      <c r="J21" s="26">
        <f>'Revenue Model'!J13*Inputs!$B$88</f>
        <v/>
      </c>
      <c r="K21" s="26">
        <f>'Revenue Model'!K13*Inputs!$B$88</f>
        <v/>
      </c>
      <c r="L21" s="26">
        <f>'Revenue Model'!L13*Inputs!$B$88</f>
        <v/>
      </c>
      <c r="M21" s="26">
        <f>'Revenue Model'!M13*Inputs!$B$88</f>
        <v/>
      </c>
      <c r="N21" s="26">
        <f>'Revenue Model'!N13*Inputs!$B$88</f>
        <v/>
      </c>
      <c r="O21" s="26">
        <f>'Revenue Model'!O13*Inputs!$B$88</f>
        <v/>
      </c>
      <c r="P21" s="26">
        <f>'Revenue Model'!P13*Inputs!$B$88</f>
        <v/>
      </c>
      <c r="Q21" s="26">
        <f>'Revenue Model'!Q13*Inputs!$B$88</f>
        <v/>
      </c>
      <c r="R21" s="26">
        <f>'Revenue Model'!R13*Inputs!$B$88</f>
        <v/>
      </c>
      <c r="S21" s="26">
        <f>'Revenue Model'!S13*Inputs!$B$88</f>
        <v/>
      </c>
      <c r="T21" s="26">
        <f>'Revenue Model'!T13*Inputs!$B$88</f>
        <v/>
      </c>
      <c r="U21" s="26">
        <f>'Revenue Model'!U13*Inputs!$B$88</f>
        <v/>
      </c>
      <c r="V21" s="26">
        <f>'Revenue Model'!V13*Inputs!$B$88</f>
        <v/>
      </c>
    </row>
    <row r="22">
      <c r="A22" s="28" t="inlineStr">
        <is>
          <t>TOTAL SG&amp;A</t>
        </is>
      </c>
      <c r="C22" s="23">
        <f>C19+C20+C21</f>
        <v/>
      </c>
      <c r="D22" s="23">
        <f>D19+D20+D21</f>
        <v/>
      </c>
      <c r="E22" s="23">
        <f>E19+E20+E21</f>
        <v/>
      </c>
      <c r="F22" s="23">
        <f>F19+F20+F21</f>
        <v/>
      </c>
      <c r="G22" s="23">
        <f>G19+G20+G21</f>
        <v/>
      </c>
      <c r="H22" s="23">
        <f>H19+H20+H21</f>
        <v/>
      </c>
      <c r="I22" s="23">
        <f>I19+I20+I21</f>
        <v/>
      </c>
      <c r="J22" s="23">
        <f>J19+J20+J21</f>
        <v/>
      </c>
      <c r="K22" s="23">
        <f>K19+K20+K21</f>
        <v/>
      </c>
      <c r="L22" s="23">
        <f>L19+L20+L21</f>
        <v/>
      </c>
      <c r="M22" s="23">
        <f>M19+M20+M21</f>
        <v/>
      </c>
      <c r="N22" s="23">
        <f>N19+N20+N21</f>
        <v/>
      </c>
      <c r="O22" s="23">
        <f>O19+O20+O21</f>
        <v/>
      </c>
      <c r="P22" s="23">
        <f>P19+P20+P21</f>
        <v/>
      </c>
      <c r="Q22" s="23">
        <f>Q19+Q20+Q21</f>
        <v/>
      </c>
      <c r="R22" s="23">
        <f>R19+R20+R21</f>
        <v/>
      </c>
      <c r="S22" s="23">
        <f>S19+S20+S21</f>
        <v/>
      </c>
      <c r="T22" s="23">
        <f>T19+T20+T21</f>
        <v/>
      </c>
      <c r="U22" s="23">
        <f>U19+U20+U21</f>
        <v/>
      </c>
      <c r="V22" s="23">
        <f>V19+V20+V21</f>
        <v/>
      </c>
    </row>
    <row r="23">
      <c r="A23" s="28" t="inlineStr">
        <is>
          <t>EBITDA</t>
        </is>
      </c>
      <c r="C23" s="48">
        <f>C15-C22</f>
        <v/>
      </c>
      <c r="D23" s="48">
        <f>D15-D22</f>
        <v/>
      </c>
      <c r="E23" s="48">
        <f>E15-E22</f>
        <v/>
      </c>
      <c r="F23" s="48">
        <f>F15-F22</f>
        <v/>
      </c>
      <c r="G23" s="48">
        <f>G15-G22</f>
        <v/>
      </c>
      <c r="H23" s="48">
        <f>H15-H22</f>
        <v/>
      </c>
      <c r="I23" s="48">
        <f>I15-I22</f>
        <v/>
      </c>
      <c r="J23" s="48">
        <f>J15-J22</f>
        <v/>
      </c>
      <c r="K23" s="48">
        <f>K15-K22</f>
        <v/>
      </c>
      <c r="L23" s="48">
        <f>L15-L22</f>
        <v/>
      </c>
      <c r="M23" s="48">
        <f>M15-M22</f>
        <v/>
      </c>
      <c r="N23" s="48">
        <f>N15-N22</f>
        <v/>
      </c>
      <c r="O23" s="48">
        <f>O15-O22</f>
        <v/>
      </c>
      <c r="P23" s="48">
        <f>P15-P22</f>
        <v/>
      </c>
      <c r="Q23" s="48">
        <f>Q15-Q22</f>
        <v/>
      </c>
      <c r="R23" s="48">
        <f>R15-R22</f>
        <v/>
      </c>
      <c r="S23" s="48">
        <f>S15-S22</f>
        <v/>
      </c>
      <c r="T23" s="48">
        <f>T15-T22</f>
        <v/>
      </c>
      <c r="U23" s="48">
        <f>U15-U22</f>
        <v/>
      </c>
      <c r="V23" s="48">
        <f>V15-V22</f>
        <v/>
      </c>
    </row>
    <row r="24">
      <c r="A24" s="21" t="inlineStr">
        <is>
          <t>EBITDA margin %</t>
        </is>
      </c>
      <c r="C24" s="36">
        <f>IF(C6=0,0,C23/C6)</f>
        <v/>
      </c>
      <c r="D24" s="36">
        <f>IF(D6=0,0,D23/D6)</f>
        <v/>
      </c>
      <c r="E24" s="36">
        <f>IF(E6=0,0,E23/E6)</f>
        <v/>
      </c>
      <c r="F24" s="36">
        <f>IF(F6=0,0,F23/F6)</f>
        <v/>
      </c>
      <c r="G24" s="36">
        <f>IF(G6=0,0,G23/G6)</f>
        <v/>
      </c>
      <c r="H24" s="36">
        <f>IF(H6=0,0,H23/H6)</f>
        <v/>
      </c>
      <c r="I24" s="36">
        <f>IF(I6=0,0,I23/I6)</f>
        <v/>
      </c>
      <c r="J24" s="36">
        <f>IF(J6=0,0,J23/J6)</f>
        <v/>
      </c>
      <c r="K24" s="36">
        <f>IF(K6=0,0,K23/K6)</f>
        <v/>
      </c>
      <c r="L24" s="36">
        <f>IF(L6=0,0,L23/L6)</f>
        <v/>
      </c>
      <c r="M24" s="36">
        <f>IF(M6=0,0,M23/M6)</f>
        <v/>
      </c>
      <c r="N24" s="36">
        <f>IF(N6=0,0,N23/N6)</f>
        <v/>
      </c>
      <c r="O24" s="36">
        <f>IF(O6=0,0,O23/O6)</f>
        <v/>
      </c>
      <c r="P24" s="36">
        <f>IF(P6=0,0,P23/P6)</f>
        <v/>
      </c>
      <c r="Q24" s="36">
        <f>IF(Q6=0,0,Q23/Q6)</f>
        <v/>
      </c>
      <c r="R24" s="36">
        <f>IF(R6=0,0,R23/R6)</f>
        <v/>
      </c>
      <c r="S24" s="36">
        <f>IF(S6=0,0,S23/S6)</f>
        <v/>
      </c>
      <c r="T24" s="36">
        <f>IF(T6=0,0,T23/T6)</f>
        <v/>
      </c>
      <c r="U24" s="36">
        <f>IF(U6=0,0,U23/U6)</f>
        <v/>
      </c>
      <c r="V24" s="36">
        <f>IF(V6=0,0,V23/V6)</f>
        <v/>
      </c>
    </row>
    <row r="26">
      <c r="A26" s="3" t="inlineStr">
        <is>
          <t>BELOW EBITDA</t>
        </is>
      </c>
    </row>
    <row r="27">
      <c r="A27" s="4" t="inlineStr">
        <is>
          <t>Depreciation &amp; amortization</t>
        </is>
      </c>
      <c r="C27" s="26">
        <f>Inputs!$B$118*1</f>
        <v/>
      </c>
      <c r="D27" s="26">
        <f>Inputs!$B$118*1</f>
        <v/>
      </c>
      <c r="E27" s="26">
        <f>Inputs!$B$118*1</f>
        <v/>
      </c>
      <c r="F27" s="26">
        <f>Inputs!$B$118*1</f>
        <v/>
      </c>
      <c r="G27" s="26">
        <f>Inputs!$B$118*1</f>
        <v/>
      </c>
      <c r="H27" s="26">
        <f>Inputs!$B$118*1</f>
        <v/>
      </c>
      <c r="I27" s="26">
        <f>Inputs!$B$118*1</f>
        <v/>
      </c>
      <c r="J27" s="26">
        <f>Inputs!$B$118*1</f>
        <v/>
      </c>
      <c r="K27" s="26">
        <f>Inputs!$B$118*1</f>
        <v/>
      </c>
      <c r="L27" s="26">
        <f>Inputs!$B$118*1</f>
        <v/>
      </c>
      <c r="M27" s="26">
        <f>Inputs!$B$118*1</f>
        <v/>
      </c>
      <c r="N27" s="26">
        <f>Inputs!$B$118*1</f>
        <v/>
      </c>
      <c r="O27" s="26">
        <f>Inputs!$B$118*3</f>
        <v/>
      </c>
      <c r="P27" s="26">
        <f>Inputs!$B$118*3</f>
        <v/>
      </c>
      <c r="Q27" s="26">
        <f>Inputs!$B$118*3</f>
        <v/>
      </c>
      <c r="R27" s="26">
        <f>Inputs!$B$118*3</f>
        <v/>
      </c>
      <c r="S27" s="26">
        <f>Inputs!$B$118*3</f>
        <v/>
      </c>
      <c r="T27" s="26">
        <f>Inputs!$B$118*3</f>
        <v/>
      </c>
      <c r="U27" s="26">
        <f>Inputs!$B$118*3</f>
        <v/>
      </c>
      <c r="V27" s="26">
        <f>Inputs!$B$118*3</f>
        <v/>
      </c>
    </row>
    <row r="28">
      <c r="A28" s="4" t="inlineStr">
        <is>
          <t>Interest — SBA loan</t>
        </is>
      </c>
      <c r="C28" s="26">
        <f>'Debt Schedule'!C11</f>
        <v/>
      </c>
      <c r="D28" s="26">
        <f>'Debt Schedule'!D11</f>
        <v/>
      </c>
      <c r="E28" s="26">
        <f>'Debt Schedule'!E11</f>
        <v/>
      </c>
      <c r="F28" s="26">
        <f>'Debt Schedule'!F11</f>
        <v/>
      </c>
      <c r="G28" s="26">
        <f>'Debt Schedule'!G11</f>
        <v/>
      </c>
      <c r="H28" s="26">
        <f>'Debt Schedule'!H11</f>
        <v/>
      </c>
      <c r="I28" s="26">
        <f>'Debt Schedule'!I11</f>
        <v/>
      </c>
      <c r="J28" s="26">
        <f>'Debt Schedule'!J11</f>
        <v/>
      </c>
      <c r="K28" s="26">
        <f>'Debt Schedule'!K11</f>
        <v/>
      </c>
      <c r="L28" s="26">
        <f>'Debt Schedule'!L11</f>
        <v/>
      </c>
      <c r="M28" s="26">
        <f>'Debt Schedule'!M11</f>
        <v/>
      </c>
      <c r="N28" s="26">
        <f>'Debt Schedule'!N11</f>
        <v/>
      </c>
      <c r="O28" s="26">
        <f>'Debt Schedule'!O11</f>
        <v/>
      </c>
      <c r="P28" s="26">
        <f>'Debt Schedule'!P11</f>
        <v/>
      </c>
      <c r="Q28" s="26">
        <f>'Debt Schedule'!Q11</f>
        <v/>
      </c>
      <c r="R28" s="26">
        <f>'Debt Schedule'!R11</f>
        <v/>
      </c>
      <c r="S28" s="26">
        <f>'Debt Schedule'!S11</f>
        <v/>
      </c>
      <c r="T28" s="26">
        <f>'Debt Schedule'!T11</f>
        <v/>
      </c>
      <c r="U28" s="26">
        <f>'Debt Schedule'!U11</f>
        <v/>
      </c>
      <c r="V28" s="26">
        <f>'Debt Schedule'!V11</f>
        <v/>
      </c>
    </row>
    <row r="29">
      <c r="A29" s="4" t="inlineStr">
        <is>
          <t>Interest — working-capital line</t>
        </is>
      </c>
      <c r="C29" s="26">
        <f>'Cash Flow &amp; BS'!C15</f>
        <v/>
      </c>
      <c r="D29" s="26">
        <f>'Cash Flow &amp; BS'!D15</f>
        <v/>
      </c>
      <c r="E29" s="26">
        <f>'Cash Flow &amp; BS'!E15</f>
        <v/>
      </c>
      <c r="F29" s="26">
        <f>'Cash Flow &amp; BS'!F15</f>
        <v/>
      </c>
      <c r="G29" s="26">
        <f>'Cash Flow &amp; BS'!G15</f>
        <v/>
      </c>
      <c r="H29" s="26">
        <f>'Cash Flow &amp; BS'!H15</f>
        <v/>
      </c>
      <c r="I29" s="26">
        <f>'Cash Flow &amp; BS'!I15</f>
        <v/>
      </c>
      <c r="J29" s="26">
        <f>'Cash Flow &amp; BS'!J15</f>
        <v/>
      </c>
      <c r="K29" s="26">
        <f>'Cash Flow &amp; BS'!K15</f>
        <v/>
      </c>
      <c r="L29" s="26">
        <f>'Cash Flow &amp; BS'!L15</f>
        <v/>
      </c>
      <c r="M29" s="26">
        <f>'Cash Flow &amp; BS'!M15</f>
        <v/>
      </c>
      <c r="N29" s="26">
        <f>'Cash Flow &amp; BS'!N15</f>
        <v/>
      </c>
      <c r="O29" s="26">
        <f>'Cash Flow &amp; BS'!O15</f>
        <v/>
      </c>
      <c r="P29" s="26">
        <f>'Cash Flow &amp; BS'!P15</f>
        <v/>
      </c>
      <c r="Q29" s="26">
        <f>'Cash Flow &amp; BS'!Q15</f>
        <v/>
      </c>
      <c r="R29" s="26">
        <f>'Cash Flow &amp; BS'!R15</f>
        <v/>
      </c>
      <c r="S29" s="26">
        <f>'Cash Flow &amp; BS'!S15</f>
        <v/>
      </c>
      <c r="T29" s="26">
        <f>'Cash Flow &amp; BS'!T15</f>
        <v/>
      </c>
      <c r="U29" s="26">
        <f>'Cash Flow &amp; BS'!U15</f>
        <v/>
      </c>
      <c r="V29" s="26">
        <f>'Cash Flow &amp; BS'!V15</f>
        <v/>
      </c>
    </row>
    <row r="30">
      <c r="A30" s="28" t="inlineStr">
        <is>
          <t>PRE-TAX INCOME</t>
        </is>
      </c>
      <c r="C30" s="23">
        <f>C23-C27-C28-C29</f>
        <v/>
      </c>
      <c r="D30" s="23">
        <f>D23-D27-D28-D29</f>
        <v/>
      </c>
      <c r="E30" s="23">
        <f>E23-E27-E28-E29</f>
        <v/>
      </c>
      <c r="F30" s="23">
        <f>F23-F27-F28-F29</f>
        <v/>
      </c>
      <c r="G30" s="23">
        <f>G23-G27-G28-G29</f>
        <v/>
      </c>
      <c r="H30" s="23">
        <f>H23-H27-H28-H29</f>
        <v/>
      </c>
      <c r="I30" s="23">
        <f>I23-I27-I28-I29</f>
        <v/>
      </c>
      <c r="J30" s="23">
        <f>J23-J27-J28-J29</f>
        <v/>
      </c>
      <c r="K30" s="23">
        <f>K23-K27-K28-K29</f>
        <v/>
      </c>
      <c r="L30" s="23">
        <f>L23-L27-L28-L29</f>
        <v/>
      </c>
      <c r="M30" s="23">
        <f>M23-M27-M28-M29</f>
        <v/>
      </c>
      <c r="N30" s="23">
        <f>N23-N27-N28-N29</f>
        <v/>
      </c>
      <c r="O30" s="23">
        <f>O23-O27-O28-O29</f>
        <v/>
      </c>
      <c r="P30" s="23">
        <f>P23-P27-P28-P29</f>
        <v/>
      </c>
      <c r="Q30" s="23">
        <f>Q23-Q27-Q28-Q29</f>
        <v/>
      </c>
      <c r="R30" s="23">
        <f>R23-R27-R28-R29</f>
        <v/>
      </c>
      <c r="S30" s="23">
        <f>S23-S27-S28-S29</f>
        <v/>
      </c>
      <c r="T30" s="23">
        <f>T23-T27-T28-T29</f>
        <v/>
      </c>
      <c r="U30" s="23">
        <f>U23-U27-U28-U29</f>
        <v/>
      </c>
      <c r="V30" s="23">
        <f>V23-V27-V28-V29</f>
        <v/>
      </c>
    </row>
    <row r="31">
      <c r="A31" s="4" t="inlineStr">
        <is>
          <t>TX franchise / margin tax</t>
        </is>
      </c>
      <c r="C31" s="24">
        <f>IF(C30&gt;0,C6*Inputs!$B$100,0)</f>
        <v/>
      </c>
      <c r="D31" s="24">
        <f>IF(D30&gt;0,D6*Inputs!$B$100,0)</f>
        <v/>
      </c>
      <c r="E31" s="24">
        <f>IF(E30&gt;0,E6*Inputs!$B$100,0)</f>
        <v/>
      </c>
      <c r="F31" s="24">
        <f>IF(F30&gt;0,F6*Inputs!$B$100,0)</f>
        <v/>
      </c>
      <c r="G31" s="24">
        <f>IF(G30&gt;0,G6*Inputs!$B$100,0)</f>
        <v/>
      </c>
      <c r="H31" s="24">
        <f>IF(H30&gt;0,H6*Inputs!$B$100,0)</f>
        <v/>
      </c>
      <c r="I31" s="24">
        <f>IF(I30&gt;0,I6*Inputs!$B$100,0)</f>
        <v/>
      </c>
      <c r="J31" s="24">
        <f>IF(J30&gt;0,J6*Inputs!$B$100,0)</f>
        <v/>
      </c>
      <c r="K31" s="24">
        <f>IF(K30&gt;0,K6*Inputs!$B$100,0)</f>
        <v/>
      </c>
      <c r="L31" s="24">
        <f>IF(L30&gt;0,L6*Inputs!$B$100,0)</f>
        <v/>
      </c>
      <c r="M31" s="24">
        <f>IF(M30&gt;0,M6*Inputs!$B$100,0)</f>
        <v/>
      </c>
      <c r="N31" s="24">
        <f>IF(N30&gt;0,N6*Inputs!$B$100,0)</f>
        <v/>
      </c>
      <c r="O31" s="24">
        <f>IF(O30&gt;0,O6*Inputs!$B$100,0)</f>
        <v/>
      </c>
      <c r="P31" s="24">
        <f>IF(P30&gt;0,P6*Inputs!$B$100,0)</f>
        <v/>
      </c>
      <c r="Q31" s="24">
        <f>IF(Q30&gt;0,Q6*Inputs!$B$100,0)</f>
        <v/>
      </c>
      <c r="R31" s="24">
        <f>IF(R30&gt;0,R6*Inputs!$B$100,0)</f>
        <v/>
      </c>
      <c r="S31" s="24">
        <f>IF(S30&gt;0,S6*Inputs!$B$100,0)</f>
        <v/>
      </c>
      <c r="T31" s="24">
        <f>IF(T30&gt;0,T6*Inputs!$B$100,0)</f>
        <v/>
      </c>
      <c r="U31" s="24">
        <f>IF(U30&gt;0,U6*Inputs!$B$100,0)</f>
        <v/>
      </c>
      <c r="V31" s="24">
        <f>IF(V30&gt;0,V6*Inputs!$B$100,0)</f>
        <v/>
      </c>
    </row>
    <row r="32">
      <c r="A32" s="28" t="inlineStr">
        <is>
          <t>NET INCOME</t>
        </is>
      </c>
      <c r="C32" s="29">
        <f>C30-C31</f>
        <v/>
      </c>
      <c r="D32" s="29">
        <f>D30-D31</f>
        <v/>
      </c>
      <c r="E32" s="29">
        <f>E30-E31</f>
        <v/>
      </c>
      <c r="F32" s="29">
        <f>F30-F31</f>
        <v/>
      </c>
      <c r="G32" s="29">
        <f>G30-G31</f>
        <v/>
      </c>
      <c r="H32" s="29">
        <f>H30-H31</f>
        <v/>
      </c>
      <c r="I32" s="29">
        <f>I30-I31</f>
        <v/>
      </c>
      <c r="J32" s="29">
        <f>J30-J31</f>
        <v/>
      </c>
      <c r="K32" s="29">
        <f>K30-K31</f>
        <v/>
      </c>
      <c r="L32" s="29">
        <f>L30-L31</f>
        <v/>
      </c>
      <c r="M32" s="29">
        <f>M30-M31</f>
        <v/>
      </c>
      <c r="N32" s="29">
        <f>N30-N31</f>
        <v/>
      </c>
      <c r="O32" s="29">
        <f>O30-O31</f>
        <v/>
      </c>
      <c r="P32" s="29">
        <f>P30-P31</f>
        <v/>
      </c>
      <c r="Q32" s="29">
        <f>Q30-Q31</f>
        <v/>
      </c>
      <c r="R32" s="29">
        <f>R30-R31</f>
        <v/>
      </c>
      <c r="S32" s="29">
        <f>S30-S31</f>
        <v/>
      </c>
      <c r="T32" s="29">
        <f>T30-T31</f>
        <v/>
      </c>
      <c r="U32" s="29">
        <f>U30-U31</f>
        <v/>
      </c>
      <c r="V32" s="29">
        <f>V30-V31</f>
        <v/>
      </c>
    </row>
  </sheetData>
  <mergeCells count="8">
    <mergeCell ref="A2:V2"/>
    <mergeCell ref="O4:R4"/>
    <mergeCell ref="S4:V4"/>
    <mergeCell ref="A1:V1"/>
    <mergeCell ref="A8:V8"/>
    <mergeCell ref="A18:V18"/>
    <mergeCell ref="C4:N4"/>
    <mergeCell ref="A26:V2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17"/>
  <sheetViews>
    <sheetView showGridLines="0" tabSelected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amortization · DSCR = EBITDA / debt service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Monthly payment (PMT)</t>
        </is>
      </c>
      <c r="B5" s="24">
        <f>PMT(Inputs!$B$92/12,Inputs!$B$93,-Inputs!$B$91)</f>
        <v/>
      </c>
    </row>
    <row r="7">
      <c r="A7" s="42" t="inlineStr">
        <is>
          <t>($ per period)</t>
        </is>
      </c>
      <c r="C7" s="43" t="inlineStr">
        <is>
          <t>YEAR 1 — monthly</t>
        </is>
      </c>
      <c r="O7" s="43" t="inlineStr">
        <is>
          <t>YEAR 2 — quarterly</t>
        </is>
      </c>
      <c r="S7" s="43" t="inlineStr">
        <is>
          <t>YEAR 3 — quarterly</t>
        </is>
      </c>
    </row>
    <row r="8">
      <c r="A8" s="44" t="inlineStr"/>
      <c r="C8" s="27" t="inlineStr">
        <is>
          <t>M1</t>
        </is>
      </c>
      <c r="D8" s="27" t="inlineStr">
        <is>
          <t>M2</t>
        </is>
      </c>
      <c r="E8" s="27" t="inlineStr">
        <is>
          <t>M3</t>
        </is>
      </c>
      <c r="F8" s="27" t="inlineStr">
        <is>
          <t>M4</t>
        </is>
      </c>
      <c r="G8" s="27" t="inlineStr">
        <is>
          <t>M5</t>
        </is>
      </c>
      <c r="H8" s="27" t="inlineStr">
        <is>
          <t>M6</t>
        </is>
      </c>
      <c r="I8" s="27" t="inlineStr">
        <is>
          <t>M7</t>
        </is>
      </c>
      <c r="J8" s="27" t="inlineStr">
        <is>
          <t>M8</t>
        </is>
      </c>
      <c r="K8" s="27" t="inlineStr">
        <is>
          <t>M9</t>
        </is>
      </c>
      <c r="L8" s="27" t="inlineStr">
        <is>
          <t>M10</t>
        </is>
      </c>
      <c r="M8" s="27" t="inlineStr">
        <is>
          <t>M11</t>
        </is>
      </c>
      <c r="N8" s="27" t="inlineStr">
        <is>
          <t>M12</t>
        </is>
      </c>
      <c r="O8" s="27" t="inlineStr">
        <is>
          <t>Y2 Q1</t>
        </is>
      </c>
      <c r="P8" s="27" t="inlineStr">
        <is>
          <t>Y2 Q2</t>
        </is>
      </c>
      <c r="Q8" s="27" t="inlineStr">
        <is>
          <t>Y2 Q3</t>
        </is>
      </c>
      <c r="R8" s="27" t="inlineStr">
        <is>
          <t>Y2 Q4</t>
        </is>
      </c>
      <c r="S8" s="27" t="inlineStr">
        <is>
          <t>Y3 Q1</t>
        </is>
      </c>
      <c r="T8" s="27" t="inlineStr">
        <is>
          <t>Y3 Q2</t>
        </is>
      </c>
      <c r="U8" s="27" t="inlineStr">
        <is>
          <t>Y3 Q3</t>
        </is>
      </c>
      <c r="V8" s="27" t="inlineStr">
        <is>
          <t>Y3 Q4</t>
        </is>
      </c>
    </row>
    <row r="9">
      <c r="A9" s="20" t="inlineStr">
        <is>
          <t>Beginning balance</t>
        </is>
      </c>
      <c r="C9" s="26">
        <f>Inputs!$B$91</f>
        <v/>
      </c>
      <c r="D9" s="24">
        <f>C13</f>
        <v/>
      </c>
      <c r="E9" s="24">
        <f>D13</f>
        <v/>
      </c>
      <c r="F9" s="24">
        <f>E13</f>
        <v/>
      </c>
      <c r="G9" s="24">
        <f>F13</f>
        <v/>
      </c>
      <c r="H9" s="24">
        <f>G13</f>
        <v/>
      </c>
      <c r="I9" s="24">
        <f>H13</f>
        <v/>
      </c>
      <c r="J9" s="24">
        <f>I13</f>
        <v/>
      </c>
      <c r="K9" s="24">
        <f>J13</f>
        <v/>
      </c>
      <c r="L9" s="24">
        <f>K13</f>
        <v/>
      </c>
      <c r="M9" s="24">
        <f>L13</f>
        <v/>
      </c>
      <c r="N9" s="24">
        <f>M13</f>
        <v/>
      </c>
      <c r="O9" s="24">
        <f>N13</f>
        <v/>
      </c>
      <c r="P9" s="24">
        <f>O13</f>
        <v/>
      </c>
      <c r="Q9" s="24">
        <f>P13</f>
        <v/>
      </c>
      <c r="R9" s="24">
        <f>Q13</f>
        <v/>
      </c>
      <c r="S9" s="24">
        <f>R13</f>
        <v/>
      </c>
      <c r="T9" s="24">
        <f>S13</f>
        <v/>
      </c>
      <c r="U9" s="24">
        <f>T13</f>
        <v/>
      </c>
      <c r="V9" s="24">
        <f>U13</f>
        <v/>
      </c>
    </row>
    <row r="10">
      <c r="A10" s="4" t="inlineStr">
        <is>
          <t>Payment</t>
        </is>
      </c>
      <c r="C10" s="24">
        <f>$B$5*1</f>
        <v/>
      </c>
      <c r="D10" s="24">
        <f>$B$5*1</f>
        <v/>
      </c>
      <c r="E10" s="24">
        <f>$B$5*1</f>
        <v/>
      </c>
      <c r="F10" s="24">
        <f>$B$5*1</f>
        <v/>
      </c>
      <c r="G10" s="24">
        <f>$B$5*1</f>
        <v/>
      </c>
      <c r="H10" s="24">
        <f>$B$5*1</f>
        <v/>
      </c>
      <c r="I10" s="24">
        <f>$B$5*1</f>
        <v/>
      </c>
      <c r="J10" s="24">
        <f>$B$5*1</f>
        <v/>
      </c>
      <c r="K10" s="24">
        <f>$B$5*1</f>
        <v/>
      </c>
      <c r="L10" s="24">
        <f>$B$5*1</f>
        <v/>
      </c>
      <c r="M10" s="24">
        <f>$B$5*1</f>
        <v/>
      </c>
      <c r="N10" s="24">
        <f>$B$5*1</f>
        <v/>
      </c>
      <c r="O10" s="24">
        <f>$B$5*3</f>
        <v/>
      </c>
      <c r="P10" s="24">
        <f>$B$5*3</f>
        <v/>
      </c>
      <c r="Q10" s="24">
        <f>$B$5*3</f>
        <v/>
      </c>
      <c r="R10" s="24">
        <f>$B$5*3</f>
        <v/>
      </c>
      <c r="S10" s="24">
        <f>$B$5*3</f>
        <v/>
      </c>
      <c r="T10" s="24">
        <f>$B$5*3</f>
        <v/>
      </c>
      <c r="U10" s="24">
        <f>$B$5*3</f>
        <v/>
      </c>
      <c r="V10" s="24">
        <f>$B$5*3</f>
        <v/>
      </c>
    </row>
    <row r="11">
      <c r="A11" s="4" t="inlineStr">
        <is>
          <t>Interest</t>
        </is>
      </c>
      <c r="C11" s="24">
        <f>C9*Inputs!$B$92/12*1</f>
        <v/>
      </c>
      <c r="D11" s="24">
        <f>D9*Inputs!$B$92/12*1</f>
        <v/>
      </c>
      <c r="E11" s="24">
        <f>E9*Inputs!$B$92/12*1</f>
        <v/>
      </c>
      <c r="F11" s="24">
        <f>F9*Inputs!$B$92/12*1</f>
        <v/>
      </c>
      <c r="G11" s="24">
        <f>G9*Inputs!$B$92/12*1</f>
        <v/>
      </c>
      <c r="H11" s="24">
        <f>H9*Inputs!$B$92/12*1</f>
        <v/>
      </c>
      <c r="I11" s="24">
        <f>I9*Inputs!$B$92/12*1</f>
        <v/>
      </c>
      <c r="J11" s="24">
        <f>J9*Inputs!$B$92/12*1</f>
        <v/>
      </c>
      <c r="K11" s="24">
        <f>K9*Inputs!$B$92/12*1</f>
        <v/>
      </c>
      <c r="L11" s="24">
        <f>L9*Inputs!$B$92/12*1</f>
        <v/>
      </c>
      <c r="M11" s="24">
        <f>M9*Inputs!$B$92/12*1</f>
        <v/>
      </c>
      <c r="N11" s="24">
        <f>N9*Inputs!$B$92/12*1</f>
        <v/>
      </c>
      <c r="O11" s="24">
        <f>O9*Inputs!$B$92/12*3</f>
        <v/>
      </c>
      <c r="P11" s="24">
        <f>P9*Inputs!$B$92/12*3</f>
        <v/>
      </c>
      <c r="Q11" s="24">
        <f>Q9*Inputs!$B$92/12*3</f>
        <v/>
      </c>
      <c r="R11" s="24">
        <f>R9*Inputs!$B$92/12*3</f>
        <v/>
      </c>
      <c r="S11" s="24">
        <f>S9*Inputs!$B$92/12*3</f>
        <v/>
      </c>
      <c r="T11" s="24">
        <f>T9*Inputs!$B$92/12*3</f>
        <v/>
      </c>
      <c r="U11" s="24">
        <f>U9*Inputs!$B$92/12*3</f>
        <v/>
      </c>
      <c r="V11" s="24">
        <f>V9*Inputs!$B$92/12*3</f>
        <v/>
      </c>
    </row>
    <row r="12">
      <c r="A12" s="4" t="inlineStr">
        <is>
          <t>Principal</t>
        </is>
      </c>
      <c r="C12" s="24">
        <f>C10-C11</f>
        <v/>
      </c>
      <c r="D12" s="24">
        <f>D10-D11</f>
        <v/>
      </c>
      <c r="E12" s="24">
        <f>E10-E11</f>
        <v/>
      </c>
      <c r="F12" s="24">
        <f>F10-F11</f>
        <v/>
      </c>
      <c r="G12" s="24">
        <f>G10-G11</f>
        <v/>
      </c>
      <c r="H12" s="24">
        <f>H10-H11</f>
        <v/>
      </c>
      <c r="I12" s="24">
        <f>I10-I11</f>
        <v/>
      </c>
      <c r="J12" s="24">
        <f>J10-J11</f>
        <v/>
      </c>
      <c r="K12" s="24">
        <f>K10-K11</f>
        <v/>
      </c>
      <c r="L12" s="24">
        <f>L10-L11</f>
        <v/>
      </c>
      <c r="M12" s="24">
        <f>M10-M11</f>
        <v/>
      </c>
      <c r="N12" s="24">
        <f>N10-N11</f>
        <v/>
      </c>
      <c r="O12" s="24">
        <f>O10-O11</f>
        <v/>
      </c>
      <c r="P12" s="24">
        <f>P10-P11</f>
        <v/>
      </c>
      <c r="Q12" s="24">
        <f>Q10-Q11</f>
        <v/>
      </c>
      <c r="R12" s="24">
        <f>R10-R11</f>
        <v/>
      </c>
      <c r="S12" s="24">
        <f>S10-S11</f>
        <v/>
      </c>
      <c r="T12" s="24">
        <f>T10-T11</f>
        <v/>
      </c>
      <c r="U12" s="24">
        <f>U10-U11</f>
        <v/>
      </c>
      <c r="V12" s="24">
        <f>V10-V11</f>
        <v/>
      </c>
    </row>
    <row r="13">
      <c r="A13" s="28" t="inlineStr">
        <is>
          <t>Ending balance</t>
        </is>
      </c>
      <c r="C13" s="23">
        <f>C9-C12</f>
        <v/>
      </c>
      <c r="D13" s="23">
        <f>D9-D12</f>
        <v/>
      </c>
      <c r="E13" s="23">
        <f>E9-E12</f>
        <v/>
      </c>
      <c r="F13" s="23">
        <f>F9-F12</f>
        <v/>
      </c>
      <c r="G13" s="23">
        <f>G9-G12</f>
        <v/>
      </c>
      <c r="H13" s="23">
        <f>H9-H12</f>
        <v/>
      </c>
      <c r="I13" s="23">
        <f>I9-I12</f>
        <v/>
      </c>
      <c r="J13" s="23">
        <f>J9-J12</f>
        <v/>
      </c>
      <c r="K13" s="23">
        <f>K9-K12</f>
        <v/>
      </c>
      <c r="L13" s="23">
        <f>L9-L12</f>
        <v/>
      </c>
      <c r="M13" s="23">
        <f>M9-M12</f>
        <v/>
      </c>
      <c r="N13" s="23">
        <f>N9-N12</f>
        <v/>
      </c>
      <c r="O13" s="23">
        <f>O9-O12</f>
        <v/>
      </c>
      <c r="P13" s="23">
        <f>P9-P12</f>
        <v/>
      </c>
      <c r="Q13" s="23">
        <f>Q9-Q12</f>
        <v/>
      </c>
      <c r="R13" s="23">
        <f>R9-R12</f>
        <v/>
      </c>
      <c r="S13" s="23">
        <f>S9-S12</f>
        <v/>
      </c>
      <c r="T13" s="23">
        <f>T9-T12</f>
        <v/>
      </c>
      <c r="U13" s="23">
        <f>U9-U12</f>
        <v/>
      </c>
      <c r="V13" s="23">
        <f>V9-V12</f>
        <v/>
      </c>
    </row>
    <row r="15">
      <c r="A15" s="28" t="inlineStr">
        <is>
          <t>Debt service (P+I)</t>
        </is>
      </c>
      <c r="C15" s="23">
        <f>C11+C12</f>
        <v/>
      </c>
      <c r="D15" s="23">
        <f>D11+D12</f>
        <v/>
      </c>
      <c r="E15" s="23">
        <f>E11+E12</f>
        <v/>
      </c>
      <c r="F15" s="23">
        <f>F11+F12</f>
        <v/>
      </c>
      <c r="G15" s="23">
        <f>G11+G12</f>
        <v/>
      </c>
      <c r="H15" s="23">
        <f>H11+H12</f>
        <v/>
      </c>
      <c r="I15" s="23">
        <f>I11+I12</f>
        <v/>
      </c>
      <c r="J15" s="23">
        <f>J11+J12</f>
        <v/>
      </c>
      <c r="K15" s="23">
        <f>K11+K12</f>
        <v/>
      </c>
      <c r="L15" s="23">
        <f>L11+L12</f>
        <v/>
      </c>
      <c r="M15" s="23">
        <f>M11+M12</f>
        <v/>
      </c>
      <c r="N15" s="23">
        <f>N11+N12</f>
        <v/>
      </c>
      <c r="O15" s="23">
        <f>O11+O12</f>
        <v/>
      </c>
      <c r="P15" s="23">
        <f>P11+P12</f>
        <v/>
      </c>
      <c r="Q15" s="23">
        <f>Q11+Q12</f>
        <v/>
      </c>
      <c r="R15" s="23">
        <f>R11+R12</f>
        <v/>
      </c>
      <c r="S15" s="23">
        <f>S11+S12</f>
        <v/>
      </c>
      <c r="T15" s="23">
        <f>T11+T12</f>
        <v/>
      </c>
      <c r="U15" s="23">
        <f>U11+U12</f>
        <v/>
      </c>
      <c r="V15" s="23">
        <f>V11+V12</f>
        <v/>
      </c>
    </row>
    <row r="16">
      <c r="A16" s="21" t="inlineStr">
        <is>
          <t>EBITDA (link)</t>
        </is>
      </c>
      <c r="C16" s="26">
        <f>'Operating Budget'!C23</f>
        <v/>
      </c>
      <c r="D16" s="26">
        <f>'Operating Budget'!D23</f>
        <v/>
      </c>
      <c r="E16" s="26">
        <f>'Operating Budget'!E23</f>
        <v/>
      </c>
      <c r="F16" s="26">
        <f>'Operating Budget'!F23</f>
        <v/>
      </c>
      <c r="G16" s="26">
        <f>'Operating Budget'!G23</f>
        <v/>
      </c>
      <c r="H16" s="26">
        <f>'Operating Budget'!H23</f>
        <v/>
      </c>
      <c r="I16" s="26">
        <f>'Operating Budget'!I23</f>
        <v/>
      </c>
      <c r="J16" s="26">
        <f>'Operating Budget'!J23</f>
        <v/>
      </c>
      <c r="K16" s="26">
        <f>'Operating Budget'!K23</f>
        <v/>
      </c>
      <c r="L16" s="26">
        <f>'Operating Budget'!L23</f>
        <v/>
      </c>
      <c r="M16" s="26">
        <f>'Operating Budget'!M23</f>
        <v/>
      </c>
      <c r="N16" s="26">
        <f>'Operating Budget'!N23</f>
        <v/>
      </c>
      <c r="O16" s="26">
        <f>'Operating Budget'!O23</f>
        <v/>
      </c>
      <c r="P16" s="26">
        <f>'Operating Budget'!P23</f>
        <v/>
      </c>
      <c r="Q16" s="26">
        <f>'Operating Budget'!Q23</f>
        <v/>
      </c>
      <c r="R16" s="26">
        <f>'Operating Budget'!R23</f>
        <v/>
      </c>
      <c r="S16" s="26">
        <f>'Operating Budget'!S23</f>
        <v/>
      </c>
      <c r="T16" s="26">
        <f>'Operating Budget'!T23</f>
        <v/>
      </c>
      <c r="U16" s="26">
        <f>'Operating Budget'!U23</f>
        <v/>
      </c>
      <c r="V16" s="26">
        <f>'Operating Budget'!V23</f>
        <v/>
      </c>
    </row>
    <row r="17">
      <c r="A17" s="28" t="inlineStr">
        <is>
          <t>DSCR (period)</t>
        </is>
      </c>
      <c r="C17" s="49">
        <f>IF(C15=0,0,C16/C15)</f>
        <v/>
      </c>
      <c r="D17" s="49">
        <f>IF(D15=0,0,D16/D15)</f>
        <v/>
      </c>
      <c r="E17" s="49">
        <f>IF(E15=0,0,E16/E15)</f>
        <v/>
      </c>
      <c r="F17" s="49">
        <f>IF(F15=0,0,F16/F15)</f>
        <v/>
      </c>
      <c r="G17" s="49">
        <f>IF(G15=0,0,G16/G15)</f>
        <v/>
      </c>
      <c r="H17" s="49">
        <f>IF(H15=0,0,H16/H15)</f>
        <v/>
      </c>
      <c r="I17" s="49">
        <f>IF(I15=0,0,I16/I15)</f>
        <v/>
      </c>
      <c r="J17" s="49">
        <f>IF(J15=0,0,J16/J15)</f>
        <v/>
      </c>
      <c r="K17" s="49">
        <f>IF(K15=0,0,K16/K15)</f>
        <v/>
      </c>
      <c r="L17" s="49">
        <f>IF(L15=0,0,L16/L15)</f>
        <v/>
      </c>
      <c r="M17" s="49">
        <f>IF(M15=0,0,M16/M15)</f>
        <v/>
      </c>
      <c r="N17" s="49">
        <f>IF(N15=0,0,N16/N15)</f>
        <v/>
      </c>
      <c r="O17" s="49">
        <f>IF(O15=0,0,O16/O15)</f>
        <v/>
      </c>
      <c r="P17" s="49">
        <f>IF(P15=0,0,P16/P15)</f>
        <v/>
      </c>
      <c r="Q17" s="49">
        <f>IF(Q15=0,0,Q16/Q15)</f>
        <v/>
      </c>
      <c r="R17" s="49">
        <f>IF(R15=0,0,R16/R15)</f>
        <v/>
      </c>
      <c r="S17" s="49">
        <f>IF(S15=0,0,S16/S15)</f>
        <v/>
      </c>
      <c r="T17" s="49">
        <f>IF(T15=0,0,T16/T15)</f>
        <v/>
      </c>
      <c r="U17" s="49">
        <f>IF(U15=0,0,U16/U15)</f>
        <v/>
      </c>
      <c r="V17" s="49">
        <f>IF(V15=0,0,V16/V15)</f>
        <v/>
      </c>
    </row>
  </sheetData>
  <mergeCells count="6">
    <mergeCell ref="A2:V2"/>
    <mergeCell ref="A1:V1"/>
    <mergeCell ref="O7:R7"/>
    <mergeCell ref="S7:V7"/>
    <mergeCell ref="A4:V4"/>
    <mergeCell ref="C7:N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W35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2" t="inlineStr">
        <is>
          <t>($ per period)</t>
        </is>
      </c>
      <c r="B4" s="43" t="inlineStr">
        <is>
          <t>Opening</t>
        </is>
      </c>
      <c r="C4" s="43" t="inlineStr">
        <is>
          <t>YEAR 1 — monthly</t>
        </is>
      </c>
      <c r="O4" s="43" t="inlineStr">
        <is>
          <t>YEAR 2 — quarterly</t>
        </is>
      </c>
      <c r="S4" s="43" t="inlineStr">
        <is>
          <t>YEAR 3 — quarterly</t>
        </is>
      </c>
    </row>
    <row r="5">
      <c r="A5" s="44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26">
        <f>'Operating Budget'!C32</f>
        <v/>
      </c>
      <c r="D7" s="26">
        <f>'Operating Budget'!D32</f>
        <v/>
      </c>
      <c r="E7" s="26">
        <f>'Operating Budget'!E32</f>
        <v/>
      </c>
      <c r="F7" s="26">
        <f>'Operating Budget'!F32</f>
        <v/>
      </c>
      <c r="G7" s="26">
        <f>'Operating Budget'!G32</f>
        <v/>
      </c>
      <c r="H7" s="26">
        <f>'Operating Budget'!H32</f>
        <v/>
      </c>
      <c r="I7" s="26">
        <f>'Operating Budget'!I32</f>
        <v/>
      </c>
      <c r="J7" s="26">
        <f>'Operating Budget'!J32</f>
        <v/>
      </c>
      <c r="K7" s="26">
        <f>'Operating Budget'!K32</f>
        <v/>
      </c>
      <c r="L7" s="26">
        <f>'Operating Budget'!L32</f>
        <v/>
      </c>
      <c r="M7" s="26">
        <f>'Operating Budget'!M32</f>
        <v/>
      </c>
      <c r="N7" s="26">
        <f>'Operating Budget'!N32</f>
        <v/>
      </c>
      <c r="O7" s="26">
        <f>'Operating Budget'!O32</f>
        <v/>
      </c>
      <c r="P7" s="26">
        <f>'Operating Budget'!P32</f>
        <v/>
      </c>
      <c r="Q7" s="26">
        <f>'Operating Budget'!Q32</f>
        <v/>
      </c>
      <c r="R7" s="26">
        <f>'Operating Budget'!R32</f>
        <v/>
      </c>
      <c r="S7" s="26">
        <f>'Operating Budget'!S32</f>
        <v/>
      </c>
      <c r="T7" s="26">
        <f>'Operating Budget'!T32</f>
        <v/>
      </c>
      <c r="U7" s="26">
        <f>'Operating Budget'!U32</f>
        <v/>
      </c>
      <c r="V7" s="26">
        <f>'Operating Budget'!V32</f>
        <v/>
      </c>
    </row>
    <row r="8">
      <c r="A8" s="4" t="inlineStr">
        <is>
          <t>+ Depreciation &amp; amortization</t>
        </is>
      </c>
      <c r="C8" s="26">
        <f>'Operating Budget'!C27</f>
        <v/>
      </c>
      <c r="D8" s="26">
        <f>'Operating Budget'!D27</f>
        <v/>
      </c>
      <c r="E8" s="26">
        <f>'Operating Budget'!E27</f>
        <v/>
      </c>
      <c r="F8" s="26">
        <f>'Operating Budget'!F27</f>
        <v/>
      </c>
      <c r="G8" s="26">
        <f>'Operating Budget'!G27</f>
        <v/>
      </c>
      <c r="H8" s="26">
        <f>'Operating Budget'!H27</f>
        <v/>
      </c>
      <c r="I8" s="26">
        <f>'Operating Budget'!I27</f>
        <v/>
      </c>
      <c r="J8" s="26">
        <f>'Operating Budget'!J27</f>
        <v/>
      </c>
      <c r="K8" s="26">
        <f>'Operating Budget'!K27</f>
        <v/>
      </c>
      <c r="L8" s="26">
        <f>'Operating Budget'!L27</f>
        <v/>
      </c>
      <c r="M8" s="26">
        <f>'Operating Budget'!M27</f>
        <v/>
      </c>
      <c r="N8" s="26">
        <f>'Operating Budget'!N27</f>
        <v/>
      </c>
      <c r="O8" s="26">
        <f>'Operating Budget'!O27</f>
        <v/>
      </c>
      <c r="P8" s="26">
        <f>'Operating Budget'!P27</f>
        <v/>
      </c>
      <c r="Q8" s="26">
        <f>'Operating Budget'!Q27</f>
        <v/>
      </c>
      <c r="R8" s="26">
        <f>'Operating Budget'!R27</f>
        <v/>
      </c>
      <c r="S8" s="26">
        <f>'Operating Budget'!S27</f>
        <v/>
      </c>
      <c r="T8" s="26">
        <f>'Operating Budget'!T27</f>
        <v/>
      </c>
      <c r="U8" s="26">
        <f>'Operating Budget'!U27</f>
        <v/>
      </c>
      <c r="V8" s="26">
        <f>'Operating Budget'!V27</f>
        <v/>
      </c>
    </row>
    <row r="9">
      <c r="A9" s="14" t="inlineStr">
        <is>
          <t>Accounts receivable (balance)</t>
        </is>
      </c>
      <c r="B9" s="24">
        <f>0</f>
        <v/>
      </c>
      <c r="C9" s="26">
        <f>'Revenue Model'!C16*Inputs!$B$112/'Revenue Model'!C11</f>
        <v/>
      </c>
      <c r="D9" s="26">
        <f>'Revenue Model'!D16*Inputs!$B$112/'Revenue Model'!D11</f>
        <v/>
      </c>
      <c r="E9" s="26">
        <f>'Revenue Model'!E16*Inputs!$B$112/'Revenue Model'!E11</f>
        <v/>
      </c>
      <c r="F9" s="26">
        <f>'Revenue Model'!F16*Inputs!$B$112/'Revenue Model'!F11</f>
        <v/>
      </c>
      <c r="G9" s="26">
        <f>'Revenue Model'!G16*Inputs!$B$112/'Revenue Model'!G11</f>
        <v/>
      </c>
      <c r="H9" s="26">
        <f>'Revenue Model'!H16*Inputs!$B$112/'Revenue Model'!H11</f>
        <v/>
      </c>
      <c r="I9" s="26">
        <f>'Revenue Model'!I16*Inputs!$B$112/'Revenue Model'!I11</f>
        <v/>
      </c>
      <c r="J9" s="26">
        <f>'Revenue Model'!J16*Inputs!$B$112/'Revenue Model'!J11</f>
        <v/>
      </c>
      <c r="K9" s="26">
        <f>'Revenue Model'!K16*Inputs!$B$112/'Revenue Model'!K11</f>
        <v/>
      </c>
      <c r="L9" s="26">
        <f>'Revenue Model'!L16*Inputs!$B$112/'Revenue Model'!L11</f>
        <v/>
      </c>
      <c r="M9" s="26">
        <f>'Revenue Model'!M16*Inputs!$B$112/'Revenue Model'!M11</f>
        <v/>
      </c>
      <c r="N9" s="26">
        <f>'Revenue Model'!N16*Inputs!$B$112/'Revenue Model'!N11</f>
        <v/>
      </c>
      <c r="O9" s="26">
        <f>'Revenue Model'!O16*Inputs!$B$112/'Revenue Model'!O11</f>
        <v/>
      </c>
      <c r="P9" s="26">
        <f>'Revenue Model'!P16*Inputs!$B$112/'Revenue Model'!P11</f>
        <v/>
      </c>
      <c r="Q9" s="26">
        <f>'Revenue Model'!Q16*Inputs!$B$112/'Revenue Model'!Q11</f>
        <v/>
      </c>
      <c r="R9" s="26">
        <f>'Revenue Model'!R16*Inputs!$B$112/'Revenue Model'!R11</f>
        <v/>
      </c>
      <c r="S9" s="26">
        <f>'Revenue Model'!S16*Inputs!$B$112/'Revenue Model'!S11</f>
        <v/>
      </c>
      <c r="T9" s="26">
        <f>'Revenue Model'!T16*Inputs!$B$112/'Revenue Model'!T11</f>
        <v/>
      </c>
      <c r="U9" s="26">
        <f>'Revenue Model'!U16*Inputs!$B$112/'Revenue Model'!U11</f>
        <v/>
      </c>
      <c r="V9" s="26">
        <f>'Revenue Model'!V16*Inputs!$B$112/'Revenue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26">
        <f>('Operating Budget'!C20+'Operating Budget'!C21+'Operating Budget'!C13)*Inputs!$B$113/'Revenue Model'!C11</f>
        <v/>
      </c>
      <c r="D10" s="26">
        <f>('Operating Budget'!D20+'Operating Budget'!D21+'Operating Budget'!D13)*Inputs!$B$113/'Revenue Model'!D11</f>
        <v/>
      </c>
      <c r="E10" s="26">
        <f>('Operating Budget'!E20+'Operating Budget'!E21+'Operating Budget'!E13)*Inputs!$B$113/'Revenue Model'!E11</f>
        <v/>
      </c>
      <c r="F10" s="26">
        <f>('Operating Budget'!F20+'Operating Budget'!F21+'Operating Budget'!F13)*Inputs!$B$113/'Revenue Model'!F11</f>
        <v/>
      </c>
      <c r="G10" s="26">
        <f>('Operating Budget'!G20+'Operating Budget'!G21+'Operating Budget'!G13)*Inputs!$B$113/'Revenue Model'!G11</f>
        <v/>
      </c>
      <c r="H10" s="26">
        <f>('Operating Budget'!H20+'Operating Budget'!H21+'Operating Budget'!H13)*Inputs!$B$113/'Revenue Model'!H11</f>
        <v/>
      </c>
      <c r="I10" s="26">
        <f>('Operating Budget'!I20+'Operating Budget'!I21+'Operating Budget'!I13)*Inputs!$B$113/'Revenue Model'!I11</f>
        <v/>
      </c>
      <c r="J10" s="26">
        <f>('Operating Budget'!J20+'Operating Budget'!J21+'Operating Budget'!J13)*Inputs!$B$113/'Revenue Model'!J11</f>
        <v/>
      </c>
      <c r="K10" s="26">
        <f>('Operating Budget'!K20+'Operating Budget'!K21+'Operating Budget'!K13)*Inputs!$B$113/'Revenue Model'!K11</f>
        <v/>
      </c>
      <c r="L10" s="26">
        <f>('Operating Budget'!L20+'Operating Budget'!L21+'Operating Budget'!L13)*Inputs!$B$113/'Revenue Model'!L11</f>
        <v/>
      </c>
      <c r="M10" s="26">
        <f>('Operating Budget'!M20+'Operating Budget'!M21+'Operating Budget'!M13)*Inputs!$B$113/'Revenue Model'!M11</f>
        <v/>
      </c>
      <c r="N10" s="26">
        <f>('Operating Budget'!N20+'Operating Budget'!N21+'Operating Budget'!N13)*Inputs!$B$113/'Revenue Model'!N11</f>
        <v/>
      </c>
      <c r="O10" s="26">
        <f>('Operating Budget'!O20+'Operating Budget'!O21+'Operating Budget'!O13)*Inputs!$B$113/'Revenue Model'!O11</f>
        <v/>
      </c>
      <c r="P10" s="26">
        <f>('Operating Budget'!P20+'Operating Budget'!P21+'Operating Budget'!P13)*Inputs!$B$113/'Revenue Model'!P11</f>
        <v/>
      </c>
      <c r="Q10" s="26">
        <f>('Operating Budget'!Q20+'Operating Budget'!Q21+'Operating Budget'!Q13)*Inputs!$B$113/'Revenue Model'!Q11</f>
        <v/>
      </c>
      <c r="R10" s="26">
        <f>('Operating Budget'!R20+'Operating Budget'!R21+'Operating Budget'!R13)*Inputs!$B$113/'Revenue Model'!R11</f>
        <v/>
      </c>
      <c r="S10" s="26">
        <f>('Operating Budget'!S20+'Operating Budget'!S21+'Operating Budget'!S13)*Inputs!$B$113/'Revenue Model'!S11</f>
        <v/>
      </c>
      <c r="T10" s="26">
        <f>('Operating Budget'!T20+'Operating Budget'!T21+'Operating Budget'!T13)*Inputs!$B$113/'Revenue Model'!T11</f>
        <v/>
      </c>
      <c r="U10" s="26">
        <f>('Operating Budget'!U20+'Operating Budget'!U21+'Operating Budget'!U13)*Inputs!$B$113/'Revenue Model'!U11</f>
        <v/>
      </c>
      <c r="V10" s="26">
        <f>('Operating Budget'!V20+'Operating Budget'!V21+'Operating Budget'!V13)*Inputs!$B$113/'Revenue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28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26">
        <f>-'Debt Schedule'!C12</f>
        <v/>
      </c>
      <c r="D14" s="26">
        <f>-'Debt Schedule'!D12</f>
        <v/>
      </c>
      <c r="E14" s="26">
        <f>-'Debt Schedule'!E12</f>
        <v/>
      </c>
      <c r="F14" s="26">
        <f>-'Debt Schedule'!F12</f>
        <v/>
      </c>
      <c r="G14" s="26">
        <f>-'Debt Schedule'!G12</f>
        <v/>
      </c>
      <c r="H14" s="26">
        <f>-'Debt Schedule'!H12</f>
        <v/>
      </c>
      <c r="I14" s="26">
        <f>-'Debt Schedule'!I12</f>
        <v/>
      </c>
      <c r="J14" s="26">
        <f>-'Debt Schedule'!J12</f>
        <v/>
      </c>
      <c r="K14" s="26">
        <f>-'Debt Schedule'!K12</f>
        <v/>
      </c>
      <c r="L14" s="26">
        <f>-'Debt Schedule'!L12</f>
        <v/>
      </c>
      <c r="M14" s="26">
        <f>-'Debt Schedule'!M12</f>
        <v/>
      </c>
      <c r="N14" s="26">
        <f>-'Debt Schedule'!N12</f>
        <v/>
      </c>
      <c r="O14" s="26">
        <f>-'Debt Schedule'!O12</f>
        <v/>
      </c>
      <c r="P14" s="26">
        <f>-'Debt Schedule'!P12</f>
        <v/>
      </c>
      <c r="Q14" s="26">
        <f>-'Debt Schedule'!Q12</f>
        <v/>
      </c>
      <c r="R14" s="26">
        <f>-'Debt Schedule'!R12</f>
        <v/>
      </c>
      <c r="S14" s="26">
        <f>-'Debt Schedule'!S12</f>
        <v/>
      </c>
      <c r="T14" s="26">
        <f>-'Debt Schedule'!T12</f>
        <v/>
      </c>
      <c r="U14" s="26">
        <f>-'Debt Schedule'!U12</f>
        <v/>
      </c>
      <c r="V14" s="26">
        <f>-'Debt Schedule'!V12</f>
        <v/>
      </c>
    </row>
    <row r="15">
      <c r="A15" s="14" t="inlineStr">
        <is>
          <t>Working-capital line interest</t>
        </is>
      </c>
      <c r="B15" s="24">
        <f>0</f>
        <v/>
      </c>
      <c r="C15" s="24">
        <f>B19*Inputs!$B$96*1/12</f>
        <v/>
      </c>
      <c r="D15" s="24">
        <f>C19*Inputs!$B$96*1/12</f>
        <v/>
      </c>
      <c r="E15" s="24">
        <f>D19*Inputs!$B$96*1/12</f>
        <v/>
      </c>
      <c r="F15" s="24">
        <f>E19*Inputs!$B$96*1/12</f>
        <v/>
      </c>
      <c r="G15" s="24">
        <f>F19*Inputs!$B$96*1/12</f>
        <v/>
      </c>
      <c r="H15" s="24">
        <f>G19*Inputs!$B$96*1/12</f>
        <v/>
      </c>
      <c r="I15" s="24">
        <f>H19*Inputs!$B$96*1/12</f>
        <v/>
      </c>
      <c r="J15" s="24">
        <f>I19*Inputs!$B$96*1/12</f>
        <v/>
      </c>
      <c r="K15" s="24">
        <f>J19*Inputs!$B$96*1/12</f>
        <v/>
      </c>
      <c r="L15" s="24">
        <f>K19*Inputs!$B$96*1/12</f>
        <v/>
      </c>
      <c r="M15" s="24">
        <f>L19*Inputs!$B$96*1/12</f>
        <v/>
      </c>
      <c r="N15" s="24">
        <f>M19*Inputs!$B$96*1/12</f>
        <v/>
      </c>
      <c r="O15" s="24">
        <f>N19*Inputs!$B$96*3/12</f>
        <v/>
      </c>
      <c r="P15" s="24">
        <f>O19*Inputs!$B$96*3/12</f>
        <v/>
      </c>
      <c r="Q15" s="24">
        <f>P19*Inputs!$B$96*3/12</f>
        <v/>
      </c>
      <c r="R15" s="24">
        <f>Q19*Inputs!$B$96*3/12</f>
        <v/>
      </c>
      <c r="S15" s="24">
        <f>R19*Inputs!$B$96*3/12</f>
        <v/>
      </c>
      <c r="T15" s="24">
        <f>S19*Inputs!$B$96*3/12</f>
        <v/>
      </c>
      <c r="U15" s="24">
        <f>T19*Inputs!$B$96*3/12</f>
        <v/>
      </c>
      <c r="V15" s="24">
        <f>U19*Inputs!$B$96*3/12</f>
        <v/>
      </c>
    </row>
    <row r="16">
      <c r="A16" s="4" t="inlineStr">
        <is>
          <t>Beginning cash</t>
        </is>
      </c>
      <c r="B16" s="24">
        <f>0</f>
        <v/>
      </c>
      <c r="C16" s="26">
        <f>Inputs!$B$117</f>
        <v/>
      </c>
      <c r="D16" s="24">
        <f>C20</f>
        <v/>
      </c>
      <c r="E16" s="24">
        <f>D20</f>
        <v/>
      </c>
      <c r="F16" s="24">
        <f>E20</f>
        <v/>
      </c>
      <c r="G16" s="24">
        <f>F20</f>
        <v/>
      </c>
      <c r="H16" s="24">
        <f>G20</f>
        <v/>
      </c>
      <c r="I16" s="24">
        <f>H20</f>
        <v/>
      </c>
      <c r="J16" s="24">
        <f>I20</f>
        <v/>
      </c>
      <c r="K16" s="24">
        <f>J20</f>
        <v/>
      </c>
      <c r="L16" s="24">
        <f>K20</f>
        <v/>
      </c>
      <c r="M16" s="24">
        <f>L20</f>
        <v/>
      </c>
      <c r="N16" s="24">
        <f>M20</f>
        <v/>
      </c>
      <c r="O16" s="24">
        <f>N20</f>
        <v/>
      </c>
      <c r="P16" s="24">
        <f>O20</f>
        <v/>
      </c>
      <c r="Q16" s="24">
        <f>P20</f>
        <v/>
      </c>
      <c r="R16" s="24">
        <f>Q20</f>
        <v/>
      </c>
      <c r="S16" s="24">
        <f>R20</f>
        <v/>
      </c>
      <c r="T16" s="24">
        <f>S20</f>
        <v/>
      </c>
      <c r="U16" s="24">
        <f>T20</f>
        <v/>
      </c>
      <c r="V16" s="24">
        <f>U20</f>
        <v/>
      </c>
    </row>
    <row r="17">
      <c r="A17" s="21" t="inlineStr">
        <is>
          <t>Cash before LOC sweep</t>
        </is>
      </c>
      <c r="C17" s="24">
        <f>C16+C13+C14</f>
        <v/>
      </c>
      <c r="D17" s="24">
        <f>D16+D13+D14</f>
        <v/>
      </c>
      <c r="E17" s="24">
        <f>E16+E13+E14</f>
        <v/>
      </c>
      <c r="F17" s="24">
        <f>F16+F13+F14</f>
        <v/>
      </c>
      <c r="G17" s="24">
        <f>G16+G13+G14</f>
        <v/>
      </c>
      <c r="H17" s="24">
        <f>H16+H13+H14</f>
        <v/>
      </c>
      <c r="I17" s="24">
        <f>I16+I13+I14</f>
        <v/>
      </c>
      <c r="J17" s="24">
        <f>J16+J13+J14</f>
        <v/>
      </c>
      <c r="K17" s="24">
        <f>K16+K13+K14</f>
        <v/>
      </c>
      <c r="L17" s="24">
        <f>L16+L13+L14</f>
        <v/>
      </c>
      <c r="M17" s="24">
        <f>M16+M13+M14</f>
        <v/>
      </c>
      <c r="N17" s="24">
        <f>N16+N13+N14</f>
        <v/>
      </c>
      <c r="O17" s="24">
        <f>O16+O13+O14</f>
        <v/>
      </c>
      <c r="P17" s="24">
        <f>P16+P13+P14</f>
        <v/>
      </c>
      <c r="Q17" s="24">
        <f>Q16+Q13+Q14</f>
        <v/>
      </c>
      <c r="R17" s="24">
        <f>R16+R13+R14</f>
        <v/>
      </c>
      <c r="S17" s="24">
        <f>S16+S13+S14</f>
        <v/>
      </c>
      <c r="T17" s="24">
        <f>T16+T13+T14</f>
        <v/>
      </c>
      <c r="U17" s="24">
        <f>U16+U13+U14</f>
        <v/>
      </c>
      <c r="V17" s="24">
        <f>V16+V13+V14</f>
        <v/>
      </c>
    </row>
    <row r="18">
      <c r="A18" s="4" t="inlineStr">
        <is>
          <t>LOC draw / (repay)</t>
        </is>
      </c>
      <c r="C18" s="24">
        <f>IF(C17&lt;Inputs!$B$97,Inputs!$B$97-C17,-MIN(B19,MAX(0,C17-Inputs!$B$97)))</f>
        <v/>
      </c>
      <c r="D18" s="24">
        <f>IF(D17&lt;Inputs!$B$97,Inputs!$B$97-D17,-MIN(C19,MAX(0,D17-Inputs!$B$97)))</f>
        <v/>
      </c>
      <c r="E18" s="24">
        <f>IF(E17&lt;Inputs!$B$97,Inputs!$B$97-E17,-MIN(D19,MAX(0,E17-Inputs!$B$97)))</f>
        <v/>
      </c>
      <c r="F18" s="24">
        <f>IF(F17&lt;Inputs!$B$97,Inputs!$B$97-F17,-MIN(E19,MAX(0,F17-Inputs!$B$97)))</f>
        <v/>
      </c>
      <c r="G18" s="24">
        <f>IF(G17&lt;Inputs!$B$97,Inputs!$B$97-G17,-MIN(F19,MAX(0,G17-Inputs!$B$97)))</f>
        <v/>
      </c>
      <c r="H18" s="24">
        <f>IF(H17&lt;Inputs!$B$97,Inputs!$B$97-H17,-MIN(G19,MAX(0,H17-Inputs!$B$97)))</f>
        <v/>
      </c>
      <c r="I18" s="24">
        <f>IF(I17&lt;Inputs!$B$97,Inputs!$B$97-I17,-MIN(H19,MAX(0,I17-Inputs!$B$97)))</f>
        <v/>
      </c>
      <c r="J18" s="24">
        <f>IF(J17&lt;Inputs!$B$97,Inputs!$B$97-J17,-MIN(I19,MAX(0,J17-Inputs!$B$97)))</f>
        <v/>
      </c>
      <c r="K18" s="24">
        <f>IF(K17&lt;Inputs!$B$97,Inputs!$B$97-K17,-MIN(J19,MAX(0,K17-Inputs!$B$97)))</f>
        <v/>
      </c>
      <c r="L18" s="24">
        <f>IF(L17&lt;Inputs!$B$97,Inputs!$B$97-L17,-MIN(K19,MAX(0,L17-Inputs!$B$97)))</f>
        <v/>
      </c>
      <c r="M18" s="24">
        <f>IF(M17&lt;Inputs!$B$97,Inputs!$B$97-M17,-MIN(L19,MAX(0,M17-Inputs!$B$97)))</f>
        <v/>
      </c>
      <c r="N18" s="24">
        <f>IF(N17&lt;Inputs!$B$97,Inputs!$B$97-N17,-MIN(M19,MAX(0,N17-Inputs!$B$97)))</f>
        <v/>
      </c>
      <c r="O18" s="24">
        <f>IF(O17&lt;Inputs!$B$97,Inputs!$B$97-O17,-MIN(N19,MAX(0,O17-Inputs!$B$97)))</f>
        <v/>
      </c>
      <c r="P18" s="24">
        <f>IF(P17&lt;Inputs!$B$97,Inputs!$B$97-P17,-MIN(O19,MAX(0,P17-Inputs!$B$97)))</f>
        <v/>
      </c>
      <c r="Q18" s="24">
        <f>IF(Q17&lt;Inputs!$B$97,Inputs!$B$97-Q17,-MIN(P19,MAX(0,Q17-Inputs!$B$97)))</f>
        <v/>
      </c>
      <c r="R18" s="24">
        <f>IF(R17&lt;Inputs!$B$97,Inputs!$B$97-R17,-MIN(Q19,MAX(0,R17-Inputs!$B$97)))</f>
        <v/>
      </c>
      <c r="S18" s="24">
        <f>IF(S17&lt;Inputs!$B$97,Inputs!$B$97-S17,-MIN(R19,MAX(0,S17-Inputs!$B$97)))</f>
        <v/>
      </c>
      <c r="T18" s="24">
        <f>IF(T17&lt;Inputs!$B$97,Inputs!$B$97-T17,-MIN(S19,MAX(0,T17-Inputs!$B$97)))</f>
        <v/>
      </c>
      <c r="U18" s="24">
        <f>IF(U17&lt;Inputs!$B$97,Inputs!$B$97-U17,-MIN(T19,MAX(0,U17-Inputs!$B$97)))</f>
        <v/>
      </c>
      <c r="V18" s="24">
        <f>IF(V17&lt;Inputs!$B$97,Inputs!$B$97-V17,-MIN(U19,MAX(0,V17-Inputs!$B$97)))</f>
        <v/>
      </c>
    </row>
    <row r="19">
      <c r="A19" s="28" t="inlineStr">
        <is>
          <t>Working-capital line balance</t>
        </is>
      </c>
      <c r="B19" s="24">
        <f>0</f>
        <v/>
      </c>
      <c r="C19" s="23">
        <f>B19+C18</f>
        <v/>
      </c>
      <c r="D19" s="23">
        <f>C19+D18</f>
        <v/>
      </c>
      <c r="E19" s="23">
        <f>D19+E18</f>
        <v/>
      </c>
      <c r="F19" s="23">
        <f>E19+F18</f>
        <v/>
      </c>
      <c r="G19" s="23">
        <f>F19+G18</f>
        <v/>
      </c>
      <c r="H19" s="23">
        <f>G19+H18</f>
        <v/>
      </c>
      <c r="I19" s="23">
        <f>H19+I18</f>
        <v/>
      </c>
      <c r="J19" s="23">
        <f>I19+J18</f>
        <v/>
      </c>
      <c r="K19" s="23">
        <f>J19+K18</f>
        <v/>
      </c>
      <c r="L19" s="23">
        <f>K19+L18</f>
        <v/>
      </c>
      <c r="M19" s="23">
        <f>L19+M18</f>
        <v/>
      </c>
      <c r="N19" s="23">
        <f>M19+N18</f>
        <v/>
      </c>
      <c r="O19" s="23">
        <f>N19+O18</f>
        <v/>
      </c>
      <c r="P19" s="23">
        <f>O19+P18</f>
        <v/>
      </c>
      <c r="Q19" s="23">
        <f>P19+Q18</f>
        <v/>
      </c>
      <c r="R19" s="23">
        <f>Q19+R18</f>
        <v/>
      </c>
      <c r="S19" s="23">
        <f>R19+S18</f>
        <v/>
      </c>
      <c r="T19" s="23">
        <f>S19+T18</f>
        <v/>
      </c>
      <c r="U19" s="23">
        <f>T19+U18</f>
        <v/>
      </c>
      <c r="V19" s="23">
        <f>U19+V18</f>
        <v/>
      </c>
    </row>
    <row r="20">
      <c r="A20" s="28" t="inlineStr">
        <is>
          <t>ENDING CASH</t>
        </is>
      </c>
      <c r="C20" s="29">
        <f>C17+C18</f>
        <v/>
      </c>
      <c r="D20" s="29">
        <f>D17+D18</f>
        <v/>
      </c>
      <c r="E20" s="29">
        <f>E17+E18</f>
        <v/>
      </c>
      <c r="F20" s="29">
        <f>F17+F18</f>
        <v/>
      </c>
      <c r="G20" s="29">
        <f>G17+G18</f>
        <v/>
      </c>
      <c r="H20" s="29">
        <f>H17+H18</f>
        <v/>
      </c>
      <c r="I20" s="29">
        <f>I17+I18</f>
        <v/>
      </c>
      <c r="J20" s="29">
        <f>J17+J18</f>
        <v/>
      </c>
      <c r="K20" s="29">
        <f>K17+K18</f>
        <v/>
      </c>
      <c r="L20" s="29">
        <f>L17+L18</f>
        <v/>
      </c>
      <c r="M20" s="29">
        <f>M17+M18</f>
        <v/>
      </c>
      <c r="N20" s="29">
        <f>N17+N18</f>
        <v/>
      </c>
      <c r="O20" s="29">
        <f>O17+O18</f>
        <v/>
      </c>
      <c r="P20" s="29">
        <f>P17+P18</f>
        <v/>
      </c>
      <c r="Q20" s="29">
        <f>Q17+Q18</f>
        <v/>
      </c>
      <c r="R20" s="29">
        <f>R17+R18</f>
        <v/>
      </c>
      <c r="S20" s="29">
        <f>S17+S18</f>
        <v/>
      </c>
      <c r="T20" s="29">
        <f>T17+T18</f>
        <v/>
      </c>
      <c r="U20" s="29">
        <f>U17+U18</f>
        <v/>
      </c>
      <c r="V20" s="29">
        <f>V17+V18</f>
        <v/>
      </c>
    </row>
    <row r="22">
      <c r="A22" s="3" t="inlineStr">
        <is>
          <t>BALANCE SHEET</t>
        </is>
      </c>
    </row>
    <row r="23">
      <c r="A23" s="4" t="inlineStr">
        <is>
          <t>Cash</t>
        </is>
      </c>
      <c r="B23" s="26">
        <f>Inputs!$B$117</f>
        <v/>
      </c>
      <c r="C23" s="24">
        <f>C20</f>
        <v/>
      </c>
      <c r="D23" s="24">
        <f>D20</f>
        <v/>
      </c>
      <c r="E23" s="24">
        <f>E20</f>
        <v/>
      </c>
      <c r="F23" s="24">
        <f>F20</f>
        <v/>
      </c>
      <c r="G23" s="24">
        <f>G20</f>
        <v/>
      </c>
      <c r="H23" s="24">
        <f>H20</f>
        <v/>
      </c>
      <c r="I23" s="24">
        <f>I20</f>
        <v/>
      </c>
      <c r="J23" s="24">
        <f>J20</f>
        <v/>
      </c>
      <c r="K23" s="24">
        <f>K20</f>
        <v/>
      </c>
      <c r="L23" s="24">
        <f>L20</f>
        <v/>
      </c>
      <c r="M23" s="24">
        <f>M20</f>
        <v/>
      </c>
      <c r="N23" s="24">
        <f>N20</f>
        <v/>
      </c>
      <c r="O23" s="24">
        <f>O20</f>
        <v/>
      </c>
      <c r="P23" s="24">
        <f>P20</f>
        <v/>
      </c>
      <c r="Q23" s="24">
        <f>Q20</f>
        <v/>
      </c>
      <c r="R23" s="24">
        <f>R20</f>
        <v/>
      </c>
      <c r="S23" s="24">
        <f>S20</f>
        <v/>
      </c>
      <c r="T23" s="24">
        <f>T20</f>
        <v/>
      </c>
      <c r="U23" s="24">
        <f>U20</f>
        <v/>
      </c>
      <c r="V23" s="24">
        <f>V20</f>
        <v/>
      </c>
    </row>
    <row r="24">
      <c r="A24" s="4" t="inlineStr">
        <is>
          <t>Accounts receivable</t>
        </is>
      </c>
      <c r="B24" s="24">
        <f>0</f>
        <v/>
      </c>
      <c r="C24" s="24">
        <f>C9</f>
        <v/>
      </c>
      <c r="D24" s="24">
        <f>D9</f>
        <v/>
      </c>
      <c r="E24" s="24">
        <f>E9</f>
        <v/>
      </c>
      <c r="F24" s="24">
        <f>F9</f>
        <v/>
      </c>
      <c r="G24" s="24">
        <f>G9</f>
        <v/>
      </c>
      <c r="H24" s="24">
        <f>H9</f>
        <v/>
      </c>
      <c r="I24" s="24">
        <f>I9</f>
        <v/>
      </c>
      <c r="J24" s="24">
        <f>J9</f>
        <v/>
      </c>
      <c r="K24" s="24">
        <f>K9</f>
        <v/>
      </c>
      <c r="L24" s="24">
        <f>L9</f>
        <v/>
      </c>
      <c r="M24" s="24">
        <f>M9</f>
        <v/>
      </c>
      <c r="N24" s="24">
        <f>N9</f>
        <v/>
      </c>
      <c r="O24" s="24">
        <f>O9</f>
        <v/>
      </c>
      <c r="P24" s="24">
        <f>P9</f>
        <v/>
      </c>
      <c r="Q24" s="24">
        <f>Q9</f>
        <v/>
      </c>
      <c r="R24" s="24">
        <f>R9</f>
        <v/>
      </c>
      <c r="S24" s="24">
        <f>S9</f>
        <v/>
      </c>
      <c r="T24" s="24">
        <f>T9</f>
        <v/>
      </c>
      <c r="U24" s="24">
        <f>U9</f>
        <v/>
      </c>
      <c r="V24" s="24">
        <f>V9</f>
        <v/>
      </c>
    </row>
    <row r="25">
      <c r="A25" s="4" t="inlineStr">
        <is>
          <t>PP&amp;E, net</t>
        </is>
      </c>
      <c r="B25" s="26">
        <f>Inputs!$B$98</f>
        <v/>
      </c>
      <c r="C25" s="24">
        <f>MAX(0,B25-C8*(Inputs!$B$98/(Inputs!$B$98+Inputs!$B$116)))</f>
        <v/>
      </c>
      <c r="D25" s="24">
        <f>MAX(0,C25-D8*(Inputs!$B$98/(Inputs!$B$98+Inputs!$B$116)))</f>
        <v/>
      </c>
      <c r="E25" s="24">
        <f>MAX(0,D25-E8*(Inputs!$B$98/(Inputs!$B$98+Inputs!$B$116)))</f>
        <v/>
      </c>
      <c r="F25" s="24">
        <f>MAX(0,E25-F8*(Inputs!$B$98/(Inputs!$B$98+Inputs!$B$116)))</f>
        <v/>
      </c>
      <c r="G25" s="24">
        <f>MAX(0,F25-G8*(Inputs!$B$98/(Inputs!$B$98+Inputs!$B$116)))</f>
        <v/>
      </c>
      <c r="H25" s="24">
        <f>MAX(0,G25-H8*(Inputs!$B$98/(Inputs!$B$98+Inputs!$B$116)))</f>
        <v/>
      </c>
      <c r="I25" s="24">
        <f>MAX(0,H25-I8*(Inputs!$B$98/(Inputs!$B$98+Inputs!$B$116)))</f>
        <v/>
      </c>
      <c r="J25" s="24">
        <f>MAX(0,I25-J8*(Inputs!$B$98/(Inputs!$B$98+Inputs!$B$116)))</f>
        <v/>
      </c>
      <c r="K25" s="24">
        <f>MAX(0,J25-K8*(Inputs!$B$98/(Inputs!$B$98+Inputs!$B$116)))</f>
        <v/>
      </c>
      <c r="L25" s="24">
        <f>MAX(0,K25-L8*(Inputs!$B$98/(Inputs!$B$98+Inputs!$B$116)))</f>
        <v/>
      </c>
      <c r="M25" s="24">
        <f>MAX(0,L25-M8*(Inputs!$B$98/(Inputs!$B$98+Inputs!$B$116)))</f>
        <v/>
      </c>
      <c r="N25" s="24">
        <f>MAX(0,M25-N8*(Inputs!$B$98/(Inputs!$B$98+Inputs!$B$116)))</f>
        <v/>
      </c>
      <c r="O25" s="24">
        <f>MAX(0,N25-O8*(Inputs!$B$98/(Inputs!$B$98+Inputs!$B$116)))</f>
        <v/>
      </c>
      <c r="P25" s="24">
        <f>MAX(0,O25-P8*(Inputs!$B$98/(Inputs!$B$98+Inputs!$B$116)))</f>
        <v/>
      </c>
      <c r="Q25" s="24">
        <f>MAX(0,P25-Q8*(Inputs!$B$98/(Inputs!$B$98+Inputs!$B$116)))</f>
        <v/>
      </c>
      <c r="R25" s="24">
        <f>MAX(0,Q25-R8*(Inputs!$B$98/(Inputs!$B$98+Inputs!$B$116)))</f>
        <v/>
      </c>
      <c r="S25" s="24">
        <f>MAX(0,R25-S8*(Inputs!$B$98/(Inputs!$B$98+Inputs!$B$116)))</f>
        <v/>
      </c>
      <c r="T25" s="24">
        <f>MAX(0,S25-T8*(Inputs!$B$98/(Inputs!$B$98+Inputs!$B$116)))</f>
        <v/>
      </c>
      <c r="U25" s="24">
        <f>MAX(0,T25-U8*(Inputs!$B$98/(Inputs!$B$98+Inputs!$B$116)))</f>
        <v/>
      </c>
      <c r="V25" s="24">
        <f>MAX(0,U25-V8*(Inputs!$B$98/(Inputs!$B$98+Inputs!$B$116)))</f>
        <v/>
      </c>
    </row>
    <row r="26">
      <c r="A26" s="4" t="inlineStr">
        <is>
          <t>Startup &amp; organizational costs, net</t>
        </is>
      </c>
      <c r="B26" s="26">
        <f>Inputs!$B$116</f>
        <v/>
      </c>
      <c r="C26" s="24">
        <f>MAX(0,B26-C8*(Inputs!$B$116/(Inputs!$B$98+Inputs!$B$116)))</f>
        <v/>
      </c>
      <c r="D26" s="24">
        <f>MAX(0,C26-D8*(Inputs!$B$116/(Inputs!$B$98+Inputs!$B$116)))</f>
        <v/>
      </c>
      <c r="E26" s="24">
        <f>MAX(0,D26-E8*(Inputs!$B$116/(Inputs!$B$98+Inputs!$B$116)))</f>
        <v/>
      </c>
      <c r="F26" s="24">
        <f>MAX(0,E26-F8*(Inputs!$B$116/(Inputs!$B$98+Inputs!$B$116)))</f>
        <v/>
      </c>
      <c r="G26" s="24">
        <f>MAX(0,F26-G8*(Inputs!$B$116/(Inputs!$B$98+Inputs!$B$116)))</f>
        <v/>
      </c>
      <c r="H26" s="24">
        <f>MAX(0,G26-H8*(Inputs!$B$116/(Inputs!$B$98+Inputs!$B$116)))</f>
        <v/>
      </c>
      <c r="I26" s="24">
        <f>MAX(0,H26-I8*(Inputs!$B$116/(Inputs!$B$98+Inputs!$B$116)))</f>
        <v/>
      </c>
      <c r="J26" s="24">
        <f>MAX(0,I26-J8*(Inputs!$B$116/(Inputs!$B$98+Inputs!$B$116)))</f>
        <v/>
      </c>
      <c r="K26" s="24">
        <f>MAX(0,J26-K8*(Inputs!$B$116/(Inputs!$B$98+Inputs!$B$116)))</f>
        <v/>
      </c>
      <c r="L26" s="24">
        <f>MAX(0,K26-L8*(Inputs!$B$116/(Inputs!$B$98+Inputs!$B$116)))</f>
        <v/>
      </c>
      <c r="M26" s="24">
        <f>MAX(0,L26-M8*(Inputs!$B$116/(Inputs!$B$98+Inputs!$B$116)))</f>
        <v/>
      </c>
      <c r="N26" s="24">
        <f>MAX(0,M26-N8*(Inputs!$B$116/(Inputs!$B$98+Inputs!$B$116)))</f>
        <v/>
      </c>
      <c r="O26" s="24">
        <f>MAX(0,N26-O8*(Inputs!$B$116/(Inputs!$B$98+Inputs!$B$116)))</f>
        <v/>
      </c>
      <c r="P26" s="24">
        <f>MAX(0,O26-P8*(Inputs!$B$116/(Inputs!$B$98+Inputs!$B$116)))</f>
        <v/>
      </c>
      <c r="Q26" s="24">
        <f>MAX(0,P26-Q8*(Inputs!$B$116/(Inputs!$B$98+Inputs!$B$116)))</f>
        <v/>
      </c>
      <c r="R26" s="24">
        <f>MAX(0,Q26-R8*(Inputs!$B$116/(Inputs!$B$98+Inputs!$B$116)))</f>
        <v/>
      </c>
      <c r="S26" s="24">
        <f>MAX(0,R26-S8*(Inputs!$B$116/(Inputs!$B$98+Inputs!$B$116)))</f>
        <v/>
      </c>
      <c r="T26" s="24">
        <f>MAX(0,S26-T8*(Inputs!$B$116/(Inputs!$B$98+Inputs!$B$116)))</f>
        <v/>
      </c>
      <c r="U26" s="24">
        <f>MAX(0,T26-U8*(Inputs!$B$116/(Inputs!$B$98+Inputs!$B$116)))</f>
        <v/>
      </c>
      <c r="V26" s="24">
        <f>MAX(0,U26-V8*(Inputs!$B$116/(Inputs!$B$98+Inputs!$B$116)))</f>
        <v/>
      </c>
    </row>
    <row r="27">
      <c r="A27" s="28" t="inlineStr">
        <is>
          <t>TOTAL ASSETS</t>
        </is>
      </c>
      <c r="B27" s="50">
        <f>B23+B24+B25+B26</f>
        <v/>
      </c>
      <c r="C27" s="50">
        <f>C23+C24+C25+C26</f>
        <v/>
      </c>
      <c r="D27" s="50">
        <f>D23+D24+D25+D26</f>
        <v/>
      </c>
      <c r="E27" s="50">
        <f>E23+E24+E25+E26</f>
        <v/>
      </c>
      <c r="F27" s="50">
        <f>F23+F24+F25+F26</f>
        <v/>
      </c>
      <c r="G27" s="50">
        <f>G23+G24+G25+G26</f>
        <v/>
      </c>
      <c r="H27" s="50">
        <f>H23+H24+H25+H26</f>
        <v/>
      </c>
      <c r="I27" s="50">
        <f>I23+I24+I25+I26</f>
        <v/>
      </c>
      <c r="J27" s="50">
        <f>J23+J24+J25+J26</f>
        <v/>
      </c>
      <c r="K27" s="50">
        <f>K23+K24+K25+K26</f>
        <v/>
      </c>
      <c r="L27" s="50">
        <f>L23+L24+L25+L26</f>
        <v/>
      </c>
      <c r="M27" s="50">
        <f>M23+M24+M25+M26</f>
        <v/>
      </c>
      <c r="N27" s="50">
        <f>N23+N24+N25+N26</f>
        <v/>
      </c>
      <c r="O27" s="50">
        <f>O23+O24+O25+O26</f>
        <v/>
      </c>
      <c r="P27" s="50">
        <f>P23+P24+P25+P26</f>
        <v/>
      </c>
      <c r="Q27" s="50">
        <f>Q23+Q24+Q25+Q26</f>
        <v/>
      </c>
      <c r="R27" s="50">
        <f>R23+R24+R25+R26</f>
        <v/>
      </c>
      <c r="S27" s="50">
        <f>S23+S24+S25+S26</f>
        <v/>
      </c>
      <c r="T27" s="50">
        <f>T23+T24+T25+T26</f>
        <v/>
      </c>
      <c r="U27" s="50">
        <f>U23+U24+U25+U26</f>
        <v/>
      </c>
      <c r="V27" s="50">
        <f>V23+V24+V25+V26</f>
        <v/>
      </c>
    </row>
    <row r="29">
      <c r="A29" s="4" t="inlineStr">
        <is>
          <t>Accounts payable</t>
        </is>
      </c>
      <c r="B29" s="24">
        <f>0</f>
        <v/>
      </c>
      <c r="C29" s="24">
        <f>C10</f>
        <v/>
      </c>
      <c r="D29" s="24">
        <f>D10</f>
        <v/>
      </c>
      <c r="E29" s="24">
        <f>E10</f>
        <v/>
      </c>
      <c r="F29" s="24">
        <f>F10</f>
        <v/>
      </c>
      <c r="G29" s="24">
        <f>G10</f>
        <v/>
      </c>
      <c r="H29" s="24">
        <f>H10</f>
        <v/>
      </c>
      <c r="I29" s="24">
        <f>I10</f>
        <v/>
      </c>
      <c r="J29" s="24">
        <f>J10</f>
        <v/>
      </c>
      <c r="K29" s="24">
        <f>K10</f>
        <v/>
      </c>
      <c r="L29" s="24">
        <f>L10</f>
        <v/>
      </c>
      <c r="M29" s="24">
        <f>M10</f>
        <v/>
      </c>
      <c r="N29" s="24">
        <f>N10</f>
        <v/>
      </c>
      <c r="O29" s="24">
        <f>O10</f>
        <v/>
      </c>
      <c r="P29" s="24">
        <f>P10</f>
        <v/>
      </c>
      <c r="Q29" s="24">
        <f>Q10</f>
        <v/>
      </c>
      <c r="R29" s="24">
        <f>R10</f>
        <v/>
      </c>
      <c r="S29" s="24">
        <f>S10</f>
        <v/>
      </c>
      <c r="T29" s="24">
        <f>T10</f>
        <v/>
      </c>
      <c r="U29" s="24">
        <f>U10</f>
        <v/>
      </c>
      <c r="V29" s="24">
        <f>V10</f>
        <v/>
      </c>
    </row>
    <row r="30">
      <c r="A30" s="4" t="inlineStr">
        <is>
          <t>Working-capital line</t>
        </is>
      </c>
      <c r="B30" s="24">
        <f>0</f>
        <v/>
      </c>
      <c r="C30" s="24">
        <f>C19</f>
        <v/>
      </c>
      <c r="D30" s="24">
        <f>D19</f>
        <v/>
      </c>
      <c r="E30" s="24">
        <f>E19</f>
        <v/>
      </c>
      <c r="F30" s="24">
        <f>F19</f>
        <v/>
      </c>
      <c r="G30" s="24">
        <f>G19</f>
        <v/>
      </c>
      <c r="H30" s="24">
        <f>H19</f>
        <v/>
      </c>
      <c r="I30" s="24">
        <f>I19</f>
        <v/>
      </c>
      <c r="J30" s="24">
        <f>J19</f>
        <v/>
      </c>
      <c r="K30" s="24">
        <f>K19</f>
        <v/>
      </c>
      <c r="L30" s="24">
        <f>L19</f>
        <v/>
      </c>
      <c r="M30" s="24">
        <f>M19</f>
        <v/>
      </c>
      <c r="N30" s="24">
        <f>N19</f>
        <v/>
      </c>
      <c r="O30" s="24">
        <f>O19</f>
        <v/>
      </c>
      <c r="P30" s="24">
        <f>P19</f>
        <v/>
      </c>
      <c r="Q30" s="24">
        <f>Q19</f>
        <v/>
      </c>
      <c r="R30" s="24">
        <f>R19</f>
        <v/>
      </c>
      <c r="S30" s="24">
        <f>S19</f>
        <v/>
      </c>
      <c r="T30" s="24">
        <f>T19</f>
        <v/>
      </c>
      <c r="U30" s="24">
        <f>U19</f>
        <v/>
      </c>
      <c r="V30" s="24">
        <f>V19</f>
        <v/>
      </c>
    </row>
    <row r="31">
      <c r="A31" s="4" t="inlineStr">
        <is>
          <t>SBA loan balance</t>
        </is>
      </c>
      <c r="B31" s="26">
        <f>Inputs!$B$91</f>
        <v/>
      </c>
      <c r="C31" s="26">
        <f>'Debt Schedule'!C13</f>
        <v/>
      </c>
      <c r="D31" s="26">
        <f>'Debt Schedule'!D13</f>
        <v/>
      </c>
      <c r="E31" s="26">
        <f>'Debt Schedule'!E13</f>
        <v/>
      </c>
      <c r="F31" s="26">
        <f>'Debt Schedule'!F13</f>
        <v/>
      </c>
      <c r="G31" s="26">
        <f>'Debt Schedule'!G13</f>
        <v/>
      </c>
      <c r="H31" s="26">
        <f>'Debt Schedule'!H13</f>
        <v/>
      </c>
      <c r="I31" s="26">
        <f>'Debt Schedule'!I13</f>
        <v/>
      </c>
      <c r="J31" s="26">
        <f>'Debt Schedule'!J13</f>
        <v/>
      </c>
      <c r="K31" s="26">
        <f>'Debt Schedule'!K13</f>
        <v/>
      </c>
      <c r="L31" s="26">
        <f>'Debt Schedule'!L13</f>
        <v/>
      </c>
      <c r="M31" s="26">
        <f>'Debt Schedule'!M13</f>
        <v/>
      </c>
      <c r="N31" s="26">
        <f>'Debt Schedule'!N13</f>
        <v/>
      </c>
      <c r="O31" s="26">
        <f>'Debt Schedule'!O13</f>
        <v/>
      </c>
      <c r="P31" s="26">
        <f>'Debt Schedule'!P13</f>
        <v/>
      </c>
      <c r="Q31" s="26">
        <f>'Debt Schedule'!Q13</f>
        <v/>
      </c>
      <c r="R31" s="26">
        <f>'Debt Schedule'!R13</f>
        <v/>
      </c>
      <c r="S31" s="26">
        <f>'Debt Schedule'!S13</f>
        <v/>
      </c>
      <c r="T31" s="26">
        <f>'Debt Schedule'!T13</f>
        <v/>
      </c>
      <c r="U31" s="26">
        <f>'Debt Schedule'!U13</f>
        <v/>
      </c>
      <c r="V31" s="26">
        <f>'Debt Schedule'!V13</f>
        <v/>
      </c>
    </row>
    <row r="32">
      <c r="A32" s="4" t="inlineStr">
        <is>
          <t>Paid-in equity</t>
        </is>
      </c>
      <c r="B32" s="51">
        <f>Inputs!$B$94</f>
        <v/>
      </c>
      <c r="C32" s="51">
        <f>Inputs!$B$94</f>
        <v/>
      </c>
      <c r="D32" s="51">
        <f>Inputs!$B$94</f>
        <v/>
      </c>
      <c r="E32" s="51">
        <f>Inputs!$B$94</f>
        <v/>
      </c>
      <c r="F32" s="51">
        <f>Inputs!$B$94</f>
        <v/>
      </c>
      <c r="G32" s="51">
        <f>Inputs!$B$94</f>
        <v/>
      </c>
      <c r="H32" s="51">
        <f>Inputs!$B$94</f>
        <v/>
      </c>
      <c r="I32" s="51">
        <f>Inputs!$B$94</f>
        <v/>
      </c>
      <c r="J32" s="51">
        <f>Inputs!$B$94</f>
        <v/>
      </c>
      <c r="K32" s="51">
        <f>Inputs!$B$94</f>
        <v/>
      </c>
      <c r="L32" s="51">
        <f>Inputs!$B$94</f>
        <v/>
      </c>
      <c r="M32" s="51">
        <f>Inputs!$B$94</f>
        <v/>
      </c>
      <c r="N32" s="51">
        <f>Inputs!$B$94</f>
        <v/>
      </c>
      <c r="O32" s="51">
        <f>Inputs!$B$94</f>
        <v/>
      </c>
      <c r="P32" s="51">
        <f>Inputs!$B$94</f>
        <v/>
      </c>
      <c r="Q32" s="51">
        <f>Inputs!$B$94</f>
        <v/>
      </c>
      <c r="R32" s="51">
        <f>Inputs!$B$94</f>
        <v/>
      </c>
      <c r="S32" s="51">
        <f>Inputs!$B$94</f>
        <v/>
      </c>
      <c r="T32" s="51">
        <f>Inputs!$B$94</f>
        <v/>
      </c>
      <c r="U32" s="51">
        <f>Inputs!$B$94</f>
        <v/>
      </c>
      <c r="V32" s="51">
        <f>Inputs!$B$94</f>
        <v/>
      </c>
    </row>
    <row r="33">
      <c r="A33" s="4" t="inlineStr">
        <is>
          <t>Retained earnings</t>
        </is>
      </c>
      <c r="B33" s="24">
        <f>0</f>
        <v/>
      </c>
      <c r="C33" s="24">
        <f>B33+C7</f>
        <v/>
      </c>
      <c r="D33" s="24">
        <f>C33+D7</f>
        <v/>
      </c>
      <c r="E33" s="24">
        <f>D33+E7</f>
        <v/>
      </c>
      <c r="F33" s="24">
        <f>E33+F7</f>
        <v/>
      </c>
      <c r="G33" s="24">
        <f>F33+G7</f>
        <v/>
      </c>
      <c r="H33" s="24">
        <f>G33+H7</f>
        <v/>
      </c>
      <c r="I33" s="24">
        <f>H33+I7</f>
        <v/>
      </c>
      <c r="J33" s="24">
        <f>I33+J7</f>
        <v/>
      </c>
      <c r="K33" s="24">
        <f>J33+K7</f>
        <v/>
      </c>
      <c r="L33" s="24">
        <f>K33+L7</f>
        <v/>
      </c>
      <c r="M33" s="24">
        <f>L33+M7</f>
        <v/>
      </c>
      <c r="N33" s="24">
        <f>M33+N7</f>
        <v/>
      </c>
      <c r="O33" s="24">
        <f>N33+O7</f>
        <v/>
      </c>
      <c r="P33" s="24">
        <f>O33+P7</f>
        <v/>
      </c>
      <c r="Q33" s="24">
        <f>P33+Q7</f>
        <v/>
      </c>
      <c r="R33" s="24">
        <f>Q33+R7</f>
        <v/>
      </c>
      <c r="S33" s="24">
        <f>R33+S7</f>
        <v/>
      </c>
      <c r="T33" s="24">
        <f>S33+T7</f>
        <v/>
      </c>
      <c r="U33" s="24">
        <f>T33+U7</f>
        <v/>
      </c>
      <c r="V33" s="24">
        <f>U33+V7</f>
        <v/>
      </c>
    </row>
    <row r="34">
      <c r="A34" s="28" t="inlineStr">
        <is>
          <t>TOTAL LIABILITIES &amp; EQUITY</t>
        </is>
      </c>
      <c r="B34" s="50">
        <f>B29+B30+B31+B32+B33</f>
        <v/>
      </c>
      <c r="C34" s="50">
        <f>C29+C30+C31+C32+C33</f>
        <v/>
      </c>
      <c r="D34" s="50">
        <f>D29+D30+D31+D32+D33</f>
        <v/>
      </c>
      <c r="E34" s="50">
        <f>E29+E30+E31+E32+E33</f>
        <v/>
      </c>
      <c r="F34" s="50">
        <f>F29+F30+F31+F32+F33</f>
        <v/>
      </c>
      <c r="G34" s="50">
        <f>G29+G30+G31+G32+G33</f>
        <v/>
      </c>
      <c r="H34" s="50">
        <f>H29+H30+H31+H32+H33</f>
        <v/>
      </c>
      <c r="I34" s="50">
        <f>I29+I30+I31+I32+I33</f>
        <v/>
      </c>
      <c r="J34" s="50">
        <f>J29+J30+J31+J32+J33</f>
        <v/>
      </c>
      <c r="K34" s="50">
        <f>K29+K30+K31+K32+K33</f>
        <v/>
      </c>
      <c r="L34" s="50">
        <f>L29+L30+L31+L32+L33</f>
        <v/>
      </c>
      <c r="M34" s="50">
        <f>M29+M30+M31+M32+M33</f>
        <v/>
      </c>
      <c r="N34" s="50">
        <f>N29+N30+N31+N32+N33</f>
        <v/>
      </c>
      <c r="O34" s="50">
        <f>O29+O30+O31+O32+O33</f>
        <v/>
      </c>
      <c r="P34" s="50">
        <f>P29+P30+P31+P32+P33</f>
        <v/>
      </c>
      <c r="Q34" s="50">
        <f>Q29+Q30+Q31+Q32+Q33</f>
        <v/>
      </c>
      <c r="R34" s="50">
        <f>R29+R30+R31+R32+R33</f>
        <v/>
      </c>
      <c r="S34" s="50">
        <f>S29+S30+S31+S32+S33</f>
        <v/>
      </c>
      <c r="T34" s="50">
        <f>T29+T30+T31+T32+T33</f>
        <v/>
      </c>
      <c r="U34" s="50">
        <f>U29+U30+U31+U32+U33</f>
        <v/>
      </c>
      <c r="V34" s="50">
        <f>V29+V30+V31+V32+V33</f>
        <v/>
      </c>
    </row>
    <row r="35">
      <c r="A35" s="28" t="inlineStr">
        <is>
          <t>CHECK: Assets − (L+E)  → 0</t>
        </is>
      </c>
      <c r="B35" s="52">
        <f>B27-B34</f>
        <v/>
      </c>
      <c r="C35" s="52">
        <f>C27-C34</f>
        <v/>
      </c>
      <c r="D35" s="52">
        <f>D27-D34</f>
        <v/>
      </c>
      <c r="E35" s="52">
        <f>E27-E34</f>
        <v/>
      </c>
      <c r="F35" s="52">
        <f>F27-F34</f>
        <v/>
      </c>
      <c r="G35" s="52">
        <f>G27-G34</f>
        <v/>
      </c>
      <c r="H35" s="52">
        <f>H27-H34</f>
        <v/>
      </c>
      <c r="I35" s="52">
        <f>I27-I34</f>
        <v/>
      </c>
      <c r="J35" s="52">
        <f>J27-J34</f>
        <v/>
      </c>
      <c r="K35" s="52">
        <f>K27-K34</f>
        <v/>
      </c>
      <c r="L35" s="52">
        <f>L27-L34</f>
        <v/>
      </c>
      <c r="M35" s="52">
        <f>M27-M34</f>
        <v/>
      </c>
      <c r="N35" s="52">
        <f>N27-N34</f>
        <v/>
      </c>
      <c r="O35" s="52">
        <f>O27-O34</f>
        <v/>
      </c>
      <c r="P35" s="52">
        <f>P27-P34</f>
        <v/>
      </c>
      <c r="Q35" s="52">
        <f>Q27-Q34</f>
        <v/>
      </c>
      <c r="R35" s="52">
        <f>R27-R34</f>
        <v/>
      </c>
      <c r="S35" s="52">
        <f>S27-S34</f>
        <v/>
      </c>
      <c r="T35" s="52">
        <f>T27-T34</f>
        <v/>
      </c>
      <c r="U35" s="52">
        <f>U27-U34</f>
        <v/>
      </c>
      <c r="V35" s="52">
        <f>V27-V34</f>
        <v/>
      </c>
    </row>
  </sheetData>
  <mergeCells count="7">
    <mergeCell ref="A1:W1"/>
    <mergeCell ref="O4:R4"/>
    <mergeCell ref="S4:V4"/>
    <mergeCell ref="A6:W6"/>
    <mergeCell ref="A22:W22"/>
    <mergeCell ref="A2:W2"/>
    <mergeCell ref="C4:N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53" t="inlineStr">
        <is>
          <t>Metric</t>
        </is>
      </c>
      <c r="B4" s="27" t="inlineStr">
        <is>
          <t>Mar 2025</t>
        </is>
      </c>
      <c r="C4" s="27" t="inlineStr">
        <is>
          <t>Apr 2025</t>
        </is>
      </c>
      <c r="D4" s="27" t="inlineStr">
        <is>
          <t>May 2025</t>
        </is>
      </c>
      <c r="E4" s="27" t="inlineStr">
        <is>
          <t>Jun 2025</t>
        </is>
      </c>
      <c r="F4" s="27" t="inlineStr">
        <is>
          <t>Apr–Jun avg</t>
        </is>
      </c>
      <c r="G4" s="27" t="inlineStr">
        <is>
          <t>Model (M3)</t>
        </is>
      </c>
      <c r="H4" s="27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26">
        <f>'Revenue Model'!E13</f>
        <v/>
      </c>
      <c r="H5" s="36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28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47">
        <f>'Revenue Model'!E16</f>
        <v/>
      </c>
      <c r="H8" s="32">
        <f>IF(F8=0,0,(G8-F8)/F8)</f>
        <v/>
      </c>
    </row>
    <row r="9">
      <c r="A9" s="21" t="inlineStr">
        <is>
          <t>Implied ADC (net ÷ $181 ÷ days)</t>
        </is>
      </c>
      <c r="B9" s="54">
        <f>B8/Inputs!$B$12/31</f>
        <v/>
      </c>
      <c r="C9" s="54">
        <f>C8/Inputs!$B$12/30</f>
        <v/>
      </c>
      <c r="D9" s="54">
        <f>D8/Inputs!$B$12/31</f>
        <v/>
      </c>
      <c r="E9" s="54">
        <f>E8/Inputs!$B$12/30</f>
        <v/>
      </c>
      <c r="F9" s="54">
        <f>AVERAGE(C9:E9)</f>
        <v/>
      </c>
      <c r="G9" s="45">
        <f>'Revenue Model'!E10</f>
        <v/>
      </c>
      <c r="H9" s="36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26">
        <f>'Revenue Model'!E12*Inputs!$B$69</f>
        <v/>
      </c>
      <c r="H12" s="36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26">
        <f>'Revenue Model'!E12*Inputs!$B$67</f>
        <v/>
      </c>
      <c r="H13" s="36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26">
        <f>'Revenue Model'!E12*Inputs!$B$68</f>
        <v/>
      </c>
      <c r="H14" s="36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28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47">
        <f>'Staffing &amp; Payroll'!E37+'Staffing &amp; Payroll'!E38</f>
        <v/>
      </c>
    </row>
    <row r="21">
      <c r="A21" s="33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Investor Model</dc:title>
  <dcterms:created xsi:type="dcterms:W3CDTF">2026-06-02T06:43:54Z</dcterms:created>
  <dcterms:modified xsi:type="dcterms:W3CDTF">2026-06-02T06:43:55Z</dcterms:modified>
</cp:coreProperties>
</file>