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1 Jason ADS" sheetId="3" state="visible" r:id="rId3"/>
    <sheet xmlns:r="http://schemas.openxmlformats.org/officeDocument/2006/relationships" name="T2 Refuge" sheetId="4" state="visible" r:id="rId4"/>
    <sheet xmlns:r="http://schemas.openxmlformats.org/officeDocument/2006/relationships" name="T3 Avant" sheetId="5" state="visible" r:id="rId5"/>
    <sheet xmlns:r="http://schemas.openxmlformats.org/officeDocument/2006/relationships" name="T4a Refuge+Jason" sheetId="6" state="visible" r:id="rId6"/>
    <sheet xmlns:r="http://schemas.openxmlformats.org/officeDocument/2006/relationships" name="T4b Avant+Ja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  <sz val="10"/>
    </font>
    <font>
      <sz val="9.5"/>
    </font>
    <font>
      <i val="1"/>
      <sz val="8.5"/>
    </font>
    <font>
      <b val="1"/>
      <sz val="8.5"/>
    </font>
    <font>
      <b val="1"/>
      <sz val="9"/>
    </font>
    <font>
      <b val="1"/>
      <sz val="9.5"/>
    </font>
    <font>
      <b val="1"/>
      <color rgb="00FFFFFF"/>
      <sz val="9.5"/>
    </font>
    <font>
      <sz val="8.5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8" fillId="2" borderId="1" pivotButton="0" quotePrefix="0" xfId="0"/>
    <xf numFmtId="0" fontId="7" fillId="0" borderId="0" pivotButton="0" quotePrefix="0" xfId="0"/>
    <xf numFmtId="164" fontId="3" fillId="0" borderId="1" pivotButton="0" quotePrefix="0" xfId="0"/>
    <xf numFmtId="0" fontId="9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3" borderId="1" pivotButton="0" quotePrefix="0" xfId="0"/>
    <xf numFmtId="165" fontId="3" fillId="3" borderId="1" pivotButton="0" quotePrefix="0" xfId="0"/>
    <xf numFmtId="9" fontId="3" fillId="3" borderId="1" pivotButton="0" quotePrefix="0" xfId="0"/>
    <xf numFmtId="0" fontId="5" fillId="0" borderId="0" pivotButton="0" quotePrefix="0" xfId="0"/>
    <xf numFmtId="1" fontId="3" fillId="3" borderId="1" pivotButton="0" quotePrefix="0" xfId="0"/>
    <xf numFmtId="0" fontId="6" fillId="4" borderId="1" applyAlignment="1" pivotButton="0" quotePrefix="0" xfId="0">
      <alignment horizontal="center"/>
    </xf>
    <xf numFmtId="165" fontId="3" fillId="0" borderId="1" pivotButton="0" quotePrefix="0" xfId="0"/>
    <xf numFmtId="164" fontId="7" fillId="0" borderId="1" pivotButton="0" quotePrefix="0" xfId="0"/>
    <xf numFmtId="164" fontId="7" fillId="5" borderId="1" pivotButton="0" quotePrefix="0" xfId="0"/>
    <xf numFmtId="164" fontId="7" fillId="3" borderId="1" pivotButton="0" quotePrefix="0" xfId="0"/>
    <xf numFmtId="1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8F00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60" customWidth="1" min="7" max="7"/>
  </cols>
  <sheetData>
    <row r="1">
      <c r="A1" s="1" t="inlineStr">
        <is>
          <t>FOUR-TRACK COMPARISON - peak funding need vs capital actually available. All tracks: same census ramp and unit economics; no equity inflows; no revolver.</t>
        </is>
      </c>
    </row>
    <row r="3">
      <c r="A3" s="2" t="inlineStr">
        <is>
          <t>Track</t>
        </is>
      </c>
      <c r="B3" s="2" t="inlineStr">
        <is>
          <t>Peak funding need</t>
        </is>
      </c>
      <c r="C3" s="2" t="inlineStr">
        <is>
          <t>vs available</t>
        </is>
      </c>
      <c r="D3" s="2" t="inlineStr">
        <is>
          <t>Month-12 cum. cash</t>
        </is>
      </c>
      <c r="E3" s="2" t="inlineStr">
        <is>
          <t>Month-24 cum. cash</t>
        </is>
      </c>
      <c r="F3" s="2" t="inlineStr">
        <is>
          <t>Regulatory gates</t>
        </is>
      </c>
    </row>
    <row r="4">
      <c r="A4" s="3" t="inlineStr">
        <is>
          <t>T1 Jason ADS</t>
        </is>
      </c>
      <c r="B4" s="4">
        <f>'T1 Jason ADS'!B12</f>
        <v/>
      </c>
      <c r="C4" s="4">
        <f>'T1 Jason ADS'!B12-'Assumptions'!$B$9</f>
        <v/>
      </c>
      <c r="D4" s="4">
        <f>'T1 Jason ADS'!M11</f>
        <v/>
      </c>
      <c r="E4" s="4">
        <f>'T1 Jason ADS'!Y11</f>
        <v/>
      </c>
      <c r="F4" s="5" t="inlineStr">
        <is>
          <t>Gates: Jason terms unagreed (fee is placeholder); AKS-compliant structure + county add + 855A location filing; no license owned at end.</t>
        </is>
      </c>
    </row>
    <row r="5">
      <c r="A5" s="3" t="inlineStr">
        <is>
          <t>T2 Refuge</t>
        </is>
      </c>
      <c r="B5" s="4">
        <f>'T2 Refuge'!B13</f>
        <v/>
      </c>
      <c r="C5" s="4">
        <f>'T2 Refuge'!B13-'Assumptions'!$B$9</f>
        <v/>
      </c>
      <c r="D5" s="4">
        <f>'T2 Refuge'!M12</f>
        <v/>
      </c>
      <c r="E5" s="4">
        <f>'T2 Refuge'!Y12</f>
        <v/>
      </c>
      <c r="F5" s="5" t="inlineStr">
        <is>
          <t>Gates: 36-month window to 1/8/2027; Sept reactivation expiry; PPEO on first claim (letter); bank + SBA must both fund.</t>
        </is>
      </c>
    </row>
    <row r="6">
      <c r="A6" s="3" t="inlineStr">
        <is>
          <t>T3 Avant</t>
        </is>
      </c>
      <c r="B6" s="4">
        <f>'T3 Avant'!B13</f>
        <v/>
      </c>
      <c r="C6" s="4">
        <f>'T3 Avant'!B13-'Assumptions'!$B$9</f>
        <v/>
      </c>
      <c r="D6" s="4">
        <f>'T3 Avant'!M12</f>
        <v/>
      </c>
      <c r="E6" s="4">
        <f>'T3 Avant'!Y12</f>
        <v/>
      </c>
      <c r="F6" s="5" t="inlineStr">
        <is>
          <t>Gates: Palmetto tie-in/CHOW UNRESOLVED (multi-year); Medicare-only; own 36-month/moratorium analysis unverified; license expires 7/8/2027.</t>
        </is>
      </c>
    </row>
    <row r="7">
      <c r="A7" s="3" t="inlineStr">
        <is>
          <t>T4a Refuge + Jason</t>
        </is>
      </c>
      <c r="B7" s="4">
        <f>'T4a Refuge+Jason'!B16</f>
        <v/>
      </c>
      <c r="C7" s="4">
        <f>'T4a Refuge+Jason'!B16-'Assumptions'!$B$9</f>
        <v/>
      </c>
      <c r="D7" s="4">
        <f>'T4a Refuge+Jason'!M15</f>
        <v/>
      </c>
      <c r="E7" s="4">
        <f>'T4a Refuge+Jason'!Y15</f>
        <v/>
      </c>
      <c r="F7" s="5" t="inlineStr">
        <is>
          <t>Gates: T2 gates + Jason gates; two arrangements run at once.</t>
        </is>
      </c>
    </row>
    <row r="8">
      <c r="A8" s="3" t="inlineStr">
        <is>
          <t>T4b Avant + Jason</t>
        </is>
      </c>
      <c r="B8" s="4">
        <f>'T4b Avant+Jason'!B16</f>
        <v/>
      </c>
      <c r="C8" s="4">
        <f>'T4b Avant+Jason'!B16-'Assumptions'!$B$9</f>
        <v/>
      </c>
      <c r="D8" s="4">
        <f>'T4b Avant+Jason'!M15</f>
        <v/>
      </c>
      <c r="E8" s="4">
        <f>'T4b Avant+Jason'!Y15</f>
        <v/>
      </c>
      <c r="F8" s="5" t="inlineStr">
        <is>
          <t>Gates: T3 gates + Jason gates; cheapest capital if Avant clears.</t>
        </is>
      </c>
    </row>
    <row r="10">
      <c r="A10" s="6" t="inlineStr">
        <is>
          <t>Notes: 'vs available' compares to the capital input on Assumptions (~$215K remaining of Jim's $250K). Positive = additional capital required beyond what is committed. Jason fee, Avant clearance month, and PPEO hold lengths are inputs - flex them on the Assumptions tab. Rev 1.00, prepared 7/28/2026.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Y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ASSUMPTIONS - single source of truth. Yellow cells are inputs; every track tab references here. Unit economics per the Rev 4.10 proforma Control Tower (net/day, cost rates, ADC path).</t>
        </is>
      </c>
    </row>
    <row r="3">
      <c r="A3" s="7" t="inlineStr">
        <is>
          <t>SHARED CHASSIS (Rev 4.10 unit economics)</t>
        </is>
      </c>
    </row>
    <row r="4">
      <c r="A4" s="8" t="inlineStr">
        <is>
          <t>Net revenue per patient-day (blended, after sequestration/fees)</t>
        </is>
      </c>
      <c r="B4" s="9" t="n">
        <v>172</v>
      </c>
      <c r="D4" s="6" t="inlineStr">
        <is>
          <t>Rev 4.10 Control Tower; Medicaid r&amp;b treated as cash-neutral pass-through</t>
        </is>
      </c>
    </row>
    <row r="5">
      <c r="A5" s="8" t="inlineStr">
        <is>
          <t>Days per month (billing average)</t>
        </is>
      </c>
      <c r="B5" s="10" t="n">
        <v>30.4</v>
      </c>
    </row>
    <row r="6">
      <c r="A6" s="8" t="inlineStr">
        <is>
          <t>Variable cost per patient-day (clinical labor + benefits + DPC)</t>
        </is>
      </c>
      <c r="B6" s="9" t="n">
        <v>79</v>
      </c>
      <c r="D6" s="6" t="inlineStr">
        <is>
          <t>Rev 4.10 Y1: clinical ~$63/pd + direct patient care ~$16/pd</t>
        </is>
      </c>
    </row>
    <row r="7">
      <c r="A7" s="8" t="inlineStr">
        <is>
          <t>Fixed overhead per month (admin labor, facility, G&amp;A)</t>
        </is>
      </c>
      <c r="B7" s="9" t="n">
        <v>62000</v>
      </c>
      <c r="D7" s="6" t="inlineStr">
        <is>
          <t>Rev 4.10 Y1: indirect $49.7K/mo + facility/G&amp;A $12.3K/mo; no owner deferral assumed (conservative)</t>
        </is>
      </c>
    </row>
    <row r="8">
      <c r="A8" s="8" t="inlineStr">
        <is>
          <t>% collected month +1 (normal, no hold)</t>
        </is>
      </c>
      <c r="B8" s="11" t="n">
        <v>1</v>
      </c>
    </row>
    <row r="9">
      <c r="A9" s="8" t="inlineStr">
        <is>
          <t>Capital actually available (Jim's remaining $65K + $150K)</t>
        </is>
      </c>
      <c r="B9" s="9" t="n">
        <v>215000</v>
      </c>
    </row>
    <row r="11">
      <c r="A11" s="7" t="inlineStr">
        <is>
          <t>ADC RAMP (chassis; editable)</t>
        </is>
      </c>
    </row>
    <row r="12">
      <c r="A12" s="8" t="inlineStr">
        <is>
          <t>Month</t>
        </is>
      </c>
      <c r="B12" s="12" t="inlineStr">
        <is>
          <t>Aug-26</t>
        </is>
      </c>
      <c r="C12" s="12" t="inlineStr">
        <is>
          <t>Sep-26</t>
        </is>
      </c>
      <c r="D12" s="12" t="inlineStr">
        <is>
          <t>Oct-26</t>
        </is>
      </c>
      <c r="E12" s="12" t="inlineStr">
        <is>
          <t>Nov-26</t>
        </is>
      </c>
      <c r="F12" s="12" t="inlineStr">
        <is>
          <t>Dec-26</t>
        </is>
      </c>
      <c r="G12" s="12" t="inlineStr">
        <is>
          <t>Jan-27</t>
        </is>
      </c>
      <c r="H12" s="12" t="inlineStr">
        <is>
          <t>Feb-27</t>
        </is>
      </c>
      <c r="I12" s="12" t="inlineStr">
        <is>
          <t>Mar-27</t>
        </is>
      </c>
      <c r="J12" s="12" t="inlineStr">
        <is>
          <t>Apr-27</t>
        </is>
      </c>
      <c r="K12" s="12" t="inlineStr">
        <is>
          <t>May-27</t>
        </is>
      </c>
      <c r="L12" s="12" t="inlineStr">
        <is>
          <t>Jun-27</t>
        </is>
      </c>
      <c r="M12" s="12" t="inlineStr">
        <is>
          <t>Jul-27</t>
        </is>
      </c>
      <c r="N12" s="12" t="inlineStr">
        <is>
          <t>Aug-27</t>
        </is>
      </c>
      <c r="O12" s="12" t="inlineStr">
        <is>
          <t>Sep-27</t>
        </is>
      </c>
      <c r="P12" s="12" t="inlineStr">
        <is>
          <t>Oct-27</t>
        </is>
      </c>
      <c r="Q12" s="12" t="inlineStr">
        <is>
          <t>Nov-27</t>
        </is>
      </c>
      <c r="R12" s="12" t="inlineStr">
        <is>
          <t>Dec-27</t>
        </is>
      </c>
      <c r="S12" s="12" t="inlineStr">
        <is>
          <t>Jan-28</t>
        </is>
      </c>
      <c r="T12" s="12" t="inlineStr">
        <is>
          <t>Feb-28</t>
        </is>
      </c>
      <c r="U12" s="12" t="inlineStr">
        <is>
          <t>Mar-28</t>
        </is>
      </c>
      <c r="V12" s="12" t="inlineStr">
        <is>
          <t>Apr-28</t>
        </is>
      </c>
      <c r="W12" s="12" t="inlineStr">
        <is>
          <t>May-28</t>
        </is>
      </c>
      <c r="X12" s="12" t="inlineStr">
        <is>
          <t>Jun-28</t>
        </is>
      </c>
      <c r="Y12" s="12" t="inlineStr">
        <is>
          <t>Jul-28</t>
        </is>
      </c>
    </row>
    <row r="13">
      <c r="A13" s="8" t="inlineStr">
        <is>
          <t>Average daily census (total book)</t>
        </is>
      </c>
      <c r="B13" s="10" t="n">
        <v>9</v>
      </c>
      <c r="C13" s="10" t="n">
        <v>18</v>
      </c>
      <c r="D13" s="10" t="n">
        <v>25</v>
      </c>
      <c r="E13" s="10" t="n">
        <v>28</v>
      </c>
      <c r="F13" s="10" t="n">
        <v>30</v>
      </c>
      <c r="G13" s="10" t="n">
        <v>32</v>
      </c>
      <c r="H13" s="10" t="n">
        <v>34</v>
      </c>
      <c r="I13" s="10" t="n">
        <v>35.5</v>
      </c>
      <c r="J13" s="10" t="n">
        <v>36.5</v>
      </c>
      <c r="K13" s="10" t="n">
        <v>37.5</v>
      </c>
      <c r="L13" s="10" t="n">
        <v>38.5</v>
      </c>
      <c r="M13" s="10" t="n">
        <v>39.5</v>
      </c>
      <c r="N13" s="10" t="n">
        <v>40.4</v>
      </c>
      <c r="O13" s="10" t="n">
        <v>41.3</v>
      </c>
      <c r="P13" s="10" t="n">
        <v>42.2</v>
      </c>
      <c r="Q13" s="10" t="n">
        <v>43.1</v>
      </c>
      <c r="R13" s="10" t="n">
        <v>44</v>
      </c>
      <c r="S13" s="10" t="n">
        <v>45</v>
      </c>
      <c r="T13" s="10" t="n">
        <v>46</v>
      </c>
      <c r="U13" s="10" t="n">
        <v>47</v>
      </c>
      <c r="V13" s="10" t="n">
        <v>48</v>
      </c>
      <c r="W13" s="10" t="n">
        <v>49</v>
      </c>
      <c r="X13" s="10" t="n">
        <v>49.5</v>
      </c>
      <c r="Y13" s="10" t="n">
        <v>50</v>
      </c>
    </row>
    <row r="15">
      <c r="A15" s="7" t="inlineStr">
        <is>
          <t>T1 - JASON ADS</t>
        </is>
      </c>
    </row>
    <row r="16">
      <c r="A16" s="8" t="inlineStr">
        <is>
          <t>Jason participation fee per month (flat; terms not yet agreed)</t>
        </is>
      </c>
      <c r="B16" s="9" t="n">
        <v>15000</v>
      </c>
      <c r="D16" s="6" t="inlineStr">
        <is>
          <t>PLACEHOLDER - AKS-compliant flat FMV fee or employment-mode equivalent</t>
        </is>
      </c>
    </row>
    <row r="18">
      <c r="A18" s="7" t="inlineStr">
        <is>
          <t>T2 - REFUGE (Rev 4.10 deal terms)</t>
        </is>
      </c>
    </row>
    <row r="19">
      <c r="A19" s="8" t="inlineStr">
        <is>
          <t>PPEO hold on first claims (months)</t>
        </is>
      </c>
      <c r="B19" s="13" t="n">
        <v>3</v>
      </c>
      <c r="D19" s="6" t="inlineStr">
        <is>
          <t>sensitivity: 4</t>
        </is>
      </c>
    </row>
    <row r="20">
      <c r="A20" s="8" t="inlineStr">
        <is>
          <t>Down payment at closing (M1)</t>
        </is>
      </c>
      <c r="B20" s="9" t="n">
        <v>125000</v>
      </c>
    </row>
    <row r="21">
      <c r="A21" s="8" t="inlineStr">
        <is>
          <t>Seller installment (M2-M5, replaced by bank payoff M2)</t>
        </is>
      </c>
      <c r="B21" s="9" t="n">
        <v>31250</v>
      </c>
    </row>
    <row r="22">
      <c r="A22" s="8" t="inlineStr">
        <is>
          <t>Bank note funds (M2)</t>
        </is>
      </c>
      <c r="B22" s="9" t="n">
        <v>500000</v>
      </c>
    </row>
    <row r="23">
      <c r="A23" s="8" t="inlineStr">
        <is>
          <t>Seller payoff at bank funding (M2, principal + accrued)</t>
        </is>
      </c>
      <c r="B23" s="9" t="n">
        <v>376875</v>
      </c>
      <c r="D23" s="6" t="inlineStr">
        <is>
          <t>$375K balance + ~1 month interest at 6%</t>
        </is>
      </c>
    </row>
    <row r="24">
      <c r="A24" s="8" t="inlineStr">
        <is>
          <t>Bank note payment (M3-M5)</t>
        </is>
      </c>
      <c r="B24" s="9" t="n">
        <v>15211</v>
      </c>
    </row>
    <row r="25">
      <c r="A25" s="8" t="inlineStr">
        <is>
          <t>SBA funds (M6)</t>
        </is>
      </c>
      <c r="B25" s="9" t="n">
        <v>500000</v>
      </c>
    </row>
    <row r="26">
      <c r="A26" s="8" t="inlineStr">
        <is>
          <t>Bank note payoff at SBA funding (M6)</t>
        </is>
      </c>
      <c r="B26" s="9" t="n">
        <v>461676</v>
      </c>
    </row>
    <row r="27">
      <c r="A27" s="8" t="inlineStr">
        <is>
          <t>SBA payment (M7 on)</t>
        </is>
      </c>
      <c r="B27" s="9" t="n">
        <v>6747</v>
      </c>
    </row>
    <row r="29">
      <c r="A29" s="7" t="inlineStr">
        <is>
          <t>T3 - AVANT ($300K, seller-financed; payments start at PPEO clear)</t>
        </is>
      </c>
    </row>
    <row r="30">
      <c r="A30" s="8" t="inlineStr">
        <is>
          <t>Palmetto tie-in / CHOW clearance month (census can start)</t>
        </is>
      </c>
      <c r="B30" s="13" t="n">
        <v>2</v>
      </c>
      <c r="D30" s="6" t="inlineStr">
        <is>
          <t>UNRESOLVED GATE - multi-year Palmetto saga; sensitivity: 4, 6</t>
        </is>
      </c>
    </row>
    <row r="31">
      <c r="A31" s="8" t="inlineStr">
        <is>
          <t>PPEO hold on first claims (months after census start)</t>
        </is>
      </c>
      <c r="B31" s="13" t="n">
        <v>4</v>
      </c>
      <c r="D31" s="6" t="inlineStr">
        <is>
          <t>sensitivity: 3, 6</t>
        </is>
      </c>
    </row>
    <row r="32">
      <c r="A32" s="8" t="inlineStr">
        <is>
          <t>Pre-clearance monthly burn (office, skeleton team)</t>
        </is>
      </c>
      <c r="B32" s="9" t="n">
        <v>10000</v>
      </c>
    </row>
    <row r="33">
      <c r="A33" s="8" t="inlineStr">
        <is>
          <t>Down payment (paid at PPEO clear, per re-negotiated terms)</t>
        </is>
      </c>
      <c r="B33" s="9" t="n">
        <v>50000</v>
      </c>
    </row>
    <row r="34">
      <c r="A34" s="8" t="inlineStr">
        <is>
          <t>Month-6-after-clear balloon (per May schedule)</t>
        </is>
      </c>
      <c r="B34" s="9" t="n">
        <v>51478.15</v>
      </c>
    </row>
    <row r="35">
      <c r="A35" s="8" t="inlineStr">
        <is>
          <t>Monthly installment (18 months, starts month 7 after clear)</t>
        </is>
      </c>
      <c r="B35" s="9" t="n">
        <v>11646.35</v>
      </c>
    </row>
    <row r="37">
      <c r="A37" s="7" t="inlineStr">
        <is>
          <t>T4 - COMBO (owned-license seed + Jason growth census)</t>
        </is>
      </c>
    </row>
    <row r="38">
      <c r="A38" s="8" t="inlineStr">
        <is>
          <t>Seed census on owned license (ADC)</t>
        </is>
      </c>
      <c r="B38" s="10" t="n">
        <v>5</v>
      </c>
    </row>
    <row r="39">
      <c r="A39" s="8" t="inlineStr">
        <is>
          <t>Seed carry cost per month (0.5 RN + 0.5 CNA + PRN allocation)</t>
        </is>
      </c>
      <c r="B39" s="9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Y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T1 - JASON ALTERNATE DELIVERY SITE: census bills through Jason's established number; collections at normal +1-month lag, NO hold; flat fee to Jason; no license capital.</t>
        </is>
      </c>
    </row>
    <row r="3">
      <c r="B3" s="14" t="inlineStr">
        <is>
          <t>Aug-26</t>
        </is>
      </c>
      <c r="C3" s="14" t="inlineStr">
        <is>
          <t>Sep-26</t>
        </is>
      </c>
      <c r="D3" s="14" t="inlineStr">
        <is>
          <t>Oct-26</t>
        </is>
      </c>
      <c r="E3" s="14" t="inlineStr">
        <is>
          <t>Nov-26</t>
        </is>
      </c>
      <c r="F3" s="14" t="inlineStr">
        <is>
          <t>Dec-26</t>
        </is>
      </c>
      <c r="G3" s="14" t="inlineStr">
        <is>
          <t>Jan-27</t>
        </is>
      </c>
      <c r="H3" s="14" t="inlineStr">
        <is>
          <t>Feb-27</t>
        </is>
      </c>
      <c r="I3" s="14" t="inlineStr">
        <is>
          <t>Mar-27</t>
        </is>
      </c>
      <c r="J3" s="14" t="inlineStr">
        <is>
          <t>Apr-27</t>
        </is>
      </c>
      <c r="K3" s="14" t="inlineStr">
        <is>
          <t>May-27</t>
        </is>
      </c>
      <c r="L3" s="14" t="inlineStr">
        <is>
          <t>Jun-27</t>
        </is>
      </c>
      <c r="M3" s="14" t="inlineStr">
        <is>
          <t>Jul-27</t>
        </is>
      </c>
      <c r="N3" s="14" t="inlineStr">
        <is>
          <t>Aug-27</t>
        </is>
      </c>
      <c r="O3" s="14" t="inlineStr">
        <is>
          <t>Sep-27</t>
        </is>
      </c>
      <c r="P3" s="14" t="inlineStr">
        <is>
          <t>Oct-27</t>
        </is>
      </c>
      <c r="Q3" s="14" t="inlineStr">
        <is>
          <t>Nov-27</t>
        </is>
      </c>
      <c r="R3" s="14" t="inlineStr">
        <is>
          <t>Dec-27</t>
        </is>
      </c>
      <c r="S3" s="14" t="inlineStr">
        <is>
          <t>Jan-28</t>
        </is>
      </c>
      <c r="T3" s="14" t="inlineStr">
        <is>
          <t>Feb-28</t>
        </is>
      </c>
      <c r="U3" s="14" t="inlineStr">
        <is>
          <t>Mar-28</t>
        </is>
      </c>
      <c r="V3" s="14" t="inlineStr">
        <is>
          <t>Apr-28</t>
        </is>
      </c>
      <c r="W3" s="14" t="inlineStr">
        <is>
          <t>May-28</t>
        </is>
      </c>
      <c r="X3" s="14" t="inlineStr">
        <is>
          <t>Jun-28</t>
        </is>
      </c>
      <c r="Y3" s="14" t="inlineStr">
        <is>
          <t>Jul-28</t>
        </is>
      </c>
    </row>
    <row r="4">
      <c r="A4" s="8" t="inlineStr">
        <is>
          <t>ADC on this track</t>
        </is>
      </c>
      <c r="B4" s="15">
        <f>Assumptions!B13</f>
        <v/>
      </c>
      <c r="C4" s="15">
        <f>Assumptions!C13</f>
        <v/>
      </c>
      <c r="D4" s="15">
        <f>Assumptions!D13</f>
        <v/>
      </c>
      <c r="E4" s="15">
        <f>Assumptions!E13</f>
        <v/>
      </c>
      <c r="F4" s="15">
        <f>Assumptions!F13</f>
        <v/>
      </c>
      <c r="G4" s="15">
        <f>Assumptions!G13</f>
        <v/>
      </c>
      <c r="H4" s="15">
        <f>Assumptions!H13</f>
        <v/>
      </c>
      <c r="I4" s="15">
        <f>Assumptions!I13</f>
        <v/>
      </c>
      <c r="J4" s="15">
        <f>Assumptions!J13</f>
        <v/>
      </c>
      <c r="K4" s="15">
        <f>Assumptions!K13</f>
        <v/>
      </c>
      <c r="L4" s="15">
        <f>Assumptions!L13</f>
        <v/>
      </c>
      <c r="M4" s="15">
        <f>Assumptions!M13</f>
        <v/>
      </c>
      <c r="N4" s="15">
        <f>Assumptions!N13</f>
        <v/>
      </c>
      <c r="O4" s="15">
        <f>Assumptions!O13</f>
        <v/>
      </c>
      <c r="P4" s="15">
        <f>Assumptions!P13</f>
        <v/>
      </c>
      <c r="Q4" s="15">
        <f>Assumptions!Q13</f>
        <v/>
      </c>
      <c r="R4" s="15">
        <f>Assumptions!R13</f>
        <v/>
      </c>
      <c r="S4" s="15">
        <f>Assumptions!S13</f>
        <v/>
      </c>
      <c r="T4" s="15">
        <f>Assumptions!T13</f>
        <v/>
      </c>
      <c r="U4" s="15">
        <f>Assumptions!U13</f>
        <v/>
      </c>
      <c r="V4" s="15">
        <f>Assumptions!V13</f>
        <v/>
      </c>
      <c r="W4" s="15">
        <f>Assumptions!W13</f>
        <v/>
      </c>
      <c r="X4" s="15">
        <f>Assumptions!X13</f>
        <v/>
      </c>
      <c r="Y4" s="15">
        <f>Assumptions!Y13</f>
        <v/>
      </c>
    </row>
    <row r="5">
      <c r="A5" s="8" t="inlineStr">
        <is>
          <t>Revenue earned (NPR)</t>
        </is>
      </c>
      <c r="B5" s="4">
        <f>B4*'Assumptions'!$B$4*'Assumptions'!$B$5</f>
        <v/>
      </c>
      <c r="C5" s="4">
        <f>C4*'Assumptions'!$B$4*'Assumptions'!$B$5</f>
        <v/>
      </c>
      <c r="D5" s="4">
        <f>D4*'Assumptions'!$B$4*'Assumptions'!$B$5</f>
        <v/>
      </c>
      <c r="E5" s="4">
        <f>E4*'Assumptions'!$B$4*'Assumptions'!$B$5</f>
        <v/>
      </c>
      <c r="F5" s="4">
        <f>F4*'Assumptions'!$B$4*'Assumptions'!$B$5</f>
        <v/>
      </c>
      <c r="G5" s="4">
        <f>G4*'Assumptions'!$B$4*'Assumptions'!$B$5</f>
        <v/>
      </c>
      <c r="H5" s="4">
        <f>H4*'Assumptions'!$B$4*'Assumptions'!$B$5</f>
        <v/>
      </c>
      <c r="I5" s="4">
        <f>I4*'Assumptions'!$B$4*'Assumptions'!$B$5</f>
        <v/>
      </c>
      <c r="J5" s="4">
        <f>J4*'Assumptions'!$B$4*'Assumptions'!$B$5</f>
        <v/>
      </c>
      <c r="K5" s="4">
        <f>K4*'Assumptions'!$B$4*'Assumptions'!$B$5</f>
        <v/>
      </c>
      <c r="L5" s="4">
        <f>L4*'Assumptions'!$B$4*'Assumptions'!$B$5</f>
        <v/>
      </c>
      <c r="M5" s="4">
        <f>M4*'Assumptions'!$B$4*'Assumptions'!$B$5</f>
        <v/>
      </c>
      <c r="N5" s="4">
        <f>N4*'Assumptions'!$B$4*'Assumptions'!$B$5</f>
        <v/>
      </c>
      <c r="O5" s="4">
        <f>O4*'Assumptions'!$B$4*'Assumptions'!$B$5</f>
        <v/>
      </c>
      <c r="P5" s="4">
        <f>P4*'Assumptions'!$B$4*'Assumptions'!$B$5</f>
        <v/>
      </c>
      <c r="Q5" s="4">
        <f>Q4*'Assumptions'!$B$4*'Assumptions'!$B$5</f>
        <v/>
      </c>
      <c r="R5" s="4">
        <f>R4*'Assumptions'!$B$4*'Assumptions'!$B$5</f>
        <v/>
      </c>
      <c r="S5" s="4">
        <f>S4*'Assumptions'!$B$4*'Assumptions'!$B$5</f>
        <v/>
      </c>
      <c r="T5" s="4">
        <f>T4*'Assumptions'!$B$4*'Assumptions'!$B$5</f>
        <v/>
      </c>
      <c r="U5" s="4">
        <f>U4*'Assumptions'!$B$4*'Assumptions'!$B$5</f>
        <v/>
      </c>
      <c r="V5" s="4">
        <f>V4*'Assumptions'!$B$4*'Assumptions'!$B$5</f>
        <v/>
      </c>
      <c r="W5" s="4">
        <f>W4*'Assumptions'!$B$4*'Assumptions'!$B$5</f>
        <v/>
      </c>
      <c r="X5" s="4">
        <f>X4*'Assumptions'!$B$4*'Assumptions'!$B$5</f>
        <v/>
      </c>
      <c r="Y5" s="4">
        <f>Y4*'Assumptions'!$B$4*'Assumptions'!$B$5</f>
        <v/>
      </c>
    </row>
    <row r="6">
      <c r="A6" s="8" t="inlineStr">
        <is>
          <t>Variable costs (clinical + patient care, paid in month)</t>
        </is>
      </c>
      <c r="B6" s="4">
        <f>-B4*'Assumptions'!$B$6*'Assumptions'!$B$5</f>
        <v/>
      </c>
      <c r="C6" s="4">
        <f>-C4*'Assumptions'!$B$6*'Assumptions'!$B$5</f>
        <v/>
      </c>
      <c r="D6" s="4">
        <f>-D4*'Assumptions'!$B$6*'Assumptions'!$B$5</f>
        <v/>
      </c>
      <c r="E6" s="4">
        <f>-E4*'Assumptions'!$B$6*'Assumptions'!$B$5</f>
        <v/>
      </c>
      <c r="F6" s="4">
        <f>-F4*'Assumptions'!$B$6*'Assumptions'!$B$5</f>
        <v/>
      </c>
      <c r="G6" s="4">
        <f>-G4*'Assumptions'!$B$6*'Assumptions'!$B$5</f>
        <v/>
      </c>
      <c r="H6" s="4">
        <f>-H4*'Assumptions'!$B$6*'Assumptions'!$B$5</f>
        <v/>
      </c>
      <c r="I6" s="4">
        <f>-I4*'Assumptions'!$B$6*'Assumptions'!$B$5</f>
        <v/>
      </c>
      <c r="J6" s="4">
        <f>-J4*'Assumptions'!$B$6*'Assumptions'!$B$5</f>
        <v/>
      </c>
      <c r="K6" s="4">
        <f>-K4*'Assumptions'!$B$6*'Assumptions'!$B$5</f>
        <v/>
      </c>
      <c r="L6" s="4">
        <f>-L4*'Assumptions'!$B$6*'Assumptions'!$B$5</f>
        <v/>
      </c>
      <c r="M6" s="4">
        <f>-M4*'Assumptions'!$B$6*'Assumptions'!$B$5</f>
        <v/>
      </c>
      <c r="N6" s="4">
        <f>-N4*'Assumptions'!$B$6*'Assumptions'!$B$5</f>
        <v/>
      </c>
      <c r="O6" s="4">
        <f>-O4*'Assumptions'!$B$6*'Assumptions'!$B$5</f>
        <v/>
      </c>
      <c r="P6" s="4">
        <f>-P4*'Assumptions'!$B$6*'Assumptions'!$B$5</f>
        <v/>
      </c>
      <c r="Q6" s="4">
        <f>-Q4*'Assumptions'!$B$6*'Assumptions'!$B$5</f>
        <v/>
      </c>
      <c r="R6" s="4">
        <f>-R4*'Assumptions'!$B$6*'Assumptions'!$B$5</f>
        <v/>
      </c>
      <c r="S6" s="4">
        <f>-S4*'Assumptions'!$B$6*'Assumptions'!$B$5</f>
        <v/>
      </c>
      <c r="T6" s="4">
        <f>-T4*'Assumptions'!$B$6*'Assumptions'!$B$5</f>
        <v/>
      </c>
      <c r="U6" s="4">
        <f>-U4*'Assumptions'!$B$6*'Assumptions'!$B$5</f>
        <v/>
      </c>
      <c r="V6" s="4">
        <f>-V4*'Assumptions'!$B$6*'Assumptions'!$B$5</f>
        <v/>
      </c>
      <c r="W6" s="4">
        <f>-W4*'Assumptions'!$B$6*'Assumptions'!$B$5</f>
        <v/>
      </c>
      <c r="X6" s="4">
        <f>-X4*'Assumptions'!$B$6*'Assumptions'!$B$5</f>
        <v/>
      </c>
      <c r="Y6" s="4">
        <f>-Y4*'Assumptions'!$B$6*'Assumptions'!$B$5</f>
        <v/>
      </c>
    </row>
    <row r="7">
      <c r="A7" s="8" t="inlineStr">
        <is>
          <t>Collections (+1 month lag)</t>
        </is>
      </c>
      <c r="B7" s="4">
        <f>0</f>
        <v/>
      </c>
      <c r="C7" s="4">
        <f>B5*'Assumptions'!$B$8</f>
        <v/>
      </c>
      <c r="D7" s="4">
        <f>C5*'Assumptions'!$B$8</f>
        <v/>
      </c>
      <c r="E7" s="4">
        <f>D5*'Assumptions'!$B$8</f>
        <v/>
      </c>
      <c r="F7" s="4">
        <f>E5*'Assumptions'!$B$8</f>
        <v/>
      </c>
      <c r="G7" s="4">
        <f>F5*'Assumptions'!$B$8</f>
        <v/>
      </c>
      <c r="H7" s="4">
        <f>G5*'Assumptions'!$B$8</f>
        <v/>
      </c>
      <c r="I7" s="4">
        <f>H5*'Assumptions'!$B$8</f>
        <v/>
      </c>
      <c r="J7" s="4">
        <f>I5*'Assumptions'!$B$8</f>
        <v/>
      </c>
      <c r="K7" s="4">
        <f>J5*'Assumptions'!$B$8</f>
        <v/>
      </c>
      <c r="L7" s="4">
        <f>K5*'Assumptions'!$B$8</f>
        <v/>
      </c>
      <c r="M7" s="4">
        <f>L5*'Assumptions'!$B$8</f>
        <v/>
      </c>
      <c r="N7" s="4">
        <f>M5*'Assumptions'!$B$8</f>
        <v/>
      </c>
      <c r="O7" s="4">
        <f>N5*'Assumptions'!$B$8</f>
        <v/>
      </c>
      <c r="P7" s="4">
        <f>O5*'Assumptions'!$B$8</f>
        <v/>
      </c>
      <c r="Q7" s="4">
        <f>P5*'Assumptions'!$B$8</f>
        <v/>
      </c>
      <c r="R7" s="4">
        <f>Q5*'Assumptions'!$B$8</f>
        <v/>
      </c>
      <c r="S7" s="4">
        <f>R5*'Assumptions'!$B$8</f>
        <v/>
      </c>
      <c r="T7" s="4">
        <f>S5*'Assumptions'!$B$8</f>
        <v/>
      </c>
      <c r="U7" s="4">
        <f>T5*'Assumptions'!$B$8</f>
        <v/>
      </c>
      <c r="V7" s="4">
        <f>U5*'Assumptions'!$B$8</f>
        <v/>
      </c>
      <c r="W7" s="4">
        <f>V5*'Assumptions'!$B$8</f>
        <v/>
      </c>
      <c r="X7" s="4">
        <f>W5*'Assumptions'!$B$8</f>
        <v/>
      </c>
      <c r="Y7" s="4">
        <f>X5*'Assumptions'!$B$8</f>
        <v/>
      </c>
    </row>
    <row r="8">
      <c r="A8" s="8" t="inlineStr">
        <is>
          <t>Fixed overhead</t>
        </is>
      </c>
      <c r="B8" s="4">
        <f>-'Assumptions'!$B$7</f>
        <v/>
      </c>
      <c r="C8" s="4">
        <f>-'Assumptions'!$B$7</f>
        <v/>
      </c>
      <c r="D8" s="4">
        <f>-'Assumptions'!$B$7</f>
        <v/>
      </c>
      <c r="E8" s="4">
        <f>-'Assumptions'!$B$7</f>
        <v/>
      </c>
      <c r="F8" s="4">
        <f>-'Assumptions'!$B$7</f>
        <v/>
      </c>
      <c r="G8" s="4">
        <f>-'Assumptions'!$B$7</f>
        <v/>
      </c>
      <c r="H8" s="4">
        <f>-'Assumptions'!$B$7</f>
        <v/>
      </c>
      <c r="I8" s="4">
        <f>-'Assumptions'!$B$7</f>
        <v/>
      </c>
      <c r="J8" s="4">
        <f>-'Assumptions'!$B$7</f>
        <v/>
      </c>
      <c r="K8" s="4">
        <f>-'Assumptions'!$B$7</f>
        <v/>
      </c>
      <c r="L8" s="4">
        <f>-'Assumptions'!$B$7</f>
        <v/>
      </c>
      <c r="M8" s="4">
        <f>-'Assumptions'!$B$7</f>
        <v/>
      </c>
      <c r="N8" s="4">
        <f>-'Assumptions'!$B$7</f>
        <v/>
      </c>
      <c r="O8" s="4">
        <f>-'Assumptions'!$B$7</f>
        <v/>
      </c>
      <c r="P8" s="4">
        <f>-'Assumptions'!$B$7</f>
        <v/>
      </c>
      <c r="Q8" s="4">
        <f>-'Assumptions'!$B$7</f>
        <v/>
      </c>
      <c r="R8" s="4">
        <f>-'Assumptions'!$B$7</f>
        <v/>
      </c>
      <c r="S8" s="4">
        <f>-'Assumptions'!$B$7</f>
        <v/>
      </c>
      <c r="T8" s="4">
        <f>-'Assumptions'!$B$7</f>
        <v/>
      </c>
      <c r="U8" s="4">
        <f>-'Assumptions'!$B$7</f>
        <v/>
      </c>
      <c r="V8" s="4">
        <f>-'Assumptions'!$B$7</f>
        <v/>
      </c>
      <c r="W8" s="4">
        <f>-'Assumptions'!$B$7</f>
        <v/>
      </c>
      <c r="X8" s="4">
        <f>-'Assumptions'!$B$7</f>
        <v/>
      </c>
      <c r="Y8" s="4">
        <f>-'Assumptions'!$B$7</f>
        <v/>
      </c>
    </row>
    <row r="9">
      <c r="A9" s="8" t="inlineStr">
        <is>
          <t>Jason participation fee</t>
        </is>
      </c>
      <c r="B9" s="4">
        <f>-'Assumptions'!$B$16</f>
        <v/>
      </c>
      <c r="C9" s="4">
        <f>-'Assumptions'!$B$16</f>
        <v/>
      </c>
      <c r="D9" s="4">
        <f>-'Assumptions'!$B$16</f>
        <v/>
      </c>
      <c r="E9" s="4">
        <f>-'Assumptions'!$B$16</f>
        <v/>
      </c>
      <c r="F9" s="4">
        <f>-'Assumptions'!$B$16</f>
        <v/>
      </c>
      <c r="G9" s="4">
        <f>-'Assumptions'!$B$16</f>
        <v/>
      </c>
      <c r="H9" s="4">
        <f>-'Assumptions'!$B$16</f>
        <v/>
      </c>
      <c r="I9" s="4">
        <f>-'Assumptions'!$B$16</f>
        <v/>
      </c>
      <c r="J9" s="4">
        <f>-'Assumptions'!$B$16</f>
        <v/>
      </c>
      <c r="K9" s="4">
        <f>-'Assumptions'!$B$16</f>
        <v/>
      </c>
      <c r="L9" s="4">
        <f>-'Assumptions'!$B$16</f>
        <v/>
      </c>
      <c r="M9" s="4">
        <f>-'Assumptions'!$B$16</f>
        <v/>
      </c>
      <c r="N9" s="4">
        <f>-'Assumptions'!$B$16</f>
        <v/>
      </c>
      <c r="O9" s="4">
        <f>-'Assumptions'!$B$16</f>
        <v/>
      </c>
      <c r="P9" s="4">
        <f>-'Assumptions'!$B$16</f>
        <v/>
      </c>
      <c r="Q9" s="4">
        <f>-'Assumptions'!$B$16</f>
        <v/>
      </c>
      <c r="R9" s="4">
        <f>-'Assumptions'!$B$16</f>
        <v/>
      </c>
      <c r="S9" s="4">
        <f>-'Assumptions'!$B$16</f>
        <v/>
      </c>
      <c r="T9" s="4">
        <f>-'Assumptions'!$B$16</f>
        <v/>
      </c>
      <c r="U9" s="4">
        <f>-'Assumptions'!$B$16</f>
        <v/>
      </c>
      <c r="V9" s="4">
        <f>-'Assumptions'!$B$16</f>
        <v/>
      </c>
      <c r="W9" s="4">
        <f>-'Assumptions'!$B$16</f>
        <v/>
      </c>
      <c r="X9" s="4">
        <f>-'Assumptions'!$B$16</f>
        <v/>
      </c>
      <c r="Y9" s="4">
        <f>-'Assumptions'!$B$16</f>
        <v/>
      </c>
    </row>
    <row r="10">
      <c r="A10" s="3" t="inlineStr">
        <is>
          <t>NET CASH FLOW</t>
        </is>
      </c>
      <c r="B10" s="16">
        <f>B7+B6+B8+B9</f>
        <v/>
      </c>
      <c r="C10" s="16">
        <f>C7+C6+C8+C9</f>
        <v/>
      </c>
      <c r="D10" s="16">
        <f>D7+D6+D8+D9</f>
        <v/>
      </c>
      <c r="E10" s="16">
        <f>E7+E6+E8+E9</f>
        <v/>
      </c>
      <c r="F10" s="16">
        <f>F7+F6+F8+F9</f>
        <v/>
      </c>
      <c r="G10" s="16">
        <f>G7+G6+G8+G9</f>
        <v/>
      </c>
      <c r="H10" s="16">
        <f>H7+H6+H8+H9</f>
        <v/>
      </c>
      <c r="I10" s="16">
        <f>I7+I6+I8+I9</f>
        <v/>
      </c>
      <c r="J10" s="16">
        <f>J7+J6+J8+J9</f>
        <v/>
      </c>
      <c r="K10" s="16">
        <f>K7+K6+K8+K9</f>
        <v/>
      </c>
      <c r="L10" s="16">
        <f>L7+L6+L8+L9</f>
        <v/>
      </c>
      <c r="M10" s="16">
        <f>M7+M6+M8+M9</f>
        <v/>
      </c>
      <c r="N10" s="16">
        <f>N7+N6+N8+N9</f>
        <v/>
      </c>
      <c r="O10" s="16">
        <f>O7+O6+O8+O9</f>
        <v/>
      </c>
      <c r="P10" s="16">
        <f>P7+P6+P8+P9</f>
        <v/>
      </c>
      <c r="Q10" s="16">
        <f>Q7+Q6+Q8+Q9</f>
        <v/>
      </c>
      <c r="R10" s="16">
        <f>R7+R6+R8+R9</f>
        <v/>
      </c>
      <c r="S10" s="16">
        <f>S7+S6+S8+S9</f>
        <v/>
      </c>
      <c r="T10" s="16">
        <f>T7+T6+T8+T9</f>
        <v/>
      </c>
      <c r="U10" s="16">
        <f>U7+U6+U8+U9</f>
        <v/>
      </c>
      <c r="V10" s="16">
        <f>V7+V6+V8+V9</f>
        <v/>
      </c>
      <c r="W10" s="16">
        <f>W7+W6+W8+W9</f>
        <v/>
      </c>
      <c r="X10" s="16">
        <f>X7+X6+X8+X9</f>
        <v/>
      </c>
      <c r="Y10" s="16">
        <f>Y7+Y6+Y8+Y9</f>
        <v/>
      </c>
    </row>
    <row r="11">
      <c r="A11" s="3" t="inlineStr">
        <is>
          <t>Cumulative cash (no equity assumed)</t>
        </is>
      </c>
      <c r="B11" s="17">
        <f>B10</f>
        <v/>
      </c>
      <c r="C11" s="17">
        <f>B11+C10</f>
        <v/>
      </c>
      <c r="D11" s="17">
        <f>C11+D10</f>
        <v/>
      </c>
      <c r="E11" s="17">
        <f>D11+E10</f>
        <v/>
      </c>
      <c r="F11" s="17">
        <f>E11+F10</f>
        <v/>
      </c>
      <c r="G11" s="17">
        <f>F11+G10</f>
        <v/>
      </c>
      <c r="H11" s="17">
        <f>G11+H10</f>
        <v/>
      </c>
      <c r="I11" s="17">
        <f>H11+I10</f>
        <v/>
      </c>
      <c r="J11" s="17">
        <f>I11+J10</f>
        <v/>
      </c>
      <c r="K11" s="17">
        <f>J11+K10</f>
        <v/>
      </c>
      <c r="L11" s="17">
        <f>K11+L10</f>
        <v/>
      </c>
      <c r="M11" s="17">
        <f>L11+M10</f>
        <v/>
      </c>
      <c r="N11" s="17">
        <f>M11+N10</f>
        <v/>
      </c>
      <c r="O11" s="17">
        <f>N11+O10</f>
        <v/>
      </c>
      <c r="P11" s="17">
        <f>O11+P10</f>
        <v/>
      </c>
      <c r="Q11" s="17">
        <f>P11+Q10</f>
        <v/>
      </c>
      <c r="R11" s="17">
        <f>Q11+R10</f>
        <v/>
      </c>
      <c r="S11" s="17">
        <f>R11+S10</f>
        <v/>
      </c>
      <c r="T11" s="17">
        <f>S11+T10</f>
        <v/>
      </c>
      <c r="U11" s="17">
        <f>T11+U10</f>
        <v/>
      </c>
      <c r="V11" s="17">
        <f>U11+V10</f>
        <v/>
      </c>
      <c r="W11" s="17">
        <f>V11+W10</f>
        <v/>
      </c>
      <c r="X11" s="17">
        <f>W11+X10</f>
        <v/>
      </c>
      <c r="Y11" s="17">
        <f>X11+Y10</f>
        <v/>
      </c>
    </row>
    <row r="12">
      <c r="A12" s="3" t="inlineStr">
        <is>
          <t>PEAK FUNDING NEED (max cumulative deficit)</t>
        </is>
      </c>
      <c r="B12" s="18">
        <f>MAX(0,-MIN($B$11:$Y$11))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Y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T2 - REFUGE (Rev 4.10 deal): own license from M1; PPEO hold on first claims; seller schedule + Sept bank note + Jan SBA refi. No equity inflow modeled.</t>
        </is>
      </c>
    </row>
    <row r="3">
      <c r="B3" s="14" t="inlineStr">
        <is>
          <t>Aug-26</t>
        </is>
      </c>
      <c r="C3" s="14" t="inlineStr">
        <is>
          <t>Sep-26</t>
        </is>
      </c>
      <c r="D3" s="14" t="inlineStr">
        <is>
          <t>Oct-26</t>
        </is>
      </c>
      <c r="E3" s="14" t="inlineStr">
        <is>
          <t>Nov-26</t>
        </is>
      </c>
      <c r="F3" s="14" t="inlineStr">
        <is>
          <t>Dec-26</t>
        </is>
      </c>
      <c r="G3" s="14" t="inlineStr">
        <is>
          <t>Jan-27</t>
        </is>
      </c>
      <c r="H3" s="14" t="inlineStr">
        <is>
          <t>Feb-27</t>
        </is>
      </c>
      <c r="I3" s="14" t="inlineStr">
        <is>
          <t>Mar-27</t>
        </is>
      </c>
      <c r="J3" s="14" t="inlineStr">
        <is>
          <t>Apr-27</t>
        </is>
      </c>
      <c r="K3" s="14" t="inlineStr">
        <is>
          <t>May-27</t>
        </is>
      </c>
      <c r="L3" s="14" t="inlineStr">
        <is>
          <t>Jun-27</t>
        </is>
      </c>
      <c r="M3" s="14" t="inlineStr">
        <is>
          <t>Jul-27</t>
        </is>
      </c>
      <c r="N3" s="14" t="inlineStr">
        <is>
          <t>Aug-27</t>
        </is>
      </c>
      <c r="O3" s="14" t="inlineStr">
        <is>
          <t>Sep-27</t>
        </is>
      </c>
      <c r="P3" s="14" t="inlineStr">
        <is>
          <t>Oct-27</t>
        </is>
      </c>
      <c r="Q3" s="14" t="inlineStr">
        <is>
          <t>Nov-27</t>
        </is>
      </c>
      <c r="R3" s="14" t="inlineStr">
        <is>
          <t>Dec-27</t>
        </is>
      </c>
      <c r="S3" s="14" t="inlineStr">
        <is>
          <t>Jan-28</t>
        </is>
      </c>
      <c r="T3" s="14" t="inlineStr">
        <is>
          <t>Feb-28</t>
        </is>
      </c>
      <c r="U3" s="14" t="inlineStr">
        <is>
          <t>Mar-28</t>
        </is>
      </c>
      <c r="V3" s="14" t="inlineStr">
        <is>
          <t>Apr-28</t>
        </is>
      </c>
      <c r="W3" s="14" t="inlineStr">
        <is>
          <t>May-28</t>
        </is>
      </c>
      <c r="X3" s="14" t="inlineStr">
        <is>
          <t>Jun-28</t>
        </is>
      </c>
      <c r="Y3" s="14" t="inlineStr">
        <is>
          <t>Jul-28</t>
        </is>
      </c>
    </row>
    <row r="4">
      <c r="A4" s="8" t="inlineStr">
        <is>
          <t>ADC on this track</t>
        </is>
      </c>
      <c r="B4" s="15">
        <f>Assumptions!B13</f>
        <v/>
      </c>
      <c r="C4" s="15">
        <f>Assumptions!C13</f>
        <v/>
      </c>
      <c r="D4" s="15">
        <f>Assumptions!D13</f>
        <v/>
      </c>
      <c r="E4" s="15">
        <f>Assumptions!E13</f>
        <v/>
      </c>
      <c r="F4" s="15">
        <f>Assumptions!F13</f>
        <v/>
      </c>
      <c r="G4" s="15">
        <f>Assumptions!G13</f>
        <v/>
      </c>
      <c r="H4" s="15">
        <f>Assumptions!H13</f>
        <v/>
      </c>
      <c r="I4" s="15">
        <f>Assumptions!I13</f>
        <v/>
      </c>
      <c r="J4" s="15">
        <f>Assumptions!J13</f>
        <v/>
      </c>
      <c r="K4" s="15">
        <f>Assumptions!K13</f>
        <v/>
      </c>
      <c r="L4" s="15">
        <f>Assumptions!L13</f>
        <v/>
      </c>
      <c r="M4" s="15">
        <f>Assumptions!M13</f>
        <v/>
      </c>
      <c r="N4" s="15">
        <f>Assumptions!N13</f>
        <v/>
      </c>
      <c r="O4" s="15">
        <f>Assumptions!O13</f>
        <v/>
      </c>
      <c r="P4" s="15">
        <f>Assumptions!P13</f>
        <v/>
      </c>
      <c r="Q4" s="15">
        <f>Assumptions!Q13</f>
        <v/>
      </c>
      <c r="R4" s="15">
        <f>Assumptions!R13</f>
        <v/>
      </c>
      <c r="S4" s="15">
        <f>Assumptions!S13</f>
        <v/>
      </c>
      <c r="T4" s="15">
        <f>Assumptions!T13</f>
        <v/>
      </c>
      <c r="U4" s="15">
        <f>Assumptions!U13</f>
        <v/>
      </c>
      <c r="V4" s="15">
        <f>Assumptions!V13</f>
        <v/>
      </c>
      <c r="W4" s="15">
        <f>Assumptions!W13</f>
        <v/>
      </c>
      <c r="X4" s="15">
        <f>Assumptions!X13</f>
        <v/>
      </c>
      <c r="Y4" s="15">
        <f>Assumptions!Y13</f>
        <v/>
      </c>
    </row>
    <row r="5">
      <c r="A5" s="8" t="inlineStr">
        <is>
          <t>Revenue earned (NPR)</t>
        </is>
      </c>
      <c r="B5" s="4">
        <f>B4*'Assumptions'!$B$4*'Assumptions'!$B$5</f>
        <v/>
      </c>
      <c r="C5" s="4">
        <f>C4*'Assumptions'!$B$4*'Assumptions'!$B$5</f>
        <v/>
      </c>
      <c r="D5" s="4">
        <f>D4*'Assumptions'!$B$4*'Assumptions'!$B$5</f>
        <v/>
      </c>
      <c r="E5" s="4">
        <f>E4*'Assumptions'!$B$4*'Assumptions'!$B$5</f>
        <v/>
      </c>
      <c r="F5" s="4">
        <f>F4*'Assumptions'!$B$4*'Assumptions'!$B$5</f>
        <v/>
      </c>
      <c r="G5" s="4">
        <f>G4*'Assumptions'!$B$4*'Assumptions'!$B$5</f>
        <v/>
      </c>
      <c r="H5" s="4">
        <f>H4*'Assumptions'!$B$4*'Assumptions'!$B$5</f>
        <v/>
      </c>
      <c r="I5" s="4">
        <f>I4*'Assumptions'!$B$4*'Assumptions'!$B$5</f>
        <v/>
      </c>
      <c r="J5" s="4">
        <f>J4*'Assumptions'!$B$4*'Assumptions'!$B$5</f>
        <v/>
      </c>
      <c r="K5" s="4">
        <f>K4*'Assumptions'!$B$4*'Assumptions'!$B$5</f>
        <v/>
      </c>
      <c r="L5" s="4">
        <f>L4*'Assumptions'!$B$4*'Assumptions'!$B$5</f>
        <v/>
      </c>
      <c r="M5" s="4">
        <f>M4*'Assumptions'!$B$4*'Assumptions'!$B$5</f>
        <v/>
      </c>
      <c r="N5" s="4">
        <f>N4*'Assumptions'!$B$4*'Assumptions'!$B$5</f>
        <v/>
      </c>
      <c r="O5" s="4">
        <f>O4*'Assumptions'!$B$4*'Assumptions'!$B$5</f>
        <v/>
      </c>
      <c r="P5" s="4">
        <f>P4*'Assumptions'!$B$4*'Assumptions'!$B$5</f>
        <v/>
      </c>
      <c r="Q5" s="4">
        <f>Q4*'Assumptions'!$B$4*'Assumptions'!$B$5</f>
        <v/>
      </c>
      <c r="R5" s="4">
        <f>R4*'Assumptions'!$B$4*'Assumptions'!$B$5</f>
        <v/>
      </c>
      <c r="S5" s="4">
        <f>S4*'Assumptions'!$B$4*'Assumptions'!$B$5</f>
        <v/>
      </c>
      <c r="T5" s="4">
        <f>T4*'Assumptions'!$B$4*'Assumptions'!$B$5</f>
        <v/>
      </c>
      <c r="U5" s="4">
        <f>U4*'Assumptions'!$B$4*'Assumptions'!$B$5</f>
        <v/>
      </c>
      <c r="V5" s="4">
        <f>V4*'Assumptions'!$B$4*'Assumptions'!$B$5</f>
        <v/>
      </c>
      <c r="W5" s="4">
        <f>W4*'Assumptions'!$B$4*'Assumptions'!$B$5</f>
        <v/>
      </c>
      <c r="X5" s="4">
        <f>X4*'Assumptions'!$B$4*'Assumptions'!$B$5</f>
        <v/>
      </c>
      <c r="Y5" s="4">
        <f>Y4*'Assumptions'!$B$4*'Assumptions'!$B$5</f>
        <v/>
      </c>
    </row>
    <row r="6">
      <c r="A6" s="8" t="inlineStr">
        <is>
          <t>Variable costs (clinical + patient care, paid in month)</t>
        </is>
      </c>
      <c r="B6" s="4">
        <f>-B4*'Assumptions'!$B$6*'Assumptions'!$B$5</f>
        <v/>
      </c>
      <c r="C6" s="4">
        <f>-C4*'Assumptions'!$B$6*'Assumptions'!$B$5</f>
        <v/>
      </c>
      <c r="D6" s="4">
        <f>-D4*'Assumptions'!$B$6*'Assumptions'!$B$5</f>
        <v/>
      </c>
      <c r="E6" s="4">
        <f>-E4*'Assumptions'!$B$6*'Assumptions'!$B$5</f>
        <v/>
      </c>
      <c r="F6" s="4">
        <f>-F4*'Assumptions'!$B$6*'Assumptions'!$B$5</f>
        <v/>
      </c>
      <c r="G6" s="4">
        <f>-G4*'Assumptions'!$B$6*'Assumptions'!$B$5</f>
        <v/>
      </c>
      <c r="H6" s="4">
        <f>-H4*'Assumptions'!$B$6*'Assumptions'!$B$5</f>
        <v/>
      </c>
      <c r="I6" s="4">
        <f>-I4*'Assumptions'!$B$6*'Assumptions'!$B$5</f>
        <v/>
      </c>
      <c r="J6" s="4">
        <f>-J4*'Assumptions'!$B$6*'Assumptions'!$B$5</f>
        <v/>
      </c>
      <c r="K6" s="4">
        <f>-K4*'Assumptions'!$B$6*'Assumptions'!$B$5</f>
        <v/>
      </c>
      <c r="L6" s="4">
        <f>-L4*'Assumptions'!$B$6*'Assumptions'!$B$5</f>
        <v/>
      </c>
      <c r="M6" s="4">
        <f>-M4*'Assumptions'!$B$6*'Assumptions'!$B$5</f>
        <v/>
      </c>
      <c r="N6" s="4">
        <f>-N4*'Assumptions'!$B$6*'Assumptions'!$B$5</f>
        <v/>
      </c>
      <c r="O6" s="4">
        <f>-O4*'Assumptions'!$B$6*'Assumptions'!$B$5</f>
        <v/>
      </c>
      <c r="P6" s="4">
        <f>-P4*'Assumptions'!$B$6*'Assumptions'!$B$5</f>
        <v/>
      </c>
      <c r="Q6" s="4">
        <f>-Q4*'Assumptions'!$B$6*'Assumptions'!$B$5</f>
        <v/>
      </c>
      <c r="R6" s="4">
        <f>-R4*'Assumptions'!$B$6*'Assumptions'!$B$5</f>
        <v/>
      </c>
      <c r="S6" s="4">
        <f>-S4*'Assumptions'!$B$6*'Assumptions'!$B$5</f>
        <v/>
      </c>
      <c r="T6" s="4">
        <f>-T4*'Assumptions'!$B$6*'Assumptions'!$B$5</f>
        <v/>
      </c>
      <c r="U6" s="4">
        <f>-U4*'Assumptions'!$B$6*'Assumptions'!$B$5</f>
        <v/>
      </c>
      <c r="V6" s="4">
        <f>-V4*'Assumptions'!$B$6*'Assumptions'!$B$5</f>
        <v/>
      </c>
      <c r="W6" s="4">
        <f>-W4*'Assumptions'!$B$6*'Assumptions'!$B$5</f>
        <v/>
      </c>
      <c r="X6" s="4">
        <f>-X4*'Assumptions'!$B$6*'Assumptions'!$B$5</f>
        <v/>
      </c>
      <c r="Y6" s="4">
        <f>-Y4*'Assumptions'!$B$6*'Assumptions'!$B$5</f>
        <v/>
      </c>
    </row>
    <row r="7">
      <c r="A7" s="8" t="inlineStr">
        <is>
          <t>Collection month for service month (lag + PPEO hold)</t>
        </is>
      </c>
      <c r="B7" s="19">
        <f>1+1+MAX(0,'Assumptions'!$B$19-0)</f>
        <v/>
      </c>
      <c r="C7" s="19">
        <f>2+1+MAX(0,'Assumptions'!$B$19-1)</f>
        <v/>
      </c>
      <c r="D7" s="19">
        <f>3+1+MAX(0,'Assumptions'!$B$19-2)</f>
        <v/>
      </c>
      <c r="E7" s="19">
        <f>4+1+MAX(0,'Assumptions'!$B$19-3)</f>
        <v/>
      </c>
      <c r="F7" s="19">
        <f>5+1+MAX(0,'Assumptions'!$B$19-4)</f>
        <v/>
      </c>
      <c r="G7" s="19">
        <f>6+1+MAX(0,'Assumptions'!$B$19-5)</f>
        <v/>
      </c>
      <c r="H7" s="19">
        <f>7+1+MAX(0,'Assumptions'!$B$19-6)</f>
        <v/>
      </c>
      <c r="I7" s="19">
        <f>8+1+MAX(0,'Assumptions'!$B$19-7)</f>
        <v/>
      </c>
      <c r="J7" s="19">
        <f>9+1+MAX(0,'Assumptions'!$B$19-8)</f>
        <v/>
      </c>
      <c r="K7" s="19">
        <f>10+1+MAX(0,'Assumptions'!$B$19-9)</f>
        <v/>
      </c>
      <c r="L7" s="19">
        <f>11+1+MAX(0,'Assumptions'!$B$19-10)</f>
        <v/>
      </c>
      <c r="M7" s="19">
        <f>12+1+MAX(0,'Assumptions'!$B$19-11)</f>
        <v/>
      </c>
      <c r="N7" s="19">
        <f>13+1+MAX(0,'Assumptions'!$B$19-12)</f>
        <v/>
      </c>
      <c r="O7" s="19">
        <f>14+1+MAX(0,'Assumptions'!$B$19-13)</f>
        <v/>
      </c>
      <c r="P7" s="19">
        <f>15+1+MAX(0,'Assumptions'!$B$19-14)</f>
        <v/>
      </c>
      <c r="Q7" s="19">
        <f>16+1+MAX(0,'Assumptions'!$B$19-15)</f>
        <v/>
      </c>
      <c r="R7" s="19">
        <f>17+1+MAX(0,'Assumptions'!$B$19-16)</f>
        <v/>
      </c>
      <c r="S7" s="19">
        <f>18+1+MAX(0,'Assumptions'!$B$19-17)</f>
        <v/>
      </c>
      <c r="T7" s="19">
        <f>19+1+MAX(0,'Assumptions'!$B$19-18)</f>
        <v/>
      </c>
      <c r="U7" s="19">
        <f>20+1+MAX(0,'Assumptions'!$B$19-19)</f>
        <v/>
      </c>
      <c r="V7" s="19">
        <f>21+1+MAX(0,'Assumptions'!$B$19-20)</f>
        <v/>
      </c>
      <c r="W7" s="19">
        <f>22+1+MAX(0,'Assumptions'!$B$19-21)</f>
        <v/>
      </c>
      <c r="X7" s="19">
        <f>23+1+MAX(0,'Assumptions'!$B$19-22)</f>
        <v/>
      </c>
      <c r="Y7" s="19">
        <f>24+1+MAX(0,'Assumptions'!$B$19-23)</f>
        <v/>
      </c>
    </row>
    <row r="8">
      <c r="A8" s="8" t="inlineStr">
        <is>
          <t>Collections (held claims release together)</t>
        </is>
      </c>
      <c r="B8" s="4">
        <f>SUMPRODUCT(($B$7:$Y$7=1)*$B$5:$Y$5)</f>
        <v/>
      </c>
      <c r="C8" s="4">
        <f>SUMPRODUCT(($B$7:$Y$7=2)*$B$5:$Y$5)</f>
        <v/>
      </c>
      <c r="D8" s="4">
        <f>SUMPRODUCT(($B$7:$Y$7=3)*$B$5:$Y$5)</f>
        <v/>
      </c>
      <c r="E8" s="4">
        <f>SUMPRODUCT(($B$7:$Y$7=4)*$B$5:$Y$5)</f>
        <v/>
      </c>
      <c r="F8" s="4">
        <f>SUMPRODUCT(($B$7:$Y$7=5)*$B$5:$Y$5)</f>
        <v/>
      </c>
      <c r="G8" s="4">
        <f>SUMPRODUCT(($B$7:$Y$7=6)*$B$5:$Y$5)</f>
        <v/>
      </c>
      <c r="H8" s="4">
        <f>SUMPRODUCT(($B$7:$Y$7=7)*$B$5:$Y$5)</f>
        <v/>
      </c>
      <c r="I8" s="4">
        <f>SUMPRODUCT(($B$7:$Y$7=8)*$B$5:$Y$5)</f>
        <v/>
      </c>
      <c r="J8" s="4">
        <f>SUMPRODUCT(($B$7:$Y$7=9)*$B$5:$Y$5)</f>
        <v/>
      </c>
      <c r="K8" s="4">
        <f>SUMPRODUCT(($B$7:$Y$7=10)*$B$5:$Y$5)</f>
        <v/>
      </c>
      <c r="L8" s="4">
        <f>SUMPRODUCT(($B$7:$Y$7=11)*$B$5:$Y$5)</f>
        <v/>
      </c>
      <c r="M8" s="4">
        <f>SUMPRODUCT(($B$7:$Y$7=12)*$B$5:$Y$5)</f>
        <v/>
      </c>
      <c r="N8" s="4">
        <f>SUMPRODUCT(($B$7:$Y$7=13)*$B$5:$Y$5)</f>
        <v/>
      </c>
      <c r="O8" s="4">
        <f>SUMPRODUCT(($B$7:$Y$7=14)*$B$5:$Y$5)</f>
        <v/>
      </c>
      <c r="P8" s="4">
        <f>SUMPRODUCT(($B$7:$Y$7=15)*$B$5:$Y$5)</f>
        <v/>
      </c>
      <c r="Q8" s="4">
        <f>SUMPRODUCT(($B$7:$Y$7=16)*$B$5:$Y$5)</f>
        <v/>
      </c>
      <c r="R8" s="4">
        <f>SUMPRODUCT(($B$7:$Y$7=17)*$B$5:$Y$5)</f>
        <v/>
      </c>
      <c r="S8" s="4">
        <f>SUMPRODUCT(($B$7:$Y$7=18)*$B$5:$Y$5)</f>
        <v/>
      </c>
      <c r="T8" s="4">
        <f>SUMPRODUCT(($B$7:$Y$7=19)*$B$5:$Y$5)</f>
        <v/>
      </c>
      <c r="U8" s="4">
        <f>SUMPRODUCT(($B$7:$Y$7=20)*$B$5:$Y$5)</f>
        <v/>
      </c>
      <c r="V8" s="4">
        <f>SUMPRODUCT(($B$7:$Y$7=21)*$B$5:$Y$5)</f>
        <v/>
      </c>
      <c r="W8" s="4">
        <f>SUMPRODUCT(($B$7:$Y$7=22)*$B$5:$Y$5)</f>
        <v/>
      </c>
      <c r="X8" s="4">
        <f>SUMPRODUCT(($B$7:$Y$7=23)*$B$5:$Y$5)</f>
        <v/>
      </c>
      <c r="Y8" s="4">
        <f>SUMPRODUCT(($B$7:$Y$7=24)*$B$5:$Y$5)</f>
        <v/>
      </c>
    </row>
    <row r="9">
      <c r="A9" s="8" t="inlineStr">
        <is>
          <t>Fixed overhead</t>
        </is>
      </c>
      <c r="B9" s="4">
        <f>-'Assumptions'!$B$7</f>
        <v/>
      </c>
      <c r="C9" s="4">
        <f>-'Assumptions'!$B$7</f>
        <v/>
      </c>
      <c r="D9" s="4">
        <f>-'Assumptions'!$B$7</f>
        <v/>
      </c>
      <c r="E9" s="4">
        <f>-'Assumptions'!$B$7</f>
        <v/>
      </c>
      <c r="F9" s="4">
        <f>-'Assumptions'!$B$7</f>
        <v/>
      </c>
      <c r="G9" s="4">
        <f>-'Assumptions'!$B$7</f>
        <v/>
      </c>
      <c r="H9" s="4">
        <f>-'Assumptions'!$B$7</f>
        <v/>
      </c>
      <c r="I9" s="4">
        <f>-'Assumptions'!$B$7</f>
        <v/>
      </c>
      <c r="J9" s="4">
        <f>-'Assumptions'!$B$7</f>
        <v/>
      </c>
      <c r="K9" s="4">
        <f>-'Assumptions'!$B$7</f>
        <v/>
      </c>
      <c r="L9" s="4">
        <f>-'Assumptions'!$B$7</f>
        <v/>
      </c>
      <c r="M9" s="4">
        <f>-'Assumptions'!$B$7</f>
        <v/>
      </c>
      <c r="N9" s="4">
        <f>-'Assumptions'!$B$7</f>
        <v/>
      </c>
      <c r="O9" s="4">
        <f>-'Assumptions'!$B$7</f>
        <v/>
      </c>
      <c r="P9" s="4">
        <f>-'Assumptions'!$B$7</f>
        <v/>
      </c>
      <c r="Q9" s="4">
        <f>-'Assumptions'!$B$7</f>
        <v/>
      </c>
      <c r="R9" s="4">
        <f>-'Assumptions'!$B$7</f>
        <v/>
      </c>
      <c r="S9" s="4">
        <f>-'Assumptions'!$B$7</f>
        <v/>
      </c>
      <c r="T9" s="4">
        <f>-'Assumptions'!$B$7</f>
        <v/>
      </c>
      <c r="U9" s="4">
        <f>-'Assumptions'!$B$7</f>
        <v/>
      </c>
      <c r="V9" s="4">
        <f>-'Assumptions'!$B$7</f>
        <v/>
      </c>
      <c r="W9" s="4">
        <f>-'Assumptions'!$B$7</f>
        <v/>
      </c>
      <c r="X9" s="4">
        <f>-'Assumptions'!$B$7</f>
        <v/>
      </c>
      <c r="Y9" s="4">
        <f>-'Assumptions'!$B$7</f>
        <v/>
      </c>
    </row>
    <row r="10">
      <c r="A10" s="8" t="inlineStr">
        <is>
          <t>License &amp; financing flows (Rev 4.10 Path A)</t>
        </is>
      </c>
      <c r="B10" s="4">
        <f>-IF(1=1,'Assumptions'!$B$20,0)+IF(1=2,'Assumptions'!$B$22-'Assumptions'!$B$23,0)-IF(AND(1&gt;=3,1&lt;=5),'Assumptions'!$B$24,0)+IF(1=6,'Assumptions'!$B$25-'Assumptions'!$B$26,0)-IF(1&gt;=7,'Assumptions'!$B$27,0)</f>
        <v/>
      </c>
      <c r="C10" s="4">
        <f>-IF(2=1,'Assumptions'!$B$20,0)+IF(2=2,'Assumptions'!$B$22-'Assumptions'!$B$23,0)-IF(AND(2&gt;=3,2&lt;=5),'Assumptions'!$B$24,0)+IF(2=6,'Assumptions'!$B$25-'Assumptions'!$B$26,0)-IF(2&gt;=7,'Assumptions'!$B$27,0)</f>
        <v/>
      </c>
      <c r="D10" s="4">
        <f>-IF(3=1,'Assumptions'!$B$20,0)+IF(3=2,'Assumptions'!$B$22-'Assumptions'!$B$23,0)-IF(AND(3&gt;=3,3&lt;=5),'Assumptions'!$B$24,0)+IF(3=6,'Assumptions'!$B$25-'Assumptions'!$B$26,0)-IF(3&gt;=7,'Assumptions'!$B$27,0)</f>
        <v/>
      </c>
      <c r="E10" s="4">
        <f>-IF(4=1,'Assumptions'!$B$20,0)+IF(4=2,'Assumptions'!$B$22-'Assumptions'!$B$23,0)-IF(AND(4&gt;=3,4&lt;=5),'Assumptions'!$B$24,0)+IF(4=6,'Assumptions'!$B$25-'Assumptions'!$B$26,0)-IF(4&gt;=7,'Assumptions'!$B$27,0)</f>
        <v/>
      </c>
      <c r="F10" s="4">
        <f>-IF(5=1,'Assumptions'!$B$20,0)+IF(5=2,'Assumptions'!$B$22-'Assumptions'!$B$23,0)-IF(AND(5&gt;=3,5&lt;=5),'Assumptions'!$B$24,0)+IF(5=6,'Assumptions'!$B$25-'Assumptions'!$B$26,0)-IF(5&gt;=7,'Assumptions'!$B$27,0)</f>
        <v/>
      </c>
      <c r="G10" s="4">
        <f>-IF(6=1,'Assumptions'!$B$20,0)+IF(6=2,'Assumptions'!$B$22-'Assumptions'!$B$23,0)-IF(AND(6&gt;=3,6&lt;=5),'Assumptions'!$B$24,0)+IF(6=6,'Assumptions'!$B$25-'Assumptions'!$B$26,0)-IF(6&gt;=7,'Assumptions'!$B$27,0)</f>
        <v/>
      </c>
      <c r="H10" s="4">
        <f>-IF(7=1,'Assumptions'!$B$20,0)+IF(7=2,'Assumptions'!$B$22-'Assumptions'!$B$23,0)-IF(AND(7&gt;=3,7&lt;=5),'Assumptions'!$B$24,0)+IF(7=6,'Assumptions'!$B$25-'Assumptions'!$B$26,0)-IF(7&gt;=7,'Assumptions'!$B$27,0)</f>
        <v/>
      </c>
      <c r="I10" s="4">
        <f>-IF(8=1,'Assumptions'!$B$20,0)+IF(8=2,'Assumptions'!$B$22-'Assumptions'!$B$23,0)-IF(AND(8&gt;=3,8&lt;=5),'Assumptions'!$B$24,0)+IF(8=6,'Assumptions'!$B$25-'Assumptions'!$B$26,0)-IF(8&gt;=7,'Assumptions'!$B$27,0)</f>
        <v/>
      </c>
      <c r="J10" s="4">
        <f>-IF(9=1,'Assumptions'!$B$20,0)+IF(9=2,'Assumptions'!$B$22-'Assumptions'!$B$23,0)-IF(AND(9&gt;=3,9&lt;=5),'Assumptions'!$B$24,0)+IF(9=6,'Assumptions'!$B$25-'Assumptions'!$B$26,0)-IF(9&gt;=7,'Assumptions'!$B$27,0)</f>
        <v/>
      </c>
      <c r="K10" s="4">
        <f>-IF(10=1,'Assumptions'!$B$20,0)+IF(10=2,'Assumptions'!$B$22-'Assumptions'!$B$23,0)-IF(AND(10&gt;=3,10&lt;=5),'Assumptions'!$B$24,0)+IF(10=6,'Assumptions'!$B$25-'Assumptions'!$B$26,0)-IF(10&gt;=7,'Assumptions'!$B$27,0)</f>
        <v/>
      </c>
      <c r="L10" s="4">
        <f>-IF(11=1,'Assumptions'!$B$20,0)+IF(11=2,'Assumptions'!$B$22-'Assumptions'!$B$23,0)-IF(AND(11&gt;=3,11&lt;=5),'Assumptions'!$B$24,0)+IF(11=6,'Assumptions'!$B$25-'Assumptions'!$B$26,0)-IF(11&gt;=7,'Assumptions'!$B$27,0)</f>
        <v/>
      </c>
      <c r="M10" s="4">
        <f>-IF(12=1,'Assumptions'!$B$20,0)+IF(12=2,'Assumptions'!$B$22-'Assumptions'!$B$23,0)-IF(AND(12&gt;=3,12&lt;=5),'Assumptions'!$B$24,0)+IF(12=6,'Assumptions'!$B$25-'Assumptions'!$B$26,0)-IF(12&gt;=7,'Assumptions'!$B$27,0)</f>
        <v/>
      </c>
      <c r="N10" s="4">
        <f>-IF(13=1,'Assumptions'!$B$20,0)+IF(13=2,'Assumptions'!$B$22-'Assumptions'!$B$23,0)-IF(AND(13&gt;=3,13&lt;=5),'Assumptions'!$B$24,0)+IF(13=6,'Assumptions'!$B$25-'Assumptions'!$B$26,0)-IF(13&gt;=7,'Assumptions'!$B$27,0)</f>
        <v/>
      </c>
      <c r="O10" s="4">
        <f>-IF(14=1,'Assumptions'!$B$20,0)+IF(14=2,'Assumptions'!$B$22-'Assumptions'!$B$23,0)-IF(AND(14&gt;=3,14&lt;=5),'Assumptions'!$B$24,0)+IF(14=6,'Assumptions'!$B$25-'Assumptions'!$B$26,0)-IF(14&gt;=7,'Assumptions'!$B$27,0)</f>
        <v/>
      </c>
      <c r="P10" s="4">
        <f>-IF(15=1,'Assumptions'!$B$20,0)+IF(15=2,'Assumptions'!$B$22-'Assumptions'!$B$23,0)-IF(AND(15&gt;=3,15&lt;=5),'Assumptions'!$B$24,0)+IF(15=6,'Assumptions'!$B$25-'Assumptions'!$B$26,0)-IF(15&gt;=7,'Assumptions'!$B$27,0)</f>
        <v/>
      </c>
      <c r="Q10" s="4">
        <f>-IF(16=1,'Assumptions'!$B$20,0)+IF(16=2,'Assumptions'!$B$22-'Assumptions'!$B$23,0)-IF(AND(16&gt;=3,16&lt;=5),'Assumptions'!$B$24,0)+IF(16=6,'Assumptions'!$B$25-'Assumptions'!$B$26,0)-IF(16&gt;=7,'Assumptions'!$B$27,0)</f>
        <v/>
      </c>
      <c r="R10" s="4">
        <f>-IF(17=1,'Assumptions'!$B$20,0)+IF(17=2,'Assumptions'!$B$22-'Assumptions'!$B$23,0)-IF(AND(17&gt;=3,17&lt;=5),'Assumptions'!$B$24,0)+IF(17=6,'Assumptions'!$B$25-'Assumptions'!$B$26,0)-IF(17&gt;=7,'Assumptions'!$B$27,0)</f>
        <v/>
      </c>
      <c r="S10" s="4">
        <f>-IF(18=1,'Assumptions'!$B$20,0)+IF(18=2,'Assumptions'!$B$22-'Assumptions'!$B$23,0)-IF(AND(18&gt;=3,18&lt;=5),'Assumptions'!$B$24,0)+IF(18=6,'Assumptions'!$B$25-'Assumptions'!$B$26,0)-IF(18&gt;=7,'Assumptions'!$B$27,0)</f>
        <v/>
      </c>
      <c r="T10" s="4">
        <f>-IF(19=1,'Assumptions'!$B$20,0)+IF(19=2,'Assumptions'!$B$22-'Assumptions'!$B$23,0)-IF(AND(19&gt;=3,19&lt;=5),'Assumptions'!$B$24,0)+IF(19=6,'Assumptions'!$B$25-'Assumptions'!$B$26,0)-IF(19&gt;=7,'Assumptions'!$B$27,0)</f>
        <v/>
      </c>
      <c r="U10" s="4">
        <f>-IF(20=1,'Assumptions'!$B$20,0)+IF(20=2,'Assumptions'!$B$22-'Assumptions'!$B$23,0)-IF(AND(20&gt;=3,20&lt;=5),'Assumptions'!$B$24,0)+IF(20=6,'Assumptions'!$B$25-'Assumptions'!$B$26,0)-IF(20&gt;=7,'Assumptions'!$B$27,0)</f>
        <v/>
      </c>
      <c r="V10" s="4">
        <f>-IF(21=1,'Assumptions'!$B$20,0)+IF(21=2,'Assumptions'!$B$22-'Assumptions'!$B$23,0)-IF(AND(21&gt;=3,21&lt;=5),'Assumptions'!$B$24,0)+IF(21=6,'Assumptions'!$B$25-'Assumptions'!$B$26,0)-IF(21&gt;=7,'Assumptions'!$B$27,0)</f>
        <v/>
      </c>
      <c r="W10" s="4">
        <f>-IF(22=1,'Assumptions'!$B$20,0)+IF(22=2,'Assumptions'!$B$22-'Assumptions'!$B$23,0)-IF(AND(22&gt;=3,22&lt;=5),'Assumptions'!$B$24,0)+IF(22=6,'Assumptions'!$B$25-'Assumptions'!$B$26,0)-IF(22&gt;=7,'Assumptions'!$B$27,0)</f>
        <v/>
      </c>
      <c r="X10" s="4">
        <f>-IF(23=1,'Assumptions'!$B$20,0)+IF(23=2,'Assumptions'!$B$22-'Assumptions'!$B$23,0)-IF(AND(23&gt;=3,23&lt;=5),'Assumptions'!$B$24,0)+IF(23=6,'Assumptions'!$B$25-'Assumptions'!$B$26,0)-IF(23&gt;=7,'Assumptions'!$B$27,0)</f>
        <v/>
      </c>
      <c r="Y10" s="4">
        <f>-IF(24=1,'Assumptions'!$B$20,0)+IF(24=2,'Assumptions'!$B$22-'Assumptions'!$B$23,0)-IF(AND(24&gt;=3,24&lt;=5),'Assumptions'!$B$24,0)+IF(24=6,'Assumptions'!$B$25-'Assumptions'!$B$26,0)-IF(24&gt;=7,'Assumptions'!$B$27,0)</f>
        <v/>
      </c>
    </row>
    <row r="11">
      <c r="A11" s="3" t="inlineStr">
        <is>
          <t>NET CASH FLOW</t>
        </is>
      </c>
      <c r="B11" s="16">
        <f>B8+B6+B9+B10</f>
        <v/>
      </c>
      <c r="C11" s="16">
        <f>C8+C6+C9+C10</f>
        <v/>
      </c>
      <c r="D11" s="16">
        <f>D8+D6+D9+D10</f>
        <v/>
      </c>
      <c r="E11" s="16">
        <f>E8+E6+E9+E10</f>
        <v/>
      </c>
      <c r="F11" s="16">
        <f>F8+F6+F9+F10</f>
        <v/>
      </c>
      <c r="G11" s="16">
        <f>G8+G6+G9+G10</f>
        <v/>
      </c>
      <c r="H11" s="16">
        <f>H8+H6+H9+H10</f>
        <v/>
      </c>
      <c r="I11" s="16">
        <f>I8+I6+I9+I10</f>
        <v/>
      </c>
      <c r="J11" s="16">
        <f>J8+J6+J9+J10</f>
        <v/>
      </c>
      <c r="K11" s="16">
        <f>K8+K6+K9+K10</f>
        <v/>
      </c>
      <c r="L11" s="16">
        <f>L8+L6+L9+L10</f>
        <v/>
      </c>
      <c r="M11" s="16">
        <f>M8+M6+M9+M10</f>
        <v/>
      </c>
      <c r="N11" s="16">
        <f>N8+N6+N9+N10</f>
        <v/>
      </c>
      <c r="O11" s="16">
        <f>O8+O6+O9+O10</f>
        <v/>
      </c>
      <c r="P11" s="16">
        <f>P8+P6+P9+P10</f>
        <v/>
      </c>
      <c r="Q11" s="16">
        <f>Q8+Q6+Q9+Q10</f>
        <v/>
      </c>
      <c r="R11" s="16">
        <f>R8+R6+R9+R10</f>
        <v/>
      </c>
      <c r="S11" s="16">
        <f>S8+S6+S9+S10</f>
        <v/>
      </c>
      <c r="T11" s="16">
        <f>T8+T6+T9+T10</f>
        <v/>
      </c>
      <c r="U11" s="16">
        <f>U8+U6+U9+U10</f>
        <v/>
      </c>
      <c r="V11" s="16">
        <f>V8+V6+V9+V10</f>
        <v/>
      </c>
      <c r="W11" s="16">
        <f>W8+W6+W9+W10</f>
        <v/>
      </c>
      <c r="X11" s="16">
        <f>X8+X6+X9+X10</f>
        <v/>
      </c>
      <c r="Y11" s="16">
        <f>Y8+Y6+Y9+Y10</f>
        <v/>
      </c>
    </row>
    <row r="12">
      <c r="A12" s="3" t="inlineStr">
        <is>
          <t>Cumulative cash (no equity assumed)</t>
        </is>
      </c>
      <c r="B12" s="17">
        <f>B11</f>
        <v/>
      </c>
      <c r="C12" s="17">
        <f>B12+C11</f>
        <v/>
      </c>
      <c r="D12" s="17">
        <f>C12+D11</f>
        <v/>
      </c>
      <c r="E12" s="17">
        <f>D12+E11</f>
        <v/>
      </c>
      <c r="F12" s="17">
        <f>E12+F11</f>
        <v/>
      </c>
      <c r="G12" s="17">
        <f>F12+G11</f>
        <v/>
      </c>
      <c r="H12" s="17">
        <f>G12+H11</f>
        <v/>
      </c>
      <c r="I12" s="17">
        <f>H12+I11</f>
        <v/>
      </c>
      <c r="J12" s="17">
        <f>I12+J11</f>
        <v/>
      </c>
      <c r="K12" s="17">
        <f>J12+K11</f>
        <v/>
      </c>
      <c r="L12" s="17">
        <f>K12+L11</f>
        <v/>
      </c>
      <c r="M12" s="17">
        <f>L12+M11</f>
        <v/>
      </c>
      <c r="N12" s="17">
        <f>M12+N11</f>
        <v/>
      </c>
      <c r="O12" s="17">
        <f>N12+O11</f>
        <v/>
      </c>
      <c r="P12" s="17">
        <f>O12+P11</f>
        <v/>
      </c>
      <c r="Q12" s="17">
        <f>P12+Q11</f>
        <v/>
      </c>
      <c r="R12" s="17">
        <f>Q12+R11</f>
        <v/>
      </c>
      <c r="S12" s="17">
        <f>R12+S11</f>
        <v/>
      </c>
      <c r="T12" s="17">
        <f>S12+T11</f>
        <v/>
      </c>
      <c r="U12" s="17">
        <f>T12+U11</f>
        <v/>
      </c>
      <c r="V12" s="17">
        <f>U12+V11</f>
        <v/>
      </c>
      <c r="W12" s="17">
        <f>V12+W11</f>
        <v/>
      </c>
      <c r="X12" s="17">
        <f>W12+X11</f>
        <v/>
      </c>
      <c r="Y12" s="17">
        <f>X12+Y11</f>
        <v/>
      </c>
    </row>
    <row r="13">
      <c r="A13" s="3" t="inlineStr">
        <is>
          <t>PEAK FUNDING NEED (max cumulative deficit)</t>
        </is>
      </c>
      <c r="B13" s="18">
        <f>MAX(0,-MIN($B$12:$Y$12))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Y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T3 - AVANT ($300K seller-financed, Medicare-only): idle until tie-in/CHOW clears, then census starts; PPEO hold on first claims; payments start at PPEO clear (May schedule, time-shifted).</t>
        </is>
      </c>
    </row>
    <row r="3">
      <c r="B3" s="14" t="inlineStr">
        <is>
          <t>Aug-26</t>
        </is>
      </c>
      <c r="C3" s="14" t="inlineStr">
        <is>
          <t>Sep-26</t>
        </is>
      </c>
      <c r="D3" s="14" t="inlineStr">
        <is>
          <t>Oct-26</t>
        </is>
      </c>
      <c r="E3" s="14" t="inlineStr">
        <is>
          <t>Nov-26</t>
        </is>
      </c>
      <c r="F3" s="14" t="inlineStr">
        <is>
          <t>Dec-26</t>
        </is>
      </c>
      <c r="G3" s="14" t="inlineStr">
        <is>
          <t>Jan-27</t>
        </is>
      </c>
      <c r="H3" s="14" t="inlineStr">
        <is>
          <t>Feb-27</t>
        </is>
      </c>
      <c r="I3" s="14" t="inlineStr">
        <is>
          <t>Mar-27</t>
        </is>
      </c>
      <c r="J3" s="14" t="inlineStr">
        <is>
          <t>Apr-27</t>
        </is>
      </c>
      <c r="K3" s="14" t="inlineStr">
        <is>
          <t>May-27</t>
        </is>
      </c>
      <c r="L3" s="14" t="inlineStr">
        <is>
          <t>Jun-27</t>
        </is>
      </c>
      <c r="M3" s="14" t="inlineStr">
        <is>
          <t>Jul-27</t>
        </is>
      </c>
      <c r="N3" s="14" t="inlineStr">
        <is>
          <t>Aug-27</t>
        </is>
      </c>
      <c r="O3" s="14" t="inlineStr">
        <is>
          <t>Sep-27</t>
        </is>
      </c>
      <c r="P3" s="14" t="inlineStr">
        <is>
          <t>Oct-27</t>
        </is>
      </c>
      <c r="Q3" s="14" t="inlineStr">
        <is>
          <t>Nov-27</t>
        </is>
      </c>
      <c r="R3" s="14" t="inlineStr">
        <is>
          <t>Dec-27</t>
        </is>
      </c>
      <c r="S3" s="14" t="inlineStr">
        <is>
          <t>Jan-28</t>
        </is>
      </c>
      <c r="T3" s="14" t="inlineStr">
        <is>
          <t>Feb-28</t>
        </is>
      </c>
      <c r="U3" s="14" t="inlineStr">
        <is>
          <t>Mar-28</t>
        </is>
      </c>
      <c r="V3" s="14" t="inlineStr">
        <is>
          <t>Apr-28</t>
        </is>
      </c>
      <c r="W3" s="14" t="inlineStr">
        <is>
          <t>May-28</t>
        </is>
      </c>
      <c r="X3" s="14" t="inlineStr">
        <is>
          <t>Jun-28</t>
        </is>
      </c>
      <c r="Y3" s="14" t="inlineStr">
        <is>
          <t>Jul-28</t>
        </is>
      </c>
    </row>
    <row r="4">
      <c r="A4" s="8" t="inlineStr">
        <is>
          <t>ADC on this track</t>
        </is>
      </c>
      <c r="B4" s="15">
        <f>IF(1&lt;'Assumptions'!$B$30,0,INDEX(Assumptions!$B$13:$Y$13,1,1-'Assumptions'!$B$30+1))</f>
        <v/>
      </c>
      <c r="C4" s="15">
        <f>IF(2&lt;'Assumptions'!$B$30,0,INDEX(Assumptions!$B$13:$Y$13,1,2-'Assumptions'!$B$30+1))</f>
        <v/>
      </c>
      <c r="D4" s="15">
        <f>IF(3&lt;'Assumptions'!$B$30,0,INDEX(Assumptions!$B$13:$Y$13,1,3-'Assumptions'!$B$30+1))</f>
        <v/>
      </c>
      <c r="E4" s="15">
        <f>IF(4&lt;'Assumptions'!$B$30,0,INDEX(Assumptions!$B$13:$Y$13,1,4-'Assumptions'!$B$30+1))</f>
        <v/>
      </c>
      <c r="F4" s="15">
        <f>IF(5&lt;'Assumptions'!$B$30,0,INDEX(Assumptions!$B$13:$Y$13,1,5-'Assumptions'!$B$30+1))</f>
        <v/>
      </c>
      <c r="G4" s="15">
        <f>IF(6&lt;'Assumptions'!$B$30,0,INDEX(Assumptions!$B$13:$Y$13,1,6-'Assumptions'!$B$30+1))</f>
        <v/>
      </c>
      <c r="H4" s="15">
        <f>IF(7&lt;'Assumptions'!$B$30,0,INDEX(Assumptions!$B$13:$Y$13,1,7-'Assumptions'!$B$30+1))</f>
        <v/>
      </c>
      <c r="I4" s="15">
        <f>IF(8&lt;'Assumptions'!$B$30,0,INDEX(Assumptions!$B$13:$Y$13,1,8-'Assumptions'!$B$30+1))</f>
        <v/>
      </c>
      <c r="J4" s="15">
        <f>IF(9&lt;'Assumptions'!$B$30,0,INDEX(Assumptions!$B$13:$Y$13,1,9-'Assumptions'!$B$30+1))</f>
        <v/>
      </c>
      <c r="K4" s="15">
        <f>IF(10&lt;'Assumptions'!$B$30,0,INDEX(Assumptions!$B$13:$Y$13,1,10-'Assumptions'!$B$30+1))</f>
        <v/>
      </c>
      <c r="L4" s="15">
        <f>IF(11&lt;'Assumptions'!$B$30,0,INDEX(Assumptions!$B$13:$Y$13,1,11-'Assumptions'!$B$30+1))</f>
        <v/>
      </c>
      <c r="M4" s="15">
        <f>IF(12&lt;'Assumptions'!$B$30,0,INDEX(Assumptions!$B$13:$Y$13,1,12-'Assumptions'!$B$30+1))</f>
        <v/>
      </c>
      <c r="N4" s="15">
        <f>IF(13&lt;'Assumptions'!$B$30,0,INDEX(Assumptions!$B$13:$Y$13,1,13-'Assumptions'!$B$30+1))</f>
        <v/>
      </c>
      <c r="O4" s="15">
        <f>IF(14&lt;'Assumptions'!$B$30,0,INDEX(Assumptions!$B$13:$Y$13,1,14-'Assumptions'!$B$30+1))</f>
        <v/>
      </c>
      <c r="P4" s="15">
        <f>IF(15&lt;'Assumptions'!$B$30,0,INDEX(Assumptions!$B$13:$Y$13,1,15-'Assumptions'!$B$30+1))</f>
        <v/>
      </c>
      <c r="Q4" s="15">
        <f>IF(16&lt;'Assumptions'!$B$30,0,INDEX(Assumptions!$B$13:$Y$13,1,16-'Assumptions'!$B$30+1))</f>
        <v/>
      </c>
      <c r="R4" s="15">
        <f>IF(17&lt;'Assumptions'!$B$30,0,INDEX(Assumptions!$B$13:$Y$13,1,17-'Assumptions'!$B$30+1))</f>
        <v/>
      </c>
      <c r="S4" s="15">
        <f>IF(18&lt;'Assumptions'!$B$30,0,INDEX(Assumptions!$B$13:$Y$13,1,18-'Assumptions'!$B$30+1))</f>
        <v/>
      </c>
      <c r="T4" s="15">
        <f>IF(19&lt;'Assumptions'!$B$30,0,INDEX(Assumptions!$B$13:$Y$13,1,19-'Assumptions'!$B$30+1))</f>
        <v/>
      </c>
      <c r="U4" s="15">
        <f>IF(20&lt;'Assumptions'!$B$30,0,INDEX(Assumptions!$B$13:$Y$13,1,20-'Assumptions'!$B$30+1))</f>
        <v/>
      </c>
      <c r="V4" s="15">
        <f>IF(21&lt;'Assumptions'!$B$30,0,INDEX(Assumptions!$B$13:$Y$13,1,21-'Assumptions'!$B$30+1))</f>
        <v/>
      </c>
      <c r="W4" s="15">
        <f>IF(22&lt;'Assumptions'!$B$30,0,INDEX(Assumptions!$B$13:$Y$13,1,22-'Assumptions'!$B$30+1))</f>
        <v/>
      </c>
      <c r="X4" s="15">
        <f>IF(23&lt;'Assumptions'!$B$30,0,INDEX(Assumptions!$B$13:$Y$13,1,23-'Assumptions'!$B$30+1))</f>
        <v/>
      </c>
      <c r="Y4" s="15">
        <f>IF(24&lt;'Assumptions'!$B$30,0,INDEX(Assumptions!$B$13:$Y$13,1,24-'Assumptions'!$B$30+1))</f>
        <v/>
      </c>
    </row>
    <row r="5">
      <c r="A5" s="8" t="inlineStr">
        <is>
          <t>Revenue earned (NPR)</t>
        </is>
      </c>
      <c r="B5" s="4">
        <f>B4*'Assumptions'!$B$4*'Assumptions'!$B$5</f>
        <v/>
      </c>
      <c r="C5" s="4">
        <f>C4*'Assumptions'!$B$4*'Assumptions'!$B$5</f>
        <v/>
      </c>
      <c r="D5" s="4">
        <f>D4*'Assumptions'!$B$4*'Assumptions'!$B$5</f>
        <v/>
      </c>
      <c r="E5" s="4">
        <f>E4*'Assumptions'!$B$4*'Assumptions'!$B$5</f>
        <v/>
      </c>
      <c r="F5" s="4">
        <f>F4*'Assumptions'!$B$4*'Assumptions'!$B$5</f>
        <v/>
      </c>
      <c r="G5" s="4">
        <f>G4*'Assumptions'!$B$4*'Assumptions'!$B$5</f>
        <v/>
      </c>
      <c r="H5" s="4">
        <f>H4*'Assumptions'!$B$4*'Assumptions'!$B$5</f>
        <v/>
      </c>
      <c r="I5" s="4">
        <f>I4*'Assumptions'!$B$4*'Assumptions'!$B$5</f>
        <v/>
      </c>
      <c r="J5" s="4">
        <f>J4*'Assumptions'!$B$4*'Assumptions'!$B$5</f>
        <v/>
      </c>
      <c r="K5" s="4">
        <f>K4*'Assumptions'!$B$4*'Assumptions'!$B$5</f>
        <v/>
      </c>
      <c r="L5" s="4">
        <f>L4*'Assumptions'!$B$4*'Assumptions'!$B$5</f>
        <v/>
      </c>
      <c r="M5" s="4">
        <f>M4*'Assumptions'!$B$4*'Assumptions'!$B$5</f>
        <v/>
      </c>
      <c r="N5" s="4">
        <f>N4*'Assumptions'!$B$4*'Assumptions'!$B$5</f>
        <v/>
      </c>
      <c r="O5" s="4">
        <f>O4*'Assumptions'!$B$4*'Assumptions'!$B$5</f>
        <v/>
      </c>
      <c r="P5" s="4">
        <f>P4*'Assumptions'!$B$4*'Assumptions'!$B$5</f>
        <v/>
      </c>
      <c r="Q5" s="4">
        <f>Q4*'Assumptions'!$B$4*'Assumptions'!$B$5</f>
        <v/>
      </c>
      <c r="R5" s="4">
        <f>R4*'Assumptions'!$B$4*'Assumptions'!$B$5</f>
        <v/>
      </c>
      <c r="S5" s="4">
        <f>S4*'Assumptions'!$B$4*'Assumptions'!$B$5</f>
        <v/>
      </c>
      <c r="T5" s="4">
        <f>T4*'Assumptions'!$B$4*'Assumptions'!$B$5</f>
        <v/>
      </c>
      <c r="U5" s="4">
        <f>U4*'Assumptions'!$B$4*'Assumptions'!$B$5</f>
        <v/>
      </c>
      <c r="V5" s="4">
        <f>V4*'Assumptions'!$B$4*'Assumptions'!$B$5</f>
        <v/>
      </c>
      <c r="W5" s="4">
        <f>W4*'Assumptions'!$B$4*'Assumptions'!$B$5</f>
        <v/>
      </c>
      <c r="X5" s="4">
        <f>X4*'Assumptions'!$B$4*'Assumptions'!$B$5</f>
        <v/>
      </c>
      <c r="Y5" s="4">
        <f>Y4*'Assumptions'!$B$4*'Assumptions'!$B$5</f>
        <v/>
      </c>
    </row>
    <row r="6">
      <c r="A6" s="8" t="inlineStr">
        <is>
          <t>Variable costs (clinical + patient care, paid in month)</t>
        </is>
      </c>
      <c r="B6" s="4">
        <f>-B4*'Assumptions'!$B$6*'Assumptions'!$B$5</f>
        <v/>
      </c>
      <c r="C6" s="4">
        <f>-C4*'Assumptions'!$B$6*'Assumptions'!$B$5</f>
        <v/>
      </c>
      <c r="D6" s="4">
        <f>-D4*'Assumptions'!$B$6*'Assumptions'!$B$5</f>
        <v/>
      </c>
      <c r="E6" s="4">
        <f>-E4*'Assumptions'!$B$6*'Assumptions'!$B$5</f>
        <v/>
      </c>
      <c r="F6" s="4">
        <f>-F4*'Assumptions'!$B$6*'Assumptions'!$B$5</f>
        <v/>
      </c>
      <c r="G6" s="4">
        <f>-G4*'Assumptions'!$B$6*'Assumptions'!$B$5</f>
        <v/>
      </c>
      <c r="H6" s="4">
        <f>-H4*'Assumptions'!$B$6*'Assumptions'!$B$5</f>
        <v/>
      </c>
      <c r="I6" s="4">
        <f>-I4*'Assumptions'!$B$6*'Assumptions'!$B$5</f>
        <v/>
      </c>
      <c r="J6" s="4">
        <f>-J4*'Assumptions'!$B$6*'Assumptions'!$B$5</f>
        <v/>
      </c>
      <c r="K6" s="4">
        <f>-K4*'Assumptions'!$B$6*'Assumptions'!$B$5</f>
        <v/>
      </c>
      <c r="L6" s="4">
        <f>-L4*'Assumptions'!$B$6*'Assumptions'!$B$5</f>
        <v/>
      </c>
      <c r="M6" s="4">
        <f>-M4*'Assumptions'!$B$6*'Assumptions'!$B$5</f>
        <v/>
      </c>
      <c r="N6" s="4">
        <f>-N4*'Assumptions'!$B$6*'Assumptions'!$B$5</f>
        <v/>
      </c>
      <c r="O6" s="4">
        <f>-O4*'Assumptions'!$B$6*'Assumptions'!$B$5</f>
        <v/>
      </c>
      <c r="P6" s="4">
        <f>-P4*'Assumptions'!$B$6*'Assumptions'!$B$5</f>
        <v/>
      </c>
      <c r="Q6" s="4">
        <f>-Q4*'Assumptions'!$B$6*'Assumptions'!$B$5</f>
        <v/>
      </c>
      <c r="R6" s="4">
        <f>-R4*'Assumptions'!$B$6*'Assumptions'!$B$5</f>
        <v/>
      </c>
      <c r="S6" s="4">
        <f>-S4*'Assumptions'!$B$6*'Assumptions'!$B$5</f>
        <v/>
      </c>
      <c r="T6" s="4">
        <f>-T4*'Assumptions'!$B$6*'Assumptions'!$B$5</f>
        <v/>
      </c>
      <c r="U6" s="4">
        <f>-U4*'Assumptions'!$B$6*'Assumptions'!$B$5</f>
        <v/>
      </c>
      <c r="V6" s="4">
        <f>-V4*'Assumptions'!$B$6*'Assumptions'!$B$5</f>
        <v/>
      </c>
      <c r="W6" s="4">
        <f>-W4*'Assumptions'!$B$6*'Assumptions'!$B$5</f>
        <v/>
      </c>
      <c r="X6" s="4">
        <f>-X4*'Assumptions'!$B$6*'Assumptions'!$B$5</f>
        <v/>
      </c>
      <c r="Y6" s="4">
        <f>-Y4*'Assumptions'!$B$6*'Assumptions'!$B$5</f>
        <v/>
      </c>
    </row>
    <row r="7">
      <c r="A7" s="8" t="inlineStr">
        <is>
          <t>Collection month for service month (lag + PPEO hold from census start)</t>
        </is>
      </c>
      <c r="B7" s="19">
        <f>1+1+MAX(0,'Assumptions'!$B$31-(1-'Assumptions'!$B$30))</f>
        <v/>
      </c>
      <c r="C7" s="19">
        <f>2+1+MAX(0,'Assumptions'!$B$31-(2-'Assumptions'!$B$30))</f>
        <v/>
      </c>
      <c r="D7" s="19">
        <f>3+1+MAX(0,'Assumptions'!$B$31-(3-'Assumptions'!$B$30))</f>
        <v/>
      </c>
      <c r="E7" s="19">
        <f>4+1+MAX(0,'Assumptions'!$B$31-(4-'Assumptions'!$B$30))</f>
        <v/>
      </c>
      <c r="F7" s="19">
        <f>5+1+MAX(0,'Assumptions'!$B$31-(5-'Assumptions'!$B$30))</f>
        <v/>
      </c>
      <c r="G7" s="19">
        <f>6+1+MAX(0,'Assumptions'!$B$31-(6-'Assumptions'!$B$30))</f>
        <v/>
      </c>
      <c r="H7" s="19">
        <f>7+1+MAX(0,'Assumptions'!$B$31-(7-'Assumptions'!$B$30))</f>
        <v/>
      </c>
      <c r="I7" s="19">
        <f>8+1+MAX(0,'Assumptions'!$B$31-(8-'Assumptions'!$B$30))</f>
        <v/>
      </c>
      <c r="J7" s="19">
        <f>9+1+MAX(0,'Assumptions'!$B$31-(9-'Assumptions'!$B$30))</f>
        <v/>
      </c>
      <c r="K7" s="19">
        <f>10+1+MAX(0,'Assumptions'!$B$31-(10-'Assumptions'!$B$30))</f>
        <v/>
      </c>
      <c r="L7" s="19">
        <f>11+1+MAX(0,'Assumptions'!$B$31-(11-'Assumptions'!$B$30))</f>
        <v/>
      </c>
      <c r="M7" s="19">
        <f>12+1+MAX(0,'Assumptions'!$B$31-(12-'Assumptions'!$B$30))</f>
        <v/>
      </c>
      <c r="N7" s="19">
        <f>13+1+MAX(0,'Assumptions'!$B$31-(13-'Assumptions'!$B$30))</f>
        <v/>
      </c>
      <c r="O7" s="19">
        <f>14+1+MAX(0,'Assumptions'!$B$31-(14-'Assumptions'!$B$30))</f>
        <v/>
      </c>
      <c r="P7" s="19">
        <f>15+1+MAX(0,'Assumptions'!$B$31-(15-'Assumptions'!$B$30))</f>
        <v/>
      </c>
      <c r="Q7" s="19">
        <f>16+1+MAX(0,'Assumptions'!$B$31-(16-'Assumptions'!$B$30))</f>
        <v/>
      </c>
      <c r="R7" s="19">
        <f>17+1+MAX(0,'Assumptions'!$B$31-(17-'Assumptions'!$B$30))</f>
        <v/>
      </c>
      <c r="S7" s="19">
        <f>18+1+MAX(0,'Assumptions'!$B$31-(18-'Assumptions'!$B$30))</f>
        <v/>
      </c>
      <c r="T7" s="19">
        <f>19+1+MAX(0,'Assumptions'!$B$31-(19-'Assumptions'!$B$30))</f>
        <v/>
      </c>
      <c r="U7" s="19">
        <f>20+1+MAX(0,'Assumptions'!$B$31-(20-'Assumptions'!$B$30))</f>
        <v/>
      </c>
      <c r="V7" s="19">
        <f>21+1+MAX(0,'Assumptions'!$B$31-(21-'Assumptions'!$B$30))</f>
        <v/>
      </c>
      <c r="W7" s="19">
        <f>22+1+MAX(0,'Assumptions'!$B$31-(22-'Assumptions'!$B$30))</f>
        <v/>
      </c>
      <c r="X7" s="19">
        <f>23+1+MAX(0,'Assumptions'!$B$31-(23-'Assumptions'!$B$30))</f>
        <v/>
      </c>
      <c r="Y7" s="19">
        <f>24+1+MAX(0,'Assumptions'!$B$31-(24-'Assumptions'!$B$30))</f>
        <v/>
      </c>
    </row>
    <row r="8">
      <c r="A8" s="8" t="inlineStr">
        <is>
          <t>Collections (held claims release together)</t>
        </is>
      </c>
      <c r="B8" s="4">
        <f>SUMPRODUCT(($B$7:$Y$7=1)*$B$5:$Y$5)</f>
        <v/>
      </c>
      <c r="C8" s="4">
        <f>SUMPRODUCT(($B$7:$Y$7=2)*$B$5:$Y$5)</f>
        <v/>
      </c>
      <c r="D8" s="4">
        <f>SUMPRODUCT(($B$7:$Y$7=3)*$B$5:$Y$5)</f>
        <v/>
      </c>
      <c r="E8" s="4">
        <f>SUMPRODUCT(($B$7:$Y$7=4)*$B$5:$Y$5)</f>
        <v/>
      </c>
      <c r="F8" s="4">
        <f>SUMPRODUCT(($B$7:$Y$7=5)*$B$5:$Y$5)</f>
        <v/>
      </c>
      <c r="G8" s="4">
        <f>SUMPRODUCT(($B$7:$Y$7=6)*$B$5:$Y$5)</f>
        <v/>
      </c>
      <c r="H8" s="4">
        <f>SUMPRODUCT(($B$7:$Y$7=7)*$B$5:$Y$5)</f>
        <v/>
      </c>
      <c r="I8" s="4">
        <f>SUMPRODUCT(($B$7:$Y$7=8)*$B$5:$Y$5)</f>
        <v/>
      </c>
      <c r="J8" s="4">
        <f>SUMPRODUCT(($B$7:$Y$7=9)*$B$5:$Y$5)</f>
        <v/>
      </c>
      <c r="K8" s="4">
        <f>SUMPRODUCT(($B$7:$Y$7=10)*$B$5:$Y$5)</f>
        <v/>
      </c>
      <c r="L8" s="4">
        <f>SUMPRODUCT(($B$7:$Y$7=11)*$B$5:$Y$5)</f>
        <v/>
      </c>
      <c r="M8" s="4">
        <f>SUMPRODUCT(($B$7:$Y$7=12)*$B$5:$Y$5)</f>
        <v/>
      </c>
      <c r="N8" s="4">
        <f>SUMPRODUCT(($B$7:$Y$7=13)*$B$5:$Y$5)</f>
        <v/>
      </c>
      <c r="O8" s="4">
        <f>SUMPRODUCT(($B$7:$Y$7=14)*$B$5:$Y$5)</f>
        <v/>
      </c>
      <c r="P8" s="4">
        <f>SUMPRODUCT(($B$7:$Y$7=15)*$B$5:$Y$5)</f>
        <v/>
      </c>
      <c r="Q8" s="4">
        <f>SUMPRODUCT(($B$7:$Y$7=16)*$B$5:$Y$5)</f>
        <v/>
      </c>
      <c r="R8" s="4">
        <f>SUMPRODUCT(($B$7:$Y$7=17)*$B$5:$Y$5)</f>
        <v/>
      </c>
      <c r="S8" s="4">
        <f>SUMPRODUCT(($B$7:$Y$7=18)*$B$5:$Y$5)</f>
        <v/>
      </c>
      <c r="T8" s="4">
        <f>SUMPRODUCT(($B$7:$Y$7=19)*$B$5:$Y$5)</f>
        <v/>
      </c>
      <c r="U8" s="4">
        <f>SUMPRODUCT(($B$7:$Y$7=20)*$B$5:$Y$5)</f>
        <v/>
      </c>
      <c r="V8" s="4">
        <f>SUMPRODUCT(($B$7:$Y$7=21)*$B$5:$Y$5)</f>
        <v/>
      </c>
      <c r="W8" s="4">
        <f>SUMPRODUCT(($B$7:$Y$7=22)*$B$5:$Y$5)</f>
        <v/>
      </c>
      <c r="X8" s="4">
        <f>SUMPRODUCT(($B$7:$Y$7=23)*$B$5:$Y$5)</f>
        <v/>
      </c>
      <c r="Y8" s="4">
        <f>SUMPRODUCT(($B$7:$Y$7=24)*$B$5:$Y$5)</f>
        <v/>
      </c>
    </row>
    <row r="9">
      <c r="A9" s="8" t="inlineStr">
        <is>
          <t>Overhead (pre-clearance burn, then full fixed)</t>
        </is>
      </c>
      <c r="B9" s="4">
        <f>-IF(1&lt;'Assumptions'!$B$30,'Assumptions'!$B$32,'Assumptions'!$B$7)</f>
        <v/>
      </c>
      <c r="C9" s="4">
        <f>-IF(2&lt;'Assumptions'!$B$30,'Assumptions'!$B$32,'Assumptions'!$B$7)</f>
        <v/>
      </c>
      <c r="D9" s="4">
        <f>-IF(3&lt;'Assumptions'!$B$30,'Assumptions'!$B$32,'Assumptions'!$B$7)</f>
        <v/>
      </c>
      <c r="E9" s="4">
        <f>-IF(4&lt;'Assumptions'!$B$30,'Assumptions'!$B$32,'Assumptions'!$B$7)</f>
        <v/>
      </c>
      <c r="F9" s="4">
        <f>-IF(5&lt;'Assumptions'!$B$30,'Assumptions'!$B$32,'Assumptions'!$B$7)</f>
        <v/>
      </c>
      <c r="G9" s="4">
        <f>-IF(6&lt;'Assumptions'!$B$30,'Assumptions'!$B$32,'Assumptions'!$B$7)</f>
        <v/>
      </c>
      <c r="H9" s="4">
        <f>-IF(7&lt;'Assumptions'!$B$30,'Assumptions'!$B$32,'Assumptions'!$B$7)</f>
        <v/>
      </c>
      <c r="I9" s="4">
        <f>-IF(8&lt;'Assumptions'!$B$30,'Assumptions'!$B$32,'Assumptions'!$B$7)</f>
        <v/>
      </c>
      <c r="J9" s="4">
        <f>-IF(9&lt;'Assumptions'!$B$30,'Assumptions'!$B$32,'Assumptions'!$B$7)</f>
        <v/>
      </c>
      <c r="K9" s="4">
        <f>-IF(10&lt;'Assumptions'!$B$30,'Assumptions'!$B$32,'Assumptions'!$B$7)</f>
        <v/>
      </c>
      <c r="L9" s="4">
        <f>-IF(11&lt;'Assumptions'!$B$30,'Assumptions'!$B$32,'Assumptions'!$B$7)</f>
        <v/>
      </c>
      <c r="M9" s="4">
        <f>-IF(12&lt;'Assumptions'!$B$30,'Assumptions'!$B$32,'Assumptions'!$B$7)</f>
        <v/>
      </c>
      <c r="N9" s="4">
        <f>-IF(13&lt;'Assumptions'!$B$30,'Assumptions'!$B$32,'Assumptions'!$B$7)</f>
        <v/>
      </c>
      <c r="O9" s="4">
        <f>-IF(14&lt;'Assumptions'!$B$30,'Assumptions'!$B$32,'Assumptions'!$B$7)</f>
        <v/>
      </c>
      <c r="P9" s="4">
        <f>-IF(15&lt;'Assumptions'!$B$30,'Assumptions'!$B$32,'Assumptions'!$B$7)</f>
        <v/>
      </c>
      <c r="Q9" s="4">
        <f>-IF(16&lt;'Assumptions'!$B$30,'Assumptions'!$B$32,'Assumptions'!$B$7)</f>
        <v/>
      </c>
      <c r="R9" s="4">
        <f>-IF(17&lt;'Assumptions'!$B$30,'Assumptions'!$B$32,'Assumptions'!$B$7)</f>
        <v/>
      </c>
      <c r="S9" s="4">
        <f>-IF(18&lt;'Assumptions'!$B$30,'Assumptions'!$B$32,'Assumptions'!$B$7)</f>
        <v/>
      </c>
      <c r="T9" s="4">
        <f>-IF(19&lt;'Assumptions'!$B$30,'Assumptions'!$B$32,'Assumptions'!$B$7)</f>
        <v/>
      </c>
      <c r="U9" s="4">
        <f>-IF(20&lt;'Assumptions'!$B$30,'Assumptions'!$B$32,'Assumptions'!$B$7)</f>
        <v/>
      </c>
      <c r="V9" s="4">
        <f>-IF(21&lt;'Assumptions'!$B$30,'Assumptions'!$B$32,'Assumptions'!$B$7)</f>
        <v/>
      </c>
      <c r="W9" s="4">
        <f>-IF(22&lt;'Assumptions'!$B$30,'Assumptions'!$B$32,'Assumptions'!$B$7)</f>
        <v/>
      </c>
      <c r="X9" s="4">
        <f>-IF(23&lt;'Assumptions'!$B$30,'Assumptions'!$B$32,'Assumptions'!$B$7)</f>
        <v/>
      </c>
      <c r="Y9" s="4">
        <f>-IF(24&lt;'Assumptions'!$B$30,'Assumptions'!$B$32,'Assumptions'!$B$7)</f>
        <v/>
      </c>
    </row>
    <row r="10">
      <c r="A10" s="8" t="inlineStr">
        <is>
          <t>Seller payments (anchor = PPEO clear = clearance + hold)</t>
        </is>
      </c>
      <c r="B10" s="4">
        <f>-IF(1=('Assumptions'!$B$30+'Assumptions'!$B$31),'Assumptions'!$B$33,0)-IF(1=('Assumptions'!$B$30+'Assumptions'!$B$31)+6,'Assumptions'!$B$34,0)-IF(AND(1&gt;=('Assumptions'!$B$30+'Assumptions'!$B$31)+7,1&lt;=('Assumptions'!$B$30+'Assumptions'!$B$31)+24),'Assumptions'!$B$35,0)</f>
        <v/>
      </c>
      <c r="C10" s="4">
        <f>-IF(2=('Assumptions'!$B$30+'Assumptions'!$B$31),'Assumptions'!$B$33,0)-IF(2=('Assumptions'!$B$30+'Assumptions'!$B$31)+6,'Assumptions'!$B$34,0)-IF(AND(2&gt;=('Assumptions'!$B$30+'Assumptions'!$B$31)+7,2&lt;=('Assumptions'!$B$30+'Assumptions'!$B$31)+24),'Assumptions'!$B$35,0)</f>
        <v/>
      </c>
      <c r="D10" s="4">
        <f>-IF(3=('Assumptions'!$B$30+'Assumptions'!$B$31),'Assumptions'!$B$33,0)-IF(3=('Assumptions'!$B$30+'Assumptions'!$B$31)+6,'Assumptions'!$B$34,0)-IF(AND(3&gt;=('Assumptions'!$B$30+'Assumptions'!$B$31)+7,3&lt;=('Assumptions'!$B$30+'Assumptions'!$B$31)+24),'Assumptions'!$B$35,0)</f>
        <v/>
      </c>
      <c r="E10" s="4">
        <f>-IF(4=('Assumptions'!$B$30+'Assumptions'!$B$31),'Assumptions'!$B$33,0)-IF(4=('Assumptions'!$B$30+'Assumptions'!$B$31)+6,'Assumptions'!$B$34,0)-IF(AND(4&gt;=('Assumptions'!$B$30+'Assumptions'!$B$31)+7,4&lt;=('Assumptions'!$B$30+'Assumptions'!$B$31)+24),'Assumptions'!$B$35,0)</f>
        <v/>
      </c>
      <c r="F10" s="4">
        <f>-IF(5=('Assumptions'!$B$30+'Assumptions'!$B$31),'Assumptions'!$B$33,0)-IF(5=('Assumptions'!$B$30+'Assumptions'!$B$31)+6,'Assumptions'!$B$34,0)-IF(AND(5&gt;=('Assumptions'!$B$30+'Assumptions'!$B$31)+7,5&lt;=('Assumptions'!$B$30+'Assumptions'!$B$31)+24),'Assumptions'!$B$35,0)</f>
        <v/>
      </c>
      <c r="G10" s="4">
        <f>-IF(6=('Assumptions'!$B$30+'Assumptions'!$B$31),'Assumptions'!$B$33,0)-IF(6=('Assumptions'!$B$30+'Assumptions'!$B$31)+6,'Assumptions'!$B$34,0)-IF(AND(6&gt;=('Assumptions'!$B$30+'Assumptions'!$B$31)+7,6&lt;=('Assumptions'!$B$30+'Assumptions'!$B$31)+24),'Assumptions'!$B$35,0)</f>
        <v/>
      </c>
      <c r="H10" s="4">
        <f>-IF(7=('Assumptions'!$B$30+'Assumptions'!$B$31),'Assumptions'!$B$33,0)-IF(7=('Assumptions'!$B$30+'Assumptions'!$B$31)+6,'Assumptions'!$B$34,0)-IF(AND(7&gt;=('Assumptions'!$B$30+'Assumptions'!$B$31)+7,7&lt;=('Assumptions'!$B$30+'Assumptions'!$B$31)+24),'Assumptions'!$B$35,0)</f>
        <v/>
      </c>
      <c r="I10" s="4">
        <f>-IF(8=('Assumptions'!$B$30+'Assumptions'!$B$31),'Assumptions'!$B$33,0)-IF(8=('Assumptions'!$B$30+'Assumptions'!$B$31)+6,'Assumptions'!$B$34,0)-IF(AND(8&gt;=('Assumptions'!$B$30+'Assumptions'!$B$31)+7,8&lt;=('Assumptions'!$B$30+'Assumptions'!$B$31)+24),'Assumptions'!$B$35,0)</f>
        <v/>
      </c>
      <c r="J10" s="4">
        <f>-IF(9=('Assumptions'!$B$30+'Assumptions'!$B$31),'Assumptions'!$B$33,0)-IF(9=('Assumptions'!$B$30+'Assumptions'!$B$31)+6,'Assumptions'!$B$34,0)-IF(AND(9&gt;=('Assumptions'!$B$30+'Assumptions'!$B$31)+7,9&lt;=('Assumptions'!$B$30+'Assumptions'!$B$31)+24),'Assumptions'!$B$35,0)</f>
        <v/>
      </c>
      <c r="K10" s="4">
        <f>-IF(10=('Assumptions'!$B$30+'Assumptions'!$B$31),'Assumptions'!$B$33,0)-IF(10=('Assumptions'!$B$30+'Assumptions'!$B$31)+6,'Assumptions'!$B$34,0)-IF(AND(10&gt;=('Assumptions'!$B$30+'Assumptions'!$B$31)+7,10&lt;=('Assumptions'!$B$30+'Assumptions'!$B$31)+24),'Assumptions'!$B$35,0)</f>
        <v/>
      </c>
      <c r="L10" s="4">
        <f>-IF(11=('Assumptions'!$B$30+'Assumptions'!$B$31),'Assumptions'!$B$33,0)-IF(11=('Assumptions'!$B$30+'Assumptions'!$B$31)+6,'Assumptions'!$B$34,0)-IF(AND(11&gt;=('Assumptions'!$B$30+'Assumptions'!$B$31)+7,11&lt;=('Assumptions'!$B$30+'Assumptions'!$B$31)+24),'Assumptions'!$B$35,0)</f>
        <v/>
      </c>
      <c r="M10" s="4">
        <f>-IF(12=('Assumptions'!$B$30+'Assumptions'!$B$31),'Assumptions'!$B$33,0)-IF(12=('Assumptions'!$B$30+'Assumptions'!$B$31)+6,'Assumptions'!$B$34,0)-IF(AND(12&gt;=('Assumptions'!$B$30+'Assumptions'!$B$31)+7,12&lt;=('Assumptions'!$B$30+'Assumptions'!$B$31)+24),'Assumptions'!$B$35,0)</f>
        <v/>
      </c>
      <c r="N10" s="4">
        <f>-IF(13=('Assumptions'!$B$30+'Assumptions'!$B$31),'Assumptions'!$B$33,0)-IF(13=('Assumptions'!$B$30+'Assumptions'!$B$31)+6,'Assumptions'!$B$34,0)-IF(AND(13&gt;=('Assumptions'!$B$30+'Assumptions'!$B$31)+7,13&lt;=('Assumptions'!$B$30+'Assumptions'!$B$31)+24),'Assumptions'!$B$35,0)</f>
        <v/>
      </c>
      <c r="O10" s="4">
        <f>-IF(14=('Assumptions'!$B$30+'Assumptions'!$B$31),'Assumptions'!$B$33,0)-IF(14=('Assumptions'!$B$30+'Assumptions'!$B$31)+6,'Assumptions'!$B$34,0)-IF(AND(14&gt;=('Assumptions'!$B$30+'Assumptions'!$B$31)+7,14&lt;=('Assumptions'!$B$30+'Assumptions'!$B$31)+24),'Assumptions'!$B$35,0)</f>
        <v/>
      </c>
      <c r="P10" s="4">
        <f>-IF(15=('Assumptions'!$B$30+'Assumptions'!$B$31),'Assumptions'!$B$33,0)-IF(15=('Assumptions'!$B$30+'Assumptions'!$B$31)+6,'Assumptions'!$B$34,0)-IF(AND(15&gt;=('Assumptions'!$B$30+'Assumptions'!$B$31)+7,15&lt;=('Assumptions'!$B$30+'Assumptions'!$B$31)+24),'Assumptions'!$B$35,0)</f>
        <v/>
      </c>
      <c r="Q10" s="4">
        <f>-IF(16=('Assumptions'!$B$30+'Assumptions'!$B$31),'Assumptions'!$B$33,0)-IF(16=('Assumptions'!$B$30+'Assumptions'!$B$31)+6,'Assumptions'!$B$34,0)-IF(AND(16&gt;=('Assumptions'!$B$30+'Assumptions'!$B$31)+7,16&lt;=('Assumptions'!$B$30+'Assumptions'!$B$31)+24),'Assumptions'!$B$35,0)</f>
        <v/>
      </c>
      <c r="R10" s="4">
        <f>-IF(17=('Assumptions'!$B$30+'Assumptions'!$B$31),'Assumptions'!$B$33,0)-IF(17=('Assumptions'!$B$30+'Assumptions'!$B$31)+6,'Assumptions'!$B$34,0)-IF(AND(17&gt;=('Assumptions'!$B$30+'Assumptions'!$B$31)+7,17&lt;=('Assumptions'!$B$30+'Assumptions'!$B$31)+24),'Assumptions'!$B$35,0)</f>
        <v/>
      </c>
      <c r="S10" s="4">
        <f>-IF(18=('Assumptions'!$B$30+'Assumptions'!$B$31),'Assumptions'!$B$33,0)-IF(18=('Assumptions'!$B$30+'Assumptions'!$B$31)+6,'Assumptions'!$B$34,0)-IF(AND(18&gt;=('Assumptions'!$B$30+'Assumptions'!$B$31)+7,18&lt;=('Assumptions'!$B$30+'Assumptions'!$B$31)+24),'Assumptions'!$B$35,0)</f>
        <v/>
      </c>
      <c r="T10" s="4">
        <f>-IF(19=('Assumptions'!$B$30+'Assumptions'!$B$31),'Assumptions'!$B$33,0)-IF(19=('Assumptions'!$B$30+'Assumptions'!$B$31)+6,'Assumptions'!$B$34,0)-IF(AND(19&gt;=('Assumptions'!$B$30+'Assumptions'!$B$31)+7,19&lt;=('Assumptions'!$B$30+'Assumptions'!$B$31)+24),'Assumptions'!$B$35,0)</f>
        <v/>
      </c>
      <c r="U10" s="4">
        <f>-IF(20=('Assumptions'!$B$30+'Assumptions'!$B$31),'Assumptions'!$B$33,0)-IF(20=('Assumptions'!$B$30+'Assumptions'!$B$31)+6,'Assumptions'!$B$34,0)-IF(AND(20&gt;=('Assumptions'!$B$30+'Assumptions'!$B$31)+7,20&lt;=('Assumptions'!$B$30+'Assumptions'!$B$31)+24),'Assumptions'!$B$35,0)</f>
        <v/>
      </c>
      <c r="V10" s="4">
        <f>-IF(21=('Assumptions'!$B$30+'Assumptions'!$B$31),'Assumptions'!$B$33,0)-IF(21=('Assumptions'!$B$30+'Assumptions'!$B$31)+6,'Assumptions'!$B$34,0)-IF(AND(21&gt;=('Assumptions'!$B$30+'Assumptions'!$B$31)+7,21&lt;=('Assumptions'!$B$30+'Assumptions'!$B$31)+24),'Assumptions'!$B$35,0)</f>
        <v/>
      </c>
      <c r="W10" s="4">
        <f>-IF(22=('Assumptions'!$B$30+'Assumptions'!$B$31),'Assumptions'!$B$33,0)-IF(22=('Assumptions'!$B$30+'Assumptions'!$B$31)+6,'Assumptions'!$B$34,0)-IF(AND(22&gt;=('Assumptions'!$B$30+'Assumptions'!$B$31)+7,22&lt;=('Assumptions'!$B$30+'Assumptions'!$B$31)+24),'Assumptions'!$B$35,0)</f>
        <v/>
      </c>
      <c r="X10" s="4">
        <f>-IF(23=('Assumptions'!$B$30+'Assumptions'!$B$31),'Assumptions'!$B$33,0)-IF(23=('Assumptions'!$B$30+'Assumptions'!$B$31)+6,'Assumptions'!$B$34,0)-IF(AND(23&gt;=('Assumptions'!$B$30+'Assumptions'!$B$31)+7,23&lt;=('Assumptions'!$B$30+'Assumptions'!$B$31)+24),'Assumptions'!$B$35,0)</f>
        <v/>
      </c>
      <c r="Y10" s="4">
        <f>-IF(24=('Assumptions'!$B$30+'Assumptions'!$B$31),'Assumptions'!$B$33,0)-IF(24=('Assumptions'!$B$30+'Assumptions'!$B$31)+6,'Assumptions'!$B$34,0)-IF(AND(24&gt;=('Assumptions'!$B$30+'Assumptions'!$B$31)+7,24&lt;=('Assumptions'!$B$30+'Assumptions'!$B$31)+24),'Assumptions'!$B$35,0)</f>
        <v/>
      </c>
    </row>
    <row r="11">
      <c r="A11" s="3" t="inlineStr">
        <is>
          <t>NET CASH FLOW</t>
        </is>
      </c>
      <c r="B11" s="16">
        <f>B8+B6+B9+B10</f>
        <v/>
      </c>
      <c r="C11" s="16">
        <f>C8+C6+C9+C10</f>
        <v/>
      </c>
      <c r="D11" s="16">
        <f>D8+D6+D9+D10</f>
        <v/>
      </c>
      <c r="E11" s="16">
        <f>E8+E6+E9+E10</f>
        <v/>
      </c>
      <c r="F11" s="16">
        <f>F8+F6+F9+F10</f>
        <v/>
      </c>
      <c r="G11" s="16">
        <f>G8+G6+G9+G10</f>
        <v/>
      </c>
      <c r="H11" s="16">
        <f>H8+H6+H9+H10</f>
        <v/>
      </c>
      <c r="I11" s="16">
        <f>I8+I6+I9+I10</f>
        <v/>
      </c>
      <c r="J11" s="16">
        <f>J8+J6+J9+J10</f>
        <v/>
      </c>
      <c r="K11" s="16">
        <f>K8+K6+K9+K10</f>
        <v/>
      </c>
      <c r="L11" s="16">
        <f>L8+L6+L9+L10</f>
        <v/>
      </c>
      <c r="M11" s="16">
        <f>M8+M6+M9+M10</f>
        <v/>
      </c>
      <c r="N11" s="16">
        <f>N8+N6+N9+N10</f>
        <v/>
      </c>
      <c r="O11" s="16">
        <f>O8+O6+O9+O10</f>
        <v/>
      </c>
      <c r="P11" s="16">
        <f>P8+P6+P9+P10</f>
        <v/>
      </c>
      <c r="Q11" s="16">
        <f>Q8+Q6+Q9+Q10</f>
        <v/>
      </c>
      <c r="R11" s="16">
        <f>R8+R6+R9+R10</f>
        <v/>
      </c>
      <c r="S11" s="16">
        <f>S8+S6+S9+S10</f>
        <v/>
      </c>
      <c r="T11" s="16">
        <f>T8+T6+T9+T10</f>
        <v/>
      </c>
      <c r="U11" s="16">
        <f>U8+U6+U9+U10</f>
        <v/>
      </c>
      <c r="V11" s="16">
        <f>V8+V6+V9+V10</f>
        <v/>
      </c>
      <c r="W11" s="16">
        <f>W8+W6+W9+W10</f>
        <v/>
      </c>
      <c r="X11" s="16">
        <f>X8+X6+X9+X10</f>
        <v/>
      </c>
      <c r="Y11" s="16">
        <f>Y8+Y6+Y9+Y10</f>
        <v/>
      </c>
    </row>
    <row r="12">
      <c r="A12" s="3" t="inlineStr">
        <is>
          <t>Cumulative cash (no equity assumed)</t>
        </is>
      </c>
      <c r="B12" s="17">
        <f>B11</f>
        <v/>
      </c>
      <c r="C12" s="17">
        <f>B12+C11</f>
        <v/>
      </c>
      <c r="D12" s="17">
        <f>C12+D11</f>
        <v/>
      </c>
      <c r="E12" s="17">
        <f>D12+E11</f>
        <v/>
      </c>
      <c r="F12" s="17">
        <f>E12+F11</f>
        <v/>
      </c>
      <c r="G12" s="17">
        <f>F12+G11</f>
        <v/>
      </c>
      <c r="H12" s="17">
        <f>G12+H11</f>
        <v/>
      </c>
      <c r="I12" s="17">
        <f>H12+I11</f>
        <v/>
      </c>
      <c r="J12" s="17">
        <f>I12+J11</f>
        <v/>
      </c>
      <c r="K12" s="17">
        <f>J12+K11</f>
        <v/>
      </c>
      <c r="L12" s="17">
        <f>K12+L11</f>
        <v/>
      </c>
      <c r="M12" s="17">
        <f>L12+M11</f>
        <v/>
      </c>
      <c r="N12" s="17">
        <f>M12+N11</f>
        <v/>
      </c>
      <c r="O12" s="17">
        <f>N12+O11</f>
        <v/>
      </c>
      <c r="P12" s="17">
        <f>O12+P11</f>
        <v/>
      </c>
      <c r="Q12" s="17">
        <f>P12+Q11</f>
        <v/>
      </c>
      <c r="R12" s="17">
        <f>Q12+R11</f>
        <v/>
      </c>
      <c r="S12" s="17">
        <f>R12+S11</f>
        <v/>
      </c>
      <c r="T12" s="17">
        <f>S12+T11</f>
        <v/>
      </c>
      <c r="U12" s="17">
        <f>T12+U11</f>
        <v/>
      </c>
      <c r="V12" s="17">
        <f>U12+V11</f>
        <v/>
      </c>
      <c r="W12" s="17">
        <f>V12+W11</f>
        <v/>
      </c>
      <c r="X12" s="17">
        <f>W12+X11</f>
        <v/>
      </c>
      <c r="Y12" s="17">
        <f>X12+Y11</f>
        <v/>
      </c>
    </row>
    <row r="13">
      <c r="A13" s="3" t="inlineStr">
        <is>
          <t>PEAK FUNDING NEED (max cumulative deficit)</t>
        </is>
      </c>
      <c r="B13" s="18">
        <f>MAX(0,-MIN($B$12:$Y$12))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Y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T4a Refuge+Jason - COMBO: 5-patient PPEO seed on the owned license, growth census on Jason's number; admissions shift to the owned license at PPEO clear; Jason fee ends after shift.</t>
        </is>
      </c>
    </row>
    <row r="3">
      <c r="B3" s="14" t="inlineStr">
        <is>
          <t>Aug-26</t>
        </is>
      </c>
      <c r="C3" s="14" t="inlineStr">
        <is>
          <t>Sep-26</t>
        </is>
      </c>
      <c r="D3" s="14" t="inlineStr">
        <is>
          <t>Oct-26</t>
        </is>
      </c>
      <c r="E3" s="14" t="inlineStr">
        <is>
          <t>Nov-26</t>
        </is>
      </c>
      <c r="F3" s="14" t="inlineStr">
        <is>
          <t>Dec-26</t>
        </is>
      </c>
      <c r="G3" s="14" t="inlineStr">
        <is>
          <t>Jan-27</t>
        </is>
      </c>
      <c r="H3" s="14" t="inlineStr">
        <is>
          <t>Feb-27</t>
        </is>
      </c>
      <c r="I3" s="14" t="inlineStr">
        <is>
          <t>Mar-27</t>
        </is>
      </c>
      <c r="J3" s="14" t="inlineStr">
        <is>
          <t>Apr-27</t>
        </is>
      </c>
      <c r="K3" s="14" t="inlineStr">
        <is>
          <t>May-27</t>
        </is>
      </c>
      <c r="L3" s="14" t="inlineStr">
        <is>
          <t>Jun-27</t>
        </is>
      </c>
      <c r="M3" s="14" t="inlineStr">
        <is>
          <t>Jul-27</t>
        </is>
      </c>
      <c r="N3" s="14" t="inlineStr">
        <is>
          <t>Aug-27</t>
        </is>
      </c>
      <c r="O3" s="14" t="inlineStr">
        <is>
          <t>Sep-27</t>
        </is>
      </c>
      <c r="P3" s="14" t="inlineStr">
        <is>
          <t>Oct-27</t>
        </is>
      </c>
      <c r="Q3" s="14" t="inlineStr">
        <is>
          <t>Nov-27</t>
        </is>
      </c>
      <c r="R3" s="14" t="inlineStr">
        <is>
          <t>Dec-27</t>
        </is>
      </c>
      <c r="S3" s="14" t="inlineStr">
        <is>
          <t>Jan-28</t>
        </is>
      </c>
      <c r="T3" s="14" t="inlineStr">
        <is>
          <t>Feb-28</t>
        </is>
      </c>
      <c r="U3" s="14" t="inlineStr">
        <is>
          <t>Mar-28</t>
        </is>
      </c>
      <c r="V3" s="14" t="inlineStr">
        <is>
          <t>Apr-28</t>
        </is>
      </c>
      <c r="W3" s="14" t="inlineStr">
        <is>
          <t>May-28</t>
        </is>
      </c>
      <c r="X3" s="14" t="inlineStr">
        <is>
          <t>Jun-28</t>
        </is>
      </c>
      <c r="Y3" s="14" t="inlineStr">
        <is>
          <t>Jul-28</t>
        </is>
      </c>
    </row>
    <row r="4">
      <c r="A4" s="8" t="inlineStr">
        <is>
          <t>Owned-license ADC (seed until clear, then full book)</t>
        </is>
      </c>
      <c r="B4" s="15">
        <f>IF(1&lt;1,0,IF(1&lt;=(1+'Assumptions'!$B$19),'Assumptions'!$B$38,Assumptions!B13))</f>
        <v/>
      </c>
      <c r="C4" s="15">
        <f>IF(2&lt;1,0,IF(2&lt;=(1+'Assumptions'!$B$19),'Assumptions'!$B$38,Assumptions!C13))</f>
        <v/>
      </c>
      <c r="D4" s="15">
        <f>IF(3&lt;1,0,IF(3&lt;=(1+'Assumptions'!$B$19),'Assumptions'!$B$38,Assumptions!D13))</f>
        <v/>
      </c>
      <c r="E4" s="15">
        <f>IF(4&lt;1,0,IF(4&lt;=(1+'Assumptions'!$B$19),'Assumptions'!$B$38,Assumptions!E13))</f>
        <v/>
      </c>
      <c r="F4" s="15">
        <f>IF(5&lt;1,0,IF(5&lt;=(1+'Assumptions'!$B$19),'Assumptions'!$B$38,Assumptions!F13))</f>
        <v/>
      </c>
      <c r="G4" s="15">
        <f>IF(6&lt;1,0,IF(6&lt;=(1+'Assumptions'!$B$19),'Assumptions'!$B$38,Assumptions!G13))</f>
        <v/>
      </c>
      <c r="H4" s="15">
        <f>IF(7&lt;1,0,IF(7&lt;=(1+'Assumptions'!$B$19),'Assumptions'!$B$38,Assumptions!H13))</f>
        <v/>
      </c>
      <c r="I4" s="15">
        <f>IF(8&lt;1,0,IF(8&lt;=(1+'Assumptions'!$B$19),'Assumptions'!$B$38,Assumptions!I13))</f>
        <v/>
      </c>
      <c r="J4" s="15">
        <f>IF(9&lt;1,0,IF(9&lt;=(1+'Assumptions'!$B$19),'Assumptions'!$B$38,Assumptions!J13))</f>
        <v/>
      </c>
      <c r="K4" s="15">
        <f>IF(10&lt;1,0,IF(10&lt;=(1+'Assumptions'!$B$19),'Assumptions'!$B$38,Assumptions!K13))</f>
        <v/>
      </c>
      <c r="L4" s="15">
        <f>IF(11&lt;1,0,IF(11&lt;=(1+'Assumptions'!$B$19),'Assumptions'!$B$38,Assumptions!L13))</f>
        <v/>
      </c>
      <c r="M4" s="15">
        <f>IF(12&lt;1,0,IF(12&lt;=(1+'Assumptions'!$B$19),'Assumptions'!$B$38,Assumptions!M13))</f>
        <v/>
      </c>
      <c r="N4" s="15">
        <f>IF(13&lt;1,0,IF(13&lt;=(1+'Assumptions'!$B$19),'Assumptions'!$B$38,Assumptions!N13))</f>
        <v/>
      </c>
      <c r="O4" s="15">
        <f>IF(14&lt;1,0,IF(14&lt;=(1+'Assumptions'!$B$19),'Assumptions'!$B$38,Assumptions!O13))</f>
        <v/>
      </c>
      <c r="P4" s="15">
        <f>IF(15&lt;1,0,IF(15&lt;=(1+'Assumptions'!$B$19),'Assumptions'!$B$38,Assumptions!P13))</f>
        <v/>
      </c>
      <c r="Q4" s="15">
        <f>IF(16&lt;1,0,IF(16&lt;=(1+'Assumptions'!$B$19),'Assumptions'!$B$38,Assumptions!Q13))</f>
        <v/>
      </c>
      <c r="R4" s="15">
        <f>IF(17&lt;1,0,IF(17&lt;=(1+'Assumptions'!$B$19),'Assumptions'!$B$38,Assumptions!R13))</f>
        <v/>
      </c>
      <c r="S4" s="15">
        <f>IF(18&lt;1,0,IF(18&lt;=(1+'Assumptions'!$B$19),'Assumptions'!$B$38,Assumptions!S13))</f>
        <v/>
      </c>
      <c r="T4" s="15">
        <f>IF(19&lt;1,0,IF(19&lt;=(1+'Assumptions'!$B$19),'Assumptions'!$B$38,Assumptions!T13))</f>
        <v/>
      </c>
      <c r="U4" s="15">
        <f>IF(20&lt;1,0,IF(20&lt;=(1+'Assumptions'!$B$19),'Assumptions'!$B$38,Assumptions!U13))</f>
        <v/>
      </c>
      <c r="V4" s="15">
        <f>IF(21&lt;1,0,IF(21&lt;=(1+'Assumptions'!$B$19),'Assumptions'!$B$38,Assumptions!V13))</f>
        <v/>
      </c>
      <c r="W4" s="15">
        <f>IF(22&lt;1,0,IF(22&lt;=(1+'Assumptions'!$B$19),'Assumptions'!$B$38,Assumptions!W13))</f>
        <v/>
      </c>
      <c r="X4" s="15">
        <f>IF(23&lt;1,0,IF(23&lt;=(1+'Assumptions'!$B$19),'Assumptions'!$B$38,Assumptions!X13))</f>
        <v/>
      </c>
      <c r="Y4" s="15">
        <f>IF(24&lt;1,0,IF(24&lt;=(1+'Assumptions'!$B$19),'Assumptions'!$B$38,Assumptions!Y13))</f>
        <v/>
      </c>
    </row>
    <row r="5">
      <c r="A5" s="8" t="inlineStr">
        <is>
          <t>Jason ADC (total book minus owned)</t>
        </is>
      </c>
      <c r="B5" s="15">
        <f>MAX(0,Assumptions!B13-B4)</f>
        <v/>
      </c>
      <c r="C5" s="15">
        <f>MAX(0,Assumptions!C13-C4)</f>
        <v/>
      </c>
      <c r="D5" s="15">
        <f>MAX(0,Assumptions!D13-D4)</f>
        <v/>
      </c>
      <c r="E5" s="15">
        <f>MAX(0,Assumptions!E13-E4)</f>
        <v/>
      </c>
      <c r="F5" s="15">
        <f>MAX(0,Assumptions!F13-F4)</f>
        <v/>
      </c>
      <c r="G5" s="15">
        <f>MAX(0,Assumptions!G13-G4)</f>
        <v/>
      </c>
      <c r="H5" s="15">
        <f>MAX(0,Assumptions!H13-H4)</f>
        <v/>
      </c>
      <c r="I5" s="15">
        <f>MAX(0,Assumptions!I13-I4)</f>
        <v/>
      </c>
      <c r="J5" s="15">
        <f>MAX(0,Assumptions!J13-J4)</f>
        <v/>
      </c>
      <c r="K5" s="15">
        <f>MAX(0,Assumptions!K13-K4)</f>
        <v/>
      </c>
      <c r="L5" s="15">
        <f>MAX(0,Assumptions!L13-L4)</f>
        <v/>
      </c>
      <c r="M5" s="15">
        <f>MAX(0,Assumptions!M13-M4)</f>
        <v/>
      </c>
      <c r="N5" s="15">
        <f>MAX(0,Assumptions!N13-N4)</f>
        <v/>
      </c>
      <c r="O5" s="15">
        <f>MAX(0,Assumptions!O13-O4)</f>
        <v/>
      </c>
      <c r="P5" s="15">
        <f>MAX(0,Assumptions!P13-P4)</f>
        <v/>
      </c>
      <c r="Q5" s="15">
        <f>MAX(0,Assumptions!Q13-Q4)</f>
        <v/>
      </c>
      <c r="R5" s="15">
        <f>MAX(0,Assumptions!R13-R4)</f>
        <v/>
      </c>
      <c r="S5" s="15">
        <f>MAX(0,Assumptions!S13-S4)</f>
        <v/>
      </c>
      <c r="T5" s="15">
        <f>MAX(0,Assumptions!T13-T4)</f>
        <v/>
      </c>
      <c r="U5" s="15">
        <f>MAX(0,Assumptions!U13-U4)</f>
        <v/>
      </c>
      <c r="V5" s="15">
        <f>MAX(0,Assumptions!V13-V4)</f>
        <v/>
      </c>
      <c r="W5" s="15">
        <f>MAX(0,Assumptions!W13-W4)</f>
        <v/>
      </c>
      <c r="X5" s="15">
        <f>MAX(0,Assumptions!X13-X4)</f>
        <v/>
      </c>
      <c r="Y5" s="15">
        <f>MAX(0,Assumptions!Y13-Y4)</f>
        <v/>
      </c>
    </row>
    <row r="6">
      <c r="A6" s="8" t="inlineStr">
        <is>
          <t>Revenue earned - owned license</t>
        </is>
      </c>
      <c r="B6" s="4">
        <f>B4*'Assumptions'!$B$4*'Assumptions'!$B$5</f>
        <v/>
      </c>
      <c r="C6" s="4">
        <f>C4*'Assumptions'!$B$4*'Assumptions'!$B$5</f>
        <v/>
      </c>
      <c r="D6" s="4">
        <f>D4*'Assumptions'!$B$4*'Assumptions'!$B$5</f>
        <v/>
      </c>
      <c r="E6" s="4">
        <f>E4*'Assumptions'!$B$4*'Assumptions'!$B$5</f>
        <v/>
      </c>
      <c r="F6" s="4">
        <f>F4*'Assumptions'!$B$4*'Assumptions'!$B$5</f>
        <v/>
      </c>
      <c r="G6" s="4">
        <f>G4*'Assumptions'!$B$4*'Assumptions'!$B$5</f>
        <v/>
      </c>
      <c r="H6" s="4">
        <f>H4*'Assumptions'!$B$4*'Assumptions'!$B$5</f>
        <v/>
      </c>
      <c r="I6" s="4">
        <f>I4*'Assumptions'!$B$4*'Assumptions'!$B$5</f>
        <v/>
      </c>
      <c r="J6" s="4">
        <f>J4*'Assumptions'!$B$4*'Assumptions'!$B$5</f>
        <v/>
      </c>
      <c r="K6" s="4">
        <f>K4*'Assumptions'!$B$4*'Assumptions'!$B$5</f>
        <v/>
      </c>
      <c r="L6" s="4">
        <f>L4*'Assumptions'!$B$4*'Assumptions'!$B$5</f>
        <v/>
      </c>
      <c r="M6" s="4">
        <f>M4*'Assumptions'!$B$4*'Assumptions'!$B$5</f>
        <v/>
      </c>
      <c r="N6" s="4">
        <f>N4*'Assumptions'!$B$4*'Assumptions'!$B$5</f>
        <v/>
      </c>
      <c r="O6" s="4">
        <f>O4*'Assumptions'!$B$4*'Assumptions'!$B$5</f>
        <v/>
      </c>
      <c r="P6" s="4">
        <f>P4*'Assumptions'!$B$4*'Assumptions'!$B$5</f>
        <v/>
      </c>
      <c r="Q6" s="4">
        <f>Q4*'Assumptions'!$B$4*'Assumptions'!$B$5</f>
        <v/>
      </c>
      <c r="R6" s="4">
        <f>R4*'Assumptions'!$B$4*'Assumptions'!$B$5</f>
        <v/>
      </c>
      <c r="S6" s="4">
        <f>S4*'Assumptions'!$B$4*'Assumptions'!$B$5</f>
        <v/>
      </c>
      <c r="T6" s="4">
        <f>T4*'Assumptions'!$B$4*'Assumptions'!$B$5</f>
        <v/>
      </c>
      <c r="U6" s="4">
        <f>U4*'Assumptions'!$B$4*'Assumptions'!$B$5</f>
        <v/>
      </c>
      <c r="V6" s="4">
        <f>V4*'Assumptions'!$B$4*'Assumptions'!$B$5</f>
        <v/>
      </c>
      <c r="W6" s="4">
        <f>W4*'Assumptions'!$B$4*'Assumptions'!$B$5</f>
        <v/>
      </c>
      <c r="X6" s="4">
        <f>X4*'Assumptions'!$B$4*'Assumptions'!$B$5</f>
        <v/>
      </c>
      <c r="Y6" s="4">
        <f>Y4*'Assumptions'!$B$4*'Assumptions'!$B$5</f>
        <v/>
      </c>
    </row>
    <row r="7">
      <c r="A7" s="8" t="inlineStr">
        <is>
          <t>Collection month - owned (lag + hold from start)</t>
        </is>
      </c>
      <c r="B7" s="19">
        <f>MAX(1+1,(1+'Assumptions'!$B$19)+1)</f>
        <v/>
      </c>
      <c r="C7" s="19">
        <f>MAX(2+1,(1+'Assumptions'!$B$19)+1)</f>
        <v/>
      </c>
      <c r="D7" s="19">
        <f>MAX(3+1,(1+'Assumptions'!$B$19)+1)</f>
        <v/>
      </c>
      <c r="E7" s="19">
        <f>MAX(4+1,(1+'Assumptions'!$B$19)+1)</f>
        <v/>
      </c>
      <c r="F7" s="19">
        <f>MAX(5+1,(1+'Assumptions'!$B$19)+1)</f>
        <v/>
      </c>
      <c r="G7" s="19">
        <f>MAX(6+1,(1+'Assumptions'!$B$19)+1)</f>
        <v/>
      </c>
      <c r="H7" s="19">
        <f>MAX(7+1,(1+'Assumptions'!$B$19)+1)</f>
        <v/>
      </c>
      <c r="I7" s="19">
        <f>MAX(8+1,(1+'Assumptions'!$B$19)+1)</f>
        <v/>
      </c>
      <c r="J7" s="19">
        <f>MAX(9+1,(1+'Assumptions'!$B$19)+1)</f>
        <v/>
      </c>
      <c r="K7" s="19">
        <f>MAX(10+1,(1+'Assumptions'!$B$19)+1)</f>
        <v/>
      </c>
      <c r="L7" s="19">
        <f>MAX(11+1,(1+'Assumptions'!$B$19)+1)</f>
        <v/>
      </c>
      <c r="M7" s="19">
        <f>MAX(12+1,(1+'Assumptions'!$B$19)+1)</f>
        <v/>
      </c>
      <c r="N7" s="19">
        <f>MAX(13+1,(1+'Assumptions'!$B$19)+1)</f>
        <v/>
      </c>
      <c r="O7" s="19">
        <f>MAX(14+1,(1+'Assumptions'!$B$19)+1)</f>
        <v/>
      </c>
      <c r="P7" s="19">
        <f>MAX(15+1,(1+'Assumptions'!$B$19)+1)</f>
        <v/>
      </c>
      <c r="Q7" s="19">
        <f>MAX(16+1,(1+'Assumptions'!$B$19)+1)</f>
        <v/>
      </c>
      <c r="R7" s="19">
        <f>MAX(17+1,(1+'Assumptions'!$B$19)+1)</f>
        <v/>
      </c>
      <c r="S7" s="19">
        <f>MAX(18+1,(1+'Assumptions'!$B$19)+1)</f>
        <v/>
      </c>
      <c r="T7" s="19">
        <f>MAX(19+1,(1+'Assumptions'!$B$19)+1)</f>
        <v/>
      </c>
      <c r="U7" s="19">
        <f>MAX(20+1,(1+'Assumptions'!$B$19)+1)</f>
        <v/>
      </c>
      <c r="V7" s="19">
        <f>MAX(21+1,(1+'Assumptions'!$B$19)+1)</f>
        <v/>
      </c>
      <c r="W7" s="19">
        <f>MAX(22+1,(1+'Assumptions'!$B$19)+1)</f>
        <v/>
      </c>
      <c r="X7" s="19">
        <f>MAX(23+1,(1+'Assumptions'!$B$19)+1)</f>
        <v/>
      </c>
      <c r="Y7" s="19">
        <f>MAX(24+1,(1+'Assumptions'!$B$19)+1)</f>
        <v/>
      </c>
    </row>
    <row r="8">
      <c r="A8" s="8" t="inlineStr">
        <is>
          <t>Collections - owned license</t>
        </is>
      </c>
      <c r="B8" s="4">
        <f>SUMPRODUCT(($B$7:$Y$7=1)*$B$6:$Y$6)</f>
        <v/>
      </c>
      <c r="C8" s="4">
        <f>SUMPRODUCT(($B$7:$Y$7=2)*$B$6:$Y$6)</f>
        <v/>
      </c>
      <c r="D8" s="4">
        <f>SUMPRODUCT(($B$7:$Y$7=3)*$B$6:$Y$6)</f>
        <v/>
      </c>
      <c r="E8" s="4">
        <f>SUMPRODUCT(($B$7:$Y$7=4)*$B$6:$Y$6)</f>
        <v/>
      </c>
      <c r="F8" s="4">
        <f>SUMPRODUCT(($B$7:$Y$7=5)*$B$6:$Y$6)</f>
        <v/>
      </c>
      <c r="G8" s="4">
        <f>SUMPRODUCT(($B$7:$Y$7=6)*$B$6:$Y$6)</f>
        <v/>
      </c>
      <c r="H8" s="4">
        <f>SUMPRODUCT(($B$7:$Y$7=7)*$B$6:$Y$6)</f>
        <v/>
      </c>
      <c r="I8" s="4">
        <f>SUMPRODUCT(($B$7:$Y$7=8)*$B$6:$Y$6)</f>
        <v/>
      </c>
      <c r="J8" s="4">
        <f>SUMPRODUCT(($B$7:$Y$7=9)*$B$6:$Y$6)</f>
        <v/>
      </c>
      <c r="K8" s="4">
        <f>SUMPRODUCT(($B$7:$Y$7=10)*$B$6:$Y$6)</f>
        <v/>
      </c>
      <c r="L8" s="4">
        <f>SUMPRODUCT(($B$7:$Y$7=11)*$B$6:$Y$6)</f>
        <v/>
      </c>
      <c r="M8" s="4">
        <f>SUMPRODUCT(($B$7:$Y$7=12)*$B$6:$Y$6)</f>
        <v/>
      </c>
      <c r="N8" s="4">
        <f>SUMPRODUCT(($B$7:$Y$7=13)*$B$6:$Y$6)</f>
        <v/>
      </c>
      <c r="O8" s="4">
        <f>SUMPRODUCT(($B$7:$Y$7=14)*$B$6:$Y$6)</f>
        <v/>
      </c>
      <c r="P8" s="4">
        <f>SUMPRODUCT(($B$7:$Y$7=15)*$B$6:$Y$6)</f>
        <v/>
      </c>
      <c r="Q8" s="4">
        <f>SUMPRODUCT(($B$7:$Y$7=16)*$B$6:$Y$6)</f>
        <v/>
      </c>
      <c r="R8" s="4">
        <f>SUMPRODUCT(($B$7:$Y$7=17)*$B$6:$Y$6)</f>
        <v/>
      </c>
      <c r="S8" s="4">
        <f>SUMPRODUCT(($B$7:$Y$7=18)*$B$6:$Y$6)</f>
        <v/>
      </c>
      <c r="T8" s="4">
        <f>SUMPRODUCT(($B$7:$Y$7=19)*$B$6:$Y$6)</f>
        <v/>
      </c>
      <c r="U8" s="4">
        <f>SUMPRODUCT(($B$7:$Y$7=20)*$B$6:$Y$6)</f>
        <v/>
      </c>
      <c r="V8" s="4">
        <f>SUMPRODUCT(($B$7:$Y$7=21)*$B$6:$Y$6)</f>
        <v/>
      </c>
      <c r="W8" s="4">
        <f>SUMPRODUCT(($B$7:$Y$7=22)*$B$6:$Y$6)</f>
        <v/>
      </c>
      <c r="X8" s="4">
        <f>SUMPRODUCT(($B$7:$Y$7=23)*$B$6:$Y$6)</f>
        <v/>
      </c>
      <c r="Y8" s="4">
        <f>SUMPRODUCT(($B$7:$Y$7=24)*$B$6:$Y$6)</f>
        <v/>
      </c>
    </row>
    <row r="9">
      <c r="A9" s="8" t="inlineStr">
        <is>
          <t>Collections - Jason census (+1 lag, no hold)</t>
        </is>
      </c>
      <c r="B9" s="4">
        <f>0</f>
        <v/>
      </c>
      <c r="C9" s="4">
        <f>B5*'Assumptions'!$B$4*'Assumptions'!$B$5*'Assumptions'!$B$8</f>
        <v/>
      </c>
      <c r="D9" s="4">
        <f>C5*'Assumptions'!$B$4*'Assumptions'!$B$5*'Assumptions'!$B$8</f>
        <v/>
      </c>
      <c r="E9" s="4">
        <f>D5*'Assumptions'!$B$4*'Assumptions'!$B$5*'Assumptions'!$B$8</f>
        <v/>
      </c>
      <c r="F9" s="4">
        <f>E5*'Assumptions'!$B$4*'Assumptions'!$B$5*'Assumptions'!$B$8</f>
        <v/>
      </c>
      <c r="G9" s="4">
        <f>F5*'Assumptions'!$B$4*'Assumptions'!$B$5*'Assumptions'!$B$8</f>
        <v/>
      </c>
      <c r="H9" s="4">
        <f>G5*'Assumptions'!$B$4*'Assumptions'!$B$5*'Assumptions'!$B$8</f>
        <v/>
      </c>
      <c r="I9" s="4">
        <f>H5*'Assumptions'!$B$4*'Assumptions'!$B$5*'Assumptions'!$B$8</f>
        <v/>
      </c>
      <c r="J9" s="4">
        <f>I5*'Assumptions'!$B$4*'Assumptions'!$B$5*'Assumptions'!$B$8</f>
        <v/>
      </c>
      <c r="K9" s="4">
        <f>J5*'Assumptions'!$B$4*'Assumptions'!$B$5*'Assumptions'!$B$8</f>
        <v/>
      </c>
      <c r="L9" s="4">
        <f>K5*'Assumptions'!$B$4*'Assumptions'!$B$5*'Assumptions'!$B$8</f>
        <v/>
      </c>
      <c r="M9" s="4">
        <f>L5*'Assumptions'!$B$4*'Assumptions'!$B$5*'Assumptions'!$B$8</f>
        <v/>
      </c>
      <c r="N9" s="4">
        <f>M5*'Assumptions'!$B$4*'Assumptions'!$B$5*'Assumptions'!$B$8</f>
        <v/>
      </c>
      <c r="O9" s="4">
        <f>N5*'Assumptions'!$B$4*'Assumptions'!$B$5*'Assumptions'!$B$8</f>
        <v/>
      </c>
      <c r="P9" s="4">
        <f>O5*'Assumptions'!$B$4*'Assumptions'!$B$5*'Assumptions'!$B$8</f>
        <v/>
      </c>
      <c r="Q9" s="4">
        <f>P5*'Assumptions'!$B$4*'Assumptions'!$B$5*'Assumptions'!$B$8</f>
        <v/>
      </c>
      <c r="R9" s="4">
        <f>Q5*'Assumptions'!$B$4*'Assumptions'!$B$5*'Assumptions'!$B$8</f>
        <v/>
      </c>
      <c r="S9" s="4">
        <f>R5*'Assumptions'!$B$4*'Assumptions'!$B$5*'Assumptions'!$B$8</f>
        <v/>
      </c>
      <c r="T9" s="4">
        <f>S5*'Assumptions'!$B$4*'Assumptions'!$B$5*'Assumptions'!$B$8</f>
        <v/>
      </c>
      <c r="U9" s="4">
        <f>T5*'Assumptions'!$B$4*'Assumptions'!$B$5*'Assumptions'!$B$8</f>
        <v/>
      </c>
      <c r="V9" s="4">
        <f>U5*'Assumptions'!$B$4*'Assumptions'!$B$5*'Assumptions'!$B$8</f>
        <v/>
      </c>
      <c r="W9" s="4">
        <f>V5*'Assumptions'!$B$4*'Assumptions'!$B$5*'Assumptions'!$B$8</f>
        <v/>
      </c>
      <c r="X9" s="4">
        <f>W5*'Assumptions'!$B$4*'Assumptions'!$B$5*'Assumptions'!$B$8</f>
        <v/>
      </c>
      <c r="Y9" s="4">
        <f>X5*'Assumptions'!$B$4*'Assumptions'!$B$5*'Assumptions'!$B$8</f>
        <v/>
      </c>
    </row>
    <row r="10">
      <c r="A10" s="8" t="inlineStr">
        <is>
          <t>Variable costs (whole book)</t>
        </is>
      </c>
      <c r="B10" s="4">
        <f>-((B4+B5)*'Assumptions'!$B$6*'Assumptions'!$B$5)</f>
        <v/>
      </c>
      <c r="C10" s="4">
        <f>-((C4+C5)*'Assumptions'!$B$6*'Assumptions'!$B$5)</f>
        <v/>
      </c>
      <c r="D10" s="4">
        <f>-((D4+D5)*'Assumptions'!$B$6*'Assumptions'!$B$5)</f>
        <v/>
      </c>
      <c r="E10" s="4">
        <f>-((E4+E5)*'Assumptions'!$B$6*'Assumptions'!$B$5)</f>
        <v/>
      </c>
      <c r="F10" s="4">
        <f>-((F4+F5)*'Assumptions'!$B$6*'Assumptions'!$B$5)</f>
        <v/>
      </c>
      <c r="G10" s="4">
        <f>-((G4+G5)*'Assumptions'!$B$6*'Assumptions'!$B$5)</f>
        <v/>
      </c>
      <c r="H10" s="4">
        <f>-((H4+H5)*'Assumptions'!$B$6*'Assumptions'!$B$5)</f>
        <v/>
      </c>
      <c r="I10" s="4">
        <f>-((I4+I5)*'Assumptions'!$B$6*'Assumptions'!$B$5)</f>
        <v/>
      </c>
      <c r="J10" s="4">
        <f>-((J4+J5)*'Assumptions'!$B$6*'Assumptions'!$B$5)</f>
        <v/>
      </c>
      <c r="K10" s="4">
        <f>-((K4+K5)*'Assumptions'!$B$6*'Assumptions'!$B$5)</f>
        <v/>
      </c>
      <c r="L10" s="4">
        <f>-((L4+L5)*'Assumptions'!$B$6*'Assumptions'!$B$5)</f>
        <v/>
      </c>
      <c r="M10" s="4">
        <f>-((M4+M5)*'Assumptions'!$B$6*'Assumptions'!$B$5)</f>
        <v/>
      </c>
      <c r="N10" s="4">
        <f>-((N4+N5)*'Assumptions'!$B$6*'Assumptions'!$B$5)</f>
        <v/>
      </c>
      <c r="O10" s="4">
        <f>-((O4+O5)*'Assumptions'!$B$6*'Assumptions'!$B$5)</f>
        <v/>
      </c>
      <c r="P10" s="4">
        <f>-((P4+P5)*'Assumptions'!$B$6*'Assumptions'!$B$5)</f>
        <v/>
      </c>
      <c r="Q10" s="4">
        <f>-((Q4+Q5)*'Assumptions'!$B$6*'Assumptions'!$B$5)</f>
        <v/>
      </c>
      <c r="R10" s="4">
        <f>-((R4+R5)*'Assumptions'!$B$6*'Assumptions'!$B$5)</f>
        <v/>
      </c>
      <c r="S10" s="4">
        <f>-((S4+S5)*'Assumptions'!$B$6*'Assumptions'!$B$5)</f>
        <v/>
      </c>
      <c r="T10" s="4">
        <f>-((T4+T5)*'Assumptions'!$B$6*'Assumptions'!$B$5)</f>
        <v/>
      </c>
      <c r="U10" s="4">
        <f>-((U4+U5)*'Assumptions'!$B$6*'Assumptions'!$B$5)</f>
        <v/>
      </c>
      <c r="V10" s="4">
        <f>-((V4+V5)*'Assumptions'!$B$6*'Assumptions'!$B$5)</f>
        <v/>
      </c>
      <c r="W10" s="4">
        <f>-((W4+W5)*'Assumptions'!$B$6*'Assumptions'!$B$5)</f>
        <v/>
      </c>
      <c r="X10" s="4">
        <f>-((X4+X5)*'Assumptions'!$B$6*'Assumptions'!$B$5)</f>
        <v/>
      </c>
      <c r="Y10" s="4">
        <f>-((Y4+Y5)*'Assumptions'!$B$6*'Assumptions'!$B$5)</f>
        <v/>
      </c>
    </row>
    <row r="11">
      <c r="A11" s="8" t="inlineStr">
        <is>
          <t>Fixed overhead + seed carry</t>
        </is>
      </c>
      <c r="B11" s="4">
        <f>-('Assumptions'!$B$7+IF(AND(1&gt;=1,1&lt;=(1+'Assumptions'!$B$19)),'Assumptions'!$B$39,0))</f>
        <v/>
      </c>
      <c r="C11" s="4">
        <f>-('Assumptions'!$B$7+IF(AND(2&gt;=1,2&lt;=(1+'Assumptions'!$B$19)),'Assumptions'!$B$39,0))</f>
        <v/>
      </c>
      <c r="D11" s="4">
        <f>-('Assumptions'!$B$7+IF(AND(3&gt;=1,3&lt;=(1+'Assumptions'!$B$19)),'Assumptions'!$B$39,0))</f>
        <v/>
      </c>
      <c r="E11" s="4">
        <f>-('Assumptions'!$B$7+IF(AND(4&gt;=1,4&lt;=(1+'Assumptions'!$B$19)),'Assumptions'!$B$39,0))</f>
        <v/>
      </c>
      <c r="F11" s="4">
        <f>-('Assumptions'!$B$7+IF(AND(5&gt;=1,5&lt;=(1+'Assumptions'!$B$19)),'Assumptions'!$B$39,0))</f>
        <v/>
      </c>
      <c r="G11" s="4">
        <f>-('Assumptions'!$B$7+IF(AND(6&gt;=1,6&lt;=(1+'Assumptions'!$B$19)),'Assumptions'!$B$39,0))</f>
        <v/>
      </c>
      <c r="H11" s="4">
        <f>-('Assumptions'!$B$7+IF(AND(7&gt;=1,7&lt;=(1+'Assumptions'!$B$19)),'Assumptions'!$B$39,0))</f>
        <v/>
      </c>
      <c r="I11" s="4">
        <f>-('Assumptions'!$B$7+IF(AND(8&gt;=1,8&lt;=(1+'Assumptions'!$B$19)),'Assumptions'!$B$39,0))</f>
        <v/>
      </c>
      <c r="J11" s="4">
        <f>-('Assumptions'!$B$7+IF(AND(9&gt;=1,9&lt;=(1+'Assumptions'!$B$19)),'Assumptions'!$B$39,0))</f>
        <v/>
      </c>
      <c r="K11" s="4">
        <f>-('Assumptions'!$B$7+IF(AND(10&gt;=1,10&lt;=(1+'Assumptions'!$B$19)),'Assumptions'!$B$39,0))</f>
        <v/>
      </c>
      <c r="L11" s="4">
        <f>-('Assumptions'!$B$7+IF(AND(11&gt;=1,11&lt;=(1+'Assumptions'!$B$19)),'Assumptions'!$B$39,0))</f>
        <v/>
      </c>
      <c r="M11" s="4">
        <f>-('Assumptions'!$B$7+IF(AND(12&gt;=1,12&lt;=(1+'Assumptions'!$B$19)),'Assumptions'!$B$39,0))</f>
        <v/>
      </c>
      <c r="N11" s="4">
        <f>-('Assumptions'!$B$7+IF(AND(13&gt;=1,13&lt;=(1+'Assumptions'!$B$19)),'Assumptions'!$B$39,0))</f>
        <v/>
      </c>
      <c r="O11" s="4">
        <f>-('Assumptions'!$B$7+IF(AND(14&gt;=1,14&lt;=(1+'Assumptions'!$B$19)),'Assumptions'!$B$39,0))</f>
        <v/>
      </c>
      <c r="P11" s="4">
        <f>-('Assumptions'!$B$7+IF(AND(15&gt;=1,15&lt;=(1+'Assumptions'!$B$19)),'Assumptions'!$B$39,0))</f>
        <v/>
      </c>
      <c r="Q11" s="4">
        <f>-('Assumptions'!$B$7+IF(AND(16&gt;=1,16&lt;=(1+'Assumptions'!$B$19)),'Assumptions'!$B$39,0))</f>
        <v/>
      </c>
      <c r="R11" s="4">
        <f>-('Assumptions'!$B$7+IF(AND(17&gt;=1,17&lt;=(1+'Assumptions'!$B$19)),'Assumptions'!$B$39,0))</f>
        <v/>
      </c>
      <c r="S11" s="4">
        <f>-('Assumptions'!$B$7+IF(AND(18&gt;=1,18&lt;=(1+'Assumptions'!$B$19)),'Assumptions'!$B$39,0))</f>
        <v/>
      </c>
      <c r="T11" s="4">
        <f>-('Assumptions'!$B$7+IF(AND(19&gt;=1,19&lt;=(1+'Assumptions'!$B$19)),'Assumptions'!$B$39,0))</f>
        <v/>
      </c>
      <c r="U11" s="4">
        <f>-('Assumptions'!$B$7+IF(AND(20&gt;=1,20&lt;=(1+'Assumptions'!$B$19)),'Assumptions'!$B$39,0))</f>
        <v/>
      </c>
      <c r="V11" s="4">
        <f>-('Assumptions'!$B$7+IF(AND(21&gt;=1,21&lt;=(1+'Assumptions'!$B$19)),'Assumptions'!$B$39,0))</f>
        <v/>
      </c>
      <c r="W11" s="4">
        <f>-('Assumptions'!$B$7+IF(AND(22&gt;=1,22&lt;=(1+'Assumptions'!$B$19)),'Assumptions'!$B$39,0))</f>
        <v/>
      </c>
      <c r="X11" s="4">
        <f>-('Assumptions'!$B$7+IF(AND(23&gt;=1,23&lt;=(1+'Assumptions'!$B$19)),'Assumptions'!$B$39,0))</f>
        <v/>
      </c>
      <c r="Y11" s="4">
        <f>-('Assumptions'!$B$7+IF(AND(24&gt;=1,24&lt;=(1+'Assumptions'!$B$19)),'Assumptions'!$B$39,0))</f>
        <v/>
      </c>
    </row>
    <row r="12">
      <c r="A12" s="8" t="inlineStr">
        <is>
          <t>Jason fee (while Jason census active)</t>
        </is>
      </c>
      <c r="B12" s="4">
        <f>-IF(B5&gt;0,'Assumptions'!$B$16,0)</f>
        <v/>
      </c>
      <c r="C12" s="4">
        <f>-IF(C5&gt;0,'Assumptions'!$B$16,0)</f>
        <v/>
      </c>
      <c r="D12" s="4">
        <f>-IF(D5&gt;0,'Assumptions'!$B$16,0)</f>
        <v/>
      </c>
      <c r="E12" s="4">
        <f>-IF(E5&gt;0,'Assumptions'!$B$16,0)</f>
        <v/>
      </c>
      <c r="F12" s="4">
        <f>-IF(F5&gt;0,'Assumptions'!$B$16,0)</f>
        <v/>
      </c>
      <c r="G12" s="4">
        <f>-IF(G5&gt;0,'Assumptions'!$B$16,0)</f>
        <v/>
      </c>
      <c r="H12" s="4">
        <f>-IF(H5&gt;0,'Assumptions'!$B$16,0)</f>
        <v/>
      </c>
      <c r="I12" s="4">
        <f>-IF(I5&gt;0,'Assumptions'!$B$16,0)</f>
        <v/>
      </c>
      <c r="J12" s="4">
        <f>-IF(J5&gt;0,'Assumptions'!$B$16,0)</f>
        <v/>
      </c>
      <c r="K12" s="4">
        <f>-IF(K5&gt;0,'Assumptions'!$B$16,0)</f>
        <v/>
      </c>
      <c r="L12" s="4">
        <f>-IF(L5&gt;0,'Assumptions'!$B$16,0)</f>
        <v/>
      </c>
      <c r="M12" s="4">
        <f>-IF(M5&gt;0,'Assumptions'!$B$16,0)</f>
        <v/>
      </c>
      <c r="N12" s="4">
        <f>-IF(N5&gt;0,'Assumptions'!$B$16,0)</f>
        <v/>
      </c>
      <c r="O12" s="4">
        <f>-IF(O5&gt;0,'Assumptions'!$B$16,0)</f>
        <v/>
      </c>
      <c r="P12" s="4">
        <f>-IF(P5&gt;0,'Assumptions'!$B$16,0)</f>
        <v/>
      </c>
      <c r="Q12" s="4">
        <f>-IF(Q5&gt;0,'Assumptions'!$B$16,0)</f>
        <v/>
      </c>
      <c r="R12" s="4">
        <f>-IF(R5&gt;0,'Assumptions'!$B$16,0)</f>
        <v/>
      </c>
      <c r="S12" s="4">
        <f>-IF(S5&gt;0,'Assumptions'!$B$16,0)</f>
        <v/>
      </c>
      <c r="T12" s="4">
        <f>-IF(T5&gt;0,'Assumptions'!$B$16,0)</f>
        <v/>
      </c>
      <c r="U12" s="4">
        <f>-IF(U5&gt;0,'Assumptions'!$B$16,0)</f>
        <v/>
      </c>
      <c r="V12" s="4">
        <f>-IF(V5&gt;0,'Assumptions'!$B$16,0)</f>
        <v/>
      </c>
      <c r="W12" s="4">
        <f>-IF(W5&gt;0,'Assumptions'!$B$16,0)</f>
        <v/>
      </c>
      <c r="X12" s="4">
        <f>-IF(X5&gt;0,'Assumptions'!$B$16,0)</f>
        <v/>
      </c>
      <c r="Y12" s="4">
        <f>-IF(Y5&gt;0,'Assumptions'!$B$16,0)</f>
        <v/>
      </c>
    </row>
    <row r="13">
      <c r="A13" s="8" t="inlineStr">
        <is>
          <t>Owned-license payments</t>
        </is>
      </c>
      <c r="B13" s="4">
        <f>-IF(1=1,'Assumptions'!$B$20,0)+IF(1=2,'Assumptions'!$B$22-'Assumptions'!$B$23,0)-IF(AND(1&gt;=3,1&lt;=5),'Assumptions'!$B$24,0)+IF(1=6,'Assumptions'!$B$25-'Assumptions'!$B$26,0)-IF(1&gt;=7,'Assumptions'!$B$27,0)</f>
        <v/>
      </c>
      <c r="C13" s="4">
        <f>-IF(2=1,'Assumptions'!$B$20,0)+IF(2=2,'Assumptions'!$B$22-'Assumptions'!$B$23,0)-IF(AND(2&gt;=3,2&lt;=5),'Assumptions'!$B$24,0)+IF(2=6,'Assumptions'!$B$25-'Assumptions'!$B$26,0)-IF(2&gt;=7,'Assumptions'!$B$27,0)</f>
        <v/>
      </c>
      <c r="D13" s="4">
        <f>-IF(3=1,'Assumptions'!$B$20,0)+IF(3=2,'Assumptions'!$B$22-'Assumptions'!$B$23,0)-IF(AND(3&gt;=3,3&lt;=5),'Assumptions'!$B$24,0)+IF(3=6,'Assumptions'!$B$25-'Assumptions'!$B$26,0)-IF(3&gt;=7,'Assumptions'!$B$27,0)</f>
        <v/>
      </c>
      <c r="E13" s="4">
        <f>-IF(4=1,'Assumptions'!$B$20,0)+IF(4=2,'Assumptions'!$B$22-'Assumptions'!$B$23,0)-IF(AND(4&gt;=3,4&lt;=5),'Assumptions'!$B$24,0)+IF(4=6,'Assumptions'!$B$25-'Assumptions'!$B$26,0)-IF(4&gt;=7,'Assumptions'!$B$27,0)</f>
        <v/>
      </c>
      <c r="F13" s="4">
        <f>-IF(5=1,'Assumptions'!$B$20,0)+IF(5=2,'Assumptions'!$B$22-'Assumptions'!$B$23,0)-IF(AND(5&gt;=3,5&lt;=5),'Assumptions'!$B$24,0)+IF(5=6,'Assumptions'!$B$25-'Assumptions'!$B$26,0)-IF(5&gt;=7,'Assumptions'!$B$27,0)</f>
        <v/>
      </c>
      <c r="G13" s="4">
        <f>-IF(6=1,'Assumptions'!$B$20,0)+IF(6=2,'Assumptions'!$B$22-'Assumptions'!$B$23,0)-IF(AND(6&gt;=3,6&lt;=5),'Assumptions'!$B$24,0)+IF(6=6,'Assumptions'!$B$25-'Assumptions'!$B$26,0)-IF(6&gt;=7,'Assumptions'!$B$27,0)</f>
        <v/>
      </c>
      <c r="H13" s="4">
        <f>-IF(7=1,'Assumptions'!$B$20,0)+IF(7=2,'Assumptions'!$B$22-'Assumptions'!$B$23,0)-IF(AND(7&gt;=3,7&lt;=5),'Assumptions'!$B$24,0)+IF(7=6,'Assumptions'!$B$25-'Assumptions'!$B$26,0)-IF(7&gt;=7,'Assumptions'!$B$27,0)</f>
        <v/>
      </c>
      <c r="I13" s="4">
        <f>-IF(8=1,'Assumptions'!$B$20,0)+IF(8=2,'Assumptions'!$B$22-'Assumptions'!$B$23,0)-IF(AND(8&gt;=3,8&lt;=5),'Assumptions'!$B$24,0)+IF(8=6,'Assumptions'!$B$25-'Assumptions'!$B$26,0)-IF(8&gt;=7,'Assumptions'!$B$27,0)</f>
        <v/>
      </c>
      <c r="J13" s="4">
        <f>-IF(9=1,'Assumptions'!$B$20,0)+IF(9=2,'Assumptions'!$B$22-'Assumptions'!$B$23,0)-IF(AND(9&gt;=3,9&lt;=5),'Assumptions'!$B$24,0)+IF(9=6,'Assumptions'!$B$25-'Assumptions'!$B$26,0)-IF(9&gt;=7,'Assumptions'!$B$27,0)</f>
        <v/>
      </c>
      <c r="K13" s="4">
        <f>-IF(10=1,'Assumptions'!$B$20,0)+IF(10=2,'Assumptions'!$B$22-'Assumptions'!$B$23,0)-IF(AND(10&gt;=3,10&lt;=5),'Assumptions'!$B$24,0)+IF(10=6,'Assumptions'!$B$25-'Assumptions'!$B$26,0)-IF(10&gt;=7,'Assumptions'!$B$27,0)</f>
        <v/>
      </c>
      <c r="L13" s="4">
        <f>-IF(11=1,'Assumptions'!$B$20,0)+IF(11=2,'Assumptions'!$B$22-'Assumptions'!$B$23,0)-IF(AND(11&gt;=3,11&lt;=5),'Assumptions'!$B$24,0)+IF(11=6,'Assumptions'!$B$25-'Assumptions'!$B$26,0)-IF(11&gt;=7,'Assumptions'!$B$27,0)</f>
        <v/>
      </c>
      <c r="M13" s="4">
        <f>-IF(12=1,'Assumptions'!$B$20,0)+IF(12=2,'Assumptions'!$B$22-'Assumptions'!$B$23,0)-IF(AND(12&gt;=3,12&lt;=5),'Assumptions'!$B$24,0)+IF(12=6,'Assumptions'!$B$25-'Assumptions'!$B$26,0)-IF(12&gt;=7,'Assumptions'!$B$27,0)</f>
        <v/>
      </c>
      <c r="N13" s="4">
        <f>-IF(13=1,'Assumptions'!$B$20,0)+IF(13=2,'Assumptions'!$B$22-'Assumptions'!$B$23,0)-IF(AND(13&gt;=3,13&lt;=5),'Assumptions'!$B$24,0)+IF(13=6,'Assumptions'!$B$25-'Assumptions'!$B$26,0)-IF(13&gt;=7,'Assumptions'!$B$27,0)</f>
        <v/>
      </c>
      <c r="O13" s="4">
        <f>-IF(14=1,'Assumptions'!$B$20,0)+IF(14=2,'Assumptions'!$B$22-'Assumptions'!$B$23,0)-IF(AND(14&gt;=3,14&lt;=5),'Assumptions'!$B$24,0)+IF(14=6,'Assumptions'!$B$25-'Assumptions'!$B$26,0)-IF(14&gt;=7,'Assumptions'!$B$27,0)</f>
        <v/>
      </c>
      <c r="P13" s="4">
        <f>-IF(15=1,'Assumptions'!$B$20,0)+IF(15=2,'Assumptions'!$B$22-'Assumptions'!$B$23,0)-IF(AND(15&gt;=3,15&lt;=5),'Assumptions'!$B$24,0)+IF(15=6,'Assumptions'!$B$25-'Assumptions'!$B$26,0)-IF(15&gt;=7,'Assumptions'!$B$27,0)</f>
        <v/>
      </c>
      <c r="Q13" s="4">
        <f>-IF(16=1,'Assumptions'!$B$20,0)+IF(16=2,'Assumptions'!$B$22-'Assumptions'!$B$23,0)-IF(AND(16&gt;=3,16&lt;=5),'Assumptions'!$B$24,0)+IF(16=6,'Assumptions'!$B$25-'Assumptions'!$B$26,0)-IF(16&gt;=7,'Assumptions'!$B$27,0)</f>
        <v/>
      </c>
      <c r="R13" s="4">
        <f>-IF(17=1,'Assumptions'!$B$20,0)+IF(17=2,'Assumptions'!$B$22-'Assumptions'!$B$23,0)-IF(AND(17&gt;=3,17&lt;=5),'Assumptions'!$B$24,0)+IF(17=6,'Assumptions'!$B$25-'Assumptions'!$B$26,0)-IF(17&gt;=7,'Assumptions'!$B$27,0)</f>
        <v/>
      </c>
      <c r="S13" s="4">
        <f>-IF(18=1,'Assumptions'!$B$20,0)+IF(18=2,'Assumptions'!$B$22-'Assumptions'!$B$23,0)-IF(AND(18&gt;=3,18&lt;=5),'Assumptions'!$B$24,0)+IF(18=6,'Assumptions'!$B$25-'Assumptions'!$B$26,0)-IF(18&gt;=7,'Assumptions'!$B$27,0)</f>
        <v/>
      </c>
      <c r="T13" s="4">
        <f>-IF(19=1,'Assumptions'!$B$20,0)+IF(19=2,'Assumptions'!$B$22-'Assumptions'!$B$23,0)-IF(AND(19&gt;=3,19&lt;=5),'Assumptions'!$B$24,0)+IF(19=6,'Assumptions'!$B$25-'Assumptions'!$B$26,0)-IF(19&gt;=7,'Assumptions'!$B$27,0)</f>
        <v/>
      </c>
      <c r="U13" s="4">
        <f>-IF(20=1,'Assumptions'!$B$20,0)+IF(20=2,'Assumptions'!$B$22-'Assumptions'!$B$23,0)-IF(AND(20&gt;=3,20&lt;=5),'Assumptions'!$B$24,0)+IF(20=6,'Assumptions'!$B$25-'Assumptions'!$B$26,0)-IF(20&gt;=7,'Assumptions'!$B$27,0)</f>
        <v/>
      </c>
      <c r="V13" s="4">
        <f>-IF(21=1,'Assumptions'!$B$20,0)+IF(21=2,'Assumptions'!$B$22-'Assumptions'!$B$23,0)-IF(AND(21&gt;=3,21&lt;=5),'Assumptions'!$B$24,0)+IF(21=6,'Assumptions'!$B$25-'Assumptions'!$B$26,0)-IF(21&gt;=7,'Assumptions'!$B$27,0)</f>
        <v/>
      </c>
      <c r="W13" s="4">
        <f>-IF(22=1,'Assumptions'!$B$20,0)+IF(22=2,'Assumptions'!$B$22-'Assumptions'!$B$23,0)-IF(AND(22&gt;=3,22&lt;=5),'Assumptions'!$B$24,0)+IF(22=6,'Assumptions'!$B$25-'Assumptions'!$B$26,0)-IF(22&gt;=7,'Assumptions'!$B$27,0)</f>
        <v/>
      </c>
      <c r="X13" s="4">
        <f>-IF(23=1,'Assumptions'!$B$20,0)+IF(23=2,'Assumptions'!$B$22-'Assumptions'!$B$23,0)-IF(AND(23&gt;=3,23&lt;=5),'Assumptions'!$B$24,0)+IF(23=6,'Assumptions'!$B$25-'Assumptions'!$B$26,0)-IF(23&gt;=7,'Assumptions'!$B$27,0)</f>
        <v/>
      </c>
      <c r="Y13" s="4">
        <f>-IF(24=1,'Assumptions'!$B$20,0)+IF(24=2,'Assumptions'!$B$22-'Assumptions'!$B$23,0)-IF(AND(24&gt;=3,24&lt;=5),'Assumptions'!$B$24,0)+IF(24=6,'Assumptions'!$B$25-'Assumptions'!$B$26,0)-IF(24&gt;=7,'Assumptions'!$B$27,0)</f>
        <v/>
      </c>
    </row>
    <row r="14">
      <c r="A14" s="3" t="inlineStr">
        <is>
          <t>NET CASH FLOW</t>
        </is>
      </c>
      <c r="B14" s="16">
        <f>B8+B9+B10+B11+B12+B13</f>
        <v/>
      </c>
      <c r="C14" s="16">
        <f>C8+C9+C10+C11+C12+C13</f>
        <v/>
      </c>
      <c r="D14" s="16">
        <f>D8+D9+D10+D11+D12+D13</f>
        <v/>
      </c>
      <c r="E14" s="16">
        <f>E8+E9+E10+E11+E12+E13</f>
        <v/>
      </c>
      <c r="F14" s="16">
        <f>F8+F9+F10+F11+F12+F13</f>
        <v/>
      </c>
      <c r="G14" s="16">
        <f>G8+G9+G10+G11+G12+G13</f>
        <v/>
      </c>
      <c r="H14" s="16">
        <f>H8+H9+H10+H11+H12+H13</f>
        <v/>
      </c>
      <c r="I14" s="16">
        <f>I8+I9+I10+I11+I12+I13</f>
        <v/>
      </c>
      <c r="J14" s="16">
        <f>J8+J9+J10+J11+J12+J13</f>
        <v/>
      </c>
      <c r="K14" s="16">
        <f>K8+K9+K10+K11+K12+K13</f>
        <v/>
      </c>
      <c r="L14" s="16">
        <f>L8+L9+L10+L11+L12+L13</f>
        <v/>
      </c>
      <c r="M14" s="16">
        <f>M8+M9+M10+M11+M12+M13</f>
        <v/>
      </c>
      <c r="N14" s="16">
        <f>N8+N9+N10+N11+N12+N13</f>
        <v/>
      </c>
      <c r="O14" s="16">
        <f>O8+O9+O10+O11+O12+O13</f>
        <v/>
      </c>
      <c r="P14" s="16">
        <f>P8+P9+P10+P11+P12+P13</f>
        <v/>
      </c>
      <c r="Q14" s="16">
        <f>Q8+Q9+Q10+Q11+Q12+Q13</f>
        <v/>
      </c>
      <c r="R14" s="16">
        <f>R8+R9+R10+R11+R12+R13</f>
        <v/>
      </c>
      <c r="S14" s="16">
        <f>S8+S9+S10+S11+S12+S13</f>
        <v/>
      </c>
      <c r="T14" s="16">
        <f>T8+T9+T10+T11+T12+T13</f>
        <v/>
      </c>
      <c r="U14" s="16">
        <f>U8+U9+U10+U11+U12+U13</f>
        <v/>
      </c>
      <c r="V14" s="16">
        <f>V8+V9+V10+V11+V12+V13</f>
        <v/>
      </c>
      <c r="W14" s="16">
        <f>W8+W9+W10+W11+W12+W13</f>
        <v/>
      </c>
      <c r="X14" s="16">
        <f>X8+X9+X10+X11+X12+X13</f>
        <v/>
      </c>
      <c r="Y14" s="16">
        <f>Y8+Y9+Y10+Y11+Y12+Y13</f>
        <v/>
      </c>
    </row>
    <row r="15">
      <c r="A15" s="3" t="inlineStr">
        <is>
          <t>Cumulative cash (no equity assumed)</t>
        </is>
      </c>
      <c r="B15" s="17">
        <f>B14</f>
        <v/>
      </c>
      <c r="C15" s="17">
        <f>B15+C14</f>
        <v/>
      </c>
      <c r="D15" s="17">
        <f>C15+D14</f>
        <v/>
      </c>
      <c r="E15" s="17">
        <f>D15+E14</f>
        <v/>
      </c>
      <c r="F15" s="17">
        <f>E15+F14</f>
        <v/>
      </c>
      <c r="G15" s="17">
        <f>F15+G14</f>
        <v/>
      </c>
      <c r="H15" s="17">
        <f>G15+H14</f>
        <v/>
      </c>
      <c r="I15" s="17">
        <f>H15+I14</f>
        <v/>
      </c>
      <c r="J15" s="17">
        <f>I15+J14</f>
        <v/>
      </c>
      <c r="K15" s="17">
        <f>J15+K14</f>
        <v/>
      </c>
      <c r="L15" s="17">
        <f>K15+L14</f>
        <v/>
      </c>
      <c r="M15" s="17">
        <f>L15+M14</f>
        <v/>
      </c>
      <c r="N15" s="17">
        <f>M15+N14</f>
        <v/>
      </c>
      <c r="O15" s="17">
        <f>N15+O14</f>
        <v/>
      </c>
      <c r="P15" s="17">
        <f>O15+P14</f>
        <v/>
      </c>
      <c r="Q15" s="17">
        <f>P15+Q14</f>
        <v/>
      </c>
      <c r="R15" s="17">
        <f>Q15+R14</f>
        <v/>
      </c>
      <c r="S15" s="17">
        <f>R15+S14</f>
        <v/>
      </c>
      <c r="T15" s="17">
        <f>S15+T14</f>
        <v/>
      </c>
      <c r="U15" s="17">
        <f>T15+U14</f>
        <v/>
      </c>
      <c r="V15" s="17">
        <f>U15+V14</f>
        <v/>
      </c>
      <c r="W15" s="17">
        <f>V15+W14</f>
        <v/>
      </c>
      <c r="X15" s="17">
        <f>W15+X14</f>
        <v/>
      </c>
      <c r="Y15" s="17">
        <f>X15+Y14</f>
        <v/>
      </c>
    </row>
    <row r="16">
      <c r="A16" s="3" t="inlineStr">
        <is>
          <t>PEAK FUNDING NEED (max cumulative deficit)</t>
        </is>
      </c>
      <c r="B16" s="18">
        <f>MAX(0,-MIN($B$15:$Y$15))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Y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T4b Avant+Jason - COMBO: 5-patient PPEO seed on the owned license, growth census on Jason's number; admissions shift to the owned license at PPEO clear; Jason fee ends after shift.</t>
        </is>
      </c>
    </row>
    <row r="3">
      <c r="B3" s="14" t="inlineStr">
        <is>
          <t>Aug-26</t>
        </is>
      </c>
      <c r="C3" s="14" t="inlineStr">
        <is>
          <t>Sep-26</t>
        </is>
      </c>
      <c r="D3" s="14" t="inlineStr">
        <is>
          <t>Oct-26</t>
        </is>
      </c>
      <c r="E3" s="14" t="inlineStr">
        <is>
          <t>Nov-26</t>
        </is>
      </c>
      <c r="F3" s="14" t="inlineStr">
        <is>
          <t>Dec-26</t>
        </is>
      </c>
      <c r="G3" s="14" t="inlineStr">
        <is>
          <t>Jan-27</t>
        </is>
      </c>
      <c r="H3" s="14" t="inlineStr">
        <is>
          <t>Feb-27</t>
        </is>
      </c>
      <c r="I3" s="14" t="inlineStr">
        <is>
          <t>Mar-27</t>
        </is>
      </c>
      <c r="J3" s="14" t="inlineStr">
        <is>
          <t>Apr-27</t>
        </is>
      </c>
      <c r="K3" s="14" t="inlineStr">
        <is>
          <t>May-27</t>
        </is>
      </c>
      <c r="L3" s="14" t="inlineStr">
        <is>
          <t>Jun-27</t>
        </is>
      </c>
      <c r="M3" s="14" t="inlineStr">
        <is>
          <t>Jul-27</t>
        </is>
      </c>
      <c r="N3" s="14" t="inlineStr">
        <is>
          <t>Aug-27</t>
        </is>
      </c>
      <c r="O3" s="14" t="inlineStr">
        <is>
          <t>Sep-27</t>
        </is>
      </c>
      <c r="P3" s="14" t="inlineStr">
        <is>
          <t>Oct-27</t>
        </is>
      </c>
      <c r="Q3" s="14" t="inlineStr">
        <is>
          <t>Nov-27</t>
        </is>
      </c>
      <c r="R3" s="14" t="inlineStr">
        <is>
          <t>Dec-27</t>
        </is>
      </c>
      <c r="S3" s="14" t="inlineStr">
        <is>
          <t>Jan-28</t>
        </is>
      </c>
      <c r="T3" s="14" t="inlineStr">
        <is>
          <t>Feb-28</t>
        </is>
      </c>
      <c r="U3" s="14" t="inlineStr">
        <is>
          <t>Mar-28</t>
        </is>
      </c>
      <c r="V3" s="14" t="inlineStr">
        <is>
          <t>Apr-28</t>
        </is>
      </c>
      <c r="W3" s="14" t="inlineStr">
        <is>
          <t>May-28</t>
        </is>
      </c>
      <c r="X3" s="14" t="inlineStr">
        <is>
          <t>Jun-28</t>
        </is>
      </c>
      <c r="Y3" s="14" t="inlineStr">
        <is>
          <t>Jul-28</t>
        </is>
      </c>
    </row>
    <row r="4">
      <c r="A4" s="8" t="inlineStr">
        <is>
          <t>Owned-license ADC (seed until clear, then full book)</t>
        </is>
      </c>
      <c r="B4" s="15">
        <f>IF(1&lt;'Assumptions'!$B$30,0,IF(1&lt;=('Assumptions'!$B$30+'Assumptions'!$B$31),'Assumptions'!$B$38,Assumptions!B13))</f>
        <v/>
      </c>
      <c r="C4" s="15">
        <f>IF(2&lt;'Assumptions'!$B$30,0,IF(2&lt;=('Assumptions'!$B$30+'Assumptions'!$B$31),'Assumptions'!$B$38,Assumptions!C13))</f>
        <v/>
      </c>
      <c r="D4" s="15">
        <f>IF(3&lt;'Assumptions'!$B$30,0,IF(3&lt;=('Assumptions'!$B$30+'Assumptions'!$B$31),'Assumptions'!$B$38,Assumptions!D13))</f>
        <v/>
      </c>
      <c r="E4" s="15">
        <f>IF(4&lt;'Assumptions'!$B$30,0,IF(4&lt;=('Assumptions'!$B$30+'Assumptions'!$B$31),'Assumptions'!$B$38,Assumptions!E13))</f>
        <v/>
      </c>
      <c r="F4" s="15">
        <f>IF(5&lt;'Assumptions'!$B$30,0,IF(5&lt;=('Assumptions'!$B$30+'Assumptions'!$B$31),'Assumptions'!$B$38,Assumptions!F13))</f>
        <v/>
      </c>
      <c r="G4" s="15">
        <f>IF(6&lt;'Assumptions'!$B$30,0,IF(6&lt;=('Assumptions'!$B$30+'Assumptions'!$B$31),'Assumptions'!$B$38,Assumptions!G13))</f>
        <v/>
      </c>
      <c r="H4" s="15">
        <f>IF(7&lt;'Assumptions'!$B$30,0,IF(7&lt;=('Assumptions'!$B$30+'Assumptions'!$B$31),'Assumptions'!$B$38,Assumptions!H13))</f>
        <v/>
      </c>
      <c r="I4" s="15">
        <f>IF(8&lt;'Assumptions'!$B$30,0,IF(8&lt;=('Assumptions'!$B$30+'Assumptions'!$B$31),'Assumptions'!$B$38,Assumptions!I13))</f>
        <v/>
      </c>
      <c r="J4" s="15">
        <f>IF(9&lt;'Assumptions'!$B$30,0,IF(9&lt;=('Assumptions'!$B$30+'Assumptions'!$B$31),'Assumptions'!$B$38,Assumptions!J13))</f>
        <v/>
      </c>
      <c r="K4" s="15">
        <f>IF(10&lt;'Assumptions'!$B$30,0,IF(10&lt;=('Assumptions'!$B$30+'Assumptions'!$B$31),'Assumptions'!$B$38,Assumptions!K13))</f>
        <v/>
      </c>
      <c r="L4" s="15">
        <f>IF(11&lt;'Assumptions'!$B$30,0,IF(11&lt;=('Assumptions'!$B$30+'Assumptions'!$B$31),'Assumptions'!$B$38,Assumptions!L13))</f>
        <v/>
      </c>
      <c r="M4" s="15">
        <f>IF(12&lt;'Assumptions'!$B$30,0,IF(12&lt;=('Assumptions'!$B$30+'Assumptions'!$B$31),'Assumptions'!$B$38,Assumptions!M13))</f>
        <v/>
      </c>
      <c r="N4" s="15">
        <f>IF(13&lt;'Assumptions'!$B$30,0,IF(13&lt;=('Assumptions'!$B$30+'Assumptions'!$B$31),'Assumptions'!$B$38,Assumptions!N13))</f>
        <v/>
      </c>
      <c r="O4" s="15">
        <f>IF(14&lt;'Assumptions'!$B$30,0,IF(14&lt;=('Assumptions'!$B$30+'Assumptions'!$B$31),'Assumptions'!$B$38,Assumptions!O13))</f>
        <v/>
      </c>
      <c r="P4" s="15">
        <f>IF(15&lt;'Assumptions'!$B$30,0,IF(15&lt;=('Assumptions'!$B$30+'Assumptions'!$B$31),'Assumptions'!$B$38,Assumptions!P13))</f>
        <v/>
      </c>
      <c r="Q4" s="15">
        <f>IF(16&lt;'Assumptions'!$B$30,0,IF(16&lt;=('Assumptions'!$B$30+'Assumptions'!$B$31),'Assumptions'!$B$38,Assumptions!Q13))</f>
        <v/>
      </c>
      <c r="R4" s="15">
        <f>IF(17&lt;'Assumptions'!$B$30,0,IF(17&lt;=('Assumptions'!$B$30+'Assumptions'!$B$31),'Assumptions'!$B$38,Assumptions!R13))</f>
        <v/>
      </c>
      <c r="S4" s="15">
        <f>IF(18&lt;'Assumptions'!$B$30,0,IF(18&lt;=('Assumptions'!$B$30+'Assumptions'!$B$31),'Assumptions'!$B$38,Assumptions!S13))</f>
        <v/>
      </c>
      <c r="T4" s="15">
        <f>IF(19&lt;'Assumptions'!$B$30,0,IF(19&lt;=('Assumptions'!$B$30+'Assumptions'!$B$31),'Assumptions'!$B$38,Assumptions!T13))</f>
        <v/>
      </c>
      <c r="U4" s="15">
        <f>IF(20&lt;'Assumptions'!$B$30,0,IF(20&lt;=('Assumptions'!$B$30+'Assumptions'!$B$31),'Assumptions'!$B$38,Assumptions!U13))</f>
        <v/>
      </c>
      <c r="V4" s="15">
        <f>IF(21&lt;'Assumptions'!$B$30,0,IF(21&lt;=('Assumptions'!$B$30+'Assumptions'!$B$31),'Assumptions'!$B$38,Assumptions!V13))</f>
        <v/>
      </c>
      <c r="W4" s="15">
        <f>IF(22&lt;'Assumptions'!$B$30,0,IF(22&lt;=('Assumptions'!$B$30+'Assumptions'!$B$31),'Assumptions'!$B$38,Assumptions!W13))</f>
        <v/>
      </c>
      <c r="X4" s="15">
        <f>IF(23&lt;'Assumptions'!$B$30,0,IF(23&lt;=('Assumptions'!$B$30+'Assumptions'!$B$31),'Assumptions'!$B$38,Assumptions!X13))</f>
        <v/>
      </c>
      <c r="Y4" s="15">
        <f>IF(24&lt;'Assumptions'!$B$30,0,IF(24&lt;=('Assumptions'!$B$30+'Assumptions'!$B$31),'Assumptions'!$B$38,Assumptions!Y13))</f>
        <v/>
      </c>
    </row>
    <row r="5">
      <c r="A5" s="8" t="inlineStr">
        <is>
          <t>Jason ADC (total book minus owned)</t>
        </is>
      </c>
      <c r="B5" s="15">
        <f>MAX(0,Assumptions!B13-B4)</f>
        <v/>
      </c>
      <c r="C5" s="15">
        <f>MAX(0,Assumptions!C13-C4)</f>
        <v/>
      </c>
      <c r="D5" s="15">
        <f>MAX(0,Assumptions!D13-D4)</f>
        <v/>
      </c>
      <c r="E5" s="15">
        <f>MAX(0,Assumptions!E13-E4)</f>
        <v/>
      </c>
      <c r="F5" s="15">
        <f>MAX(0,Assumptions!F13-F4)</f>
        <v/>
      </c>
      <c r="G5" s="15">
        <f>MAX(0,Assumptions!G13-G4)</f>
        <v/>
      </c>
      <c r="H5" s="15">
        <f>MAX(0,Assumptions!H13-H4)</f>
        <v/>
      </c>
      <c r="I5" s="15">
        <f>MAX(0,Assumptions!I13-I4)</f>
        <v/>
      </c>
      <c r="J5" s="15">
        <f>MAX(0,Assumptions!J13-J4)</f>
        <v/>
      </c>
      <c r="K5" s="15">
        <f>MAX(0,Assumptions!K13-K4)</f>
        <v/>
      </c>
      <c r="L5" s="15">
        <f>MAX(0,Assumptions!L13-L4)</f>
        <v/>
      </c>
      <c r="M5" s="15">
        <f>MAX(0,Assumptions!M13-M4)</f>
        <v/>
      </c>
      <c r="N5" s="15">
        <f>MAX(0,Assumptions!N13-N4)</f>
        <v/>
      </c>
      <c r="O5" s="15">
        <f>MAX(0,Assumptions!O13-O4)</f>
        <v/>
      </c>
      <c r="P5" s="15">
        <f>MAX(0,Assumptions!P13-P4)</f>
        <v/>
      </c>
      <c r="Q5" s="15">
        <f>MAX(0,Assumptions!Q13-Q4)</f>
        <v/>
      </c>
      <c r="R5" s="15">
        <f>MAX(0,Assumptions!R13-R4)</f>
        <v/>
      </c>
      <c r="S5" s="15">
        <f>MAX(0,Assumptions!S13-S4)</f>
        <v/>
      </c>
      <c r="T5" s="15">
        <f>MAX(0,Assumptions!T13-T4)</f>
        <v/>
      </c>
      <c r="U5" s="15">
        <f>MAX(0,Assumptions!U13-U4)</f>
        <v/>
      </c>
      <c r="V5" s="15">
        <f>MAX(0,Assumptions!V13-V4)</f>
        <v/>
      </c>
      <c r="W5" s="15">
        <f>MAX(0,Assumptions!W13-W4)</f>
        <v/>
      </c>
      <c r="X5" s="15">
        <f>MAX(0,Assumptions!X13-X4)</f>
        <v/>
      </c>
      <c r="Y5" s="15">
        <f>MAX(0,Assumptions!Y13-Y4)</f>
        <v/>
      </c>
    </row>
    <row r="6">
      <c r="A6" s="8" t="inlineStr">
        <is>
          <t>Revenue earned - owned license</t>
        </is>
      </c>
      <c r="B6" s="4">
        <f>B4*'Assumptions'!$B$4*'Assumptions'!$B$5</f>
        <v/>
      </c>
      <c r="C6" s="4">
        <f>C4*'Assumptions'!$B$4*'Assumptions'!$B$5</f>
        <v/>
      </c>
      <c r="D6" s="4">
        <f>D4*'Assumptions'!$B$4*'Assumptions'!$B$5</f>
        <v/>
      </c>
      <c r="E6" s="4">
        <f>E4*'Assumptions'!$B$4*'Assumptions'!$B$5</f>
        <v/>
      </c>
      <c r="F6" s="4">
        <f>F4*'Assumptions'!$B$4*'Assumptions'!$B$5</f>
        <v/>
      </c>
      <c r="G6" s="4">
        <f>G4*'Assumptions'!$B$4*'Assumptions'!$B$5</f>
        <v/>
      </c>
      <c r="H6" s="4">
        <f>H4*'Assumptions'!$B$4*'Assumptions'!$B$5</f>
        <v/>
      </c>
      <c r="I6" s="4">
        <f>I4*'Assumptions'!$B$4*'Assumptions'!$B$5</f>
        <v/>
      </c>
      <c r="J6" s="4">
        <f>J4*'Assumptions'!$B$4*'Assumptions'!$B$5</f>
        <v/>
      </c>
      <c r="K6" s="4">
        <f>K4*'Assumptions'!$B$4*'Assumptions'!$B$5</f>
        <v/>
      </c>
      <c r="L6" s="4">
        <f>L4*'Assumptions'!$B$4*'Assumptions'!$B$5</f>
        <v/>
      </c>
      <c r="M6" s="4">
        <f>M4*'Assumptions'!$B$4*'Assumptions'!$B$5</f>
        <v/>
      </c>
      <c r="N6" s="4">
        <f>N4*'Assumptions'!$B$4*'Assumptions'!$B$5</f>
        <v/>
      </c>
      <c r="O6" s="4">
        <f>O4*'Assumptions'!$B$4*'Assumptions'!$B$5</f>
        <v/>
      </c>
      <c r="P6" s="4">
        <f>P4*'Assumptions'!$B$4*'Assumptions'!$B$5</f>
        <v/>
      </c>
      <c r="Q6" s="4">
        <f>Q4*'Assumptions'!$B$4*'Assumptions'!$B$5</f>
        <v/>
      </c>
      <c r="R6" s="4">
        <f>R4*'Assumptions'!$B$4*'Assumptions'!$B$5</f>
        <v/>
      </c>
      <c r="S6" s="4">
        <f>S4*'Assumptions'!$B$4*'Assumptions'!$B$5</f>
        <v/>
      </c>
      <c r="T6" s="4">
        <f>T4*'Assumptions'!$B$4*'Assumptions'!$B$5</f>
        <v/>
      </c>
      <c r="U6" s="4">
        <f>U4*'Assumptions'!$B$4*'Assumptions'!$B$5</f>
        <v/>
      </c>
      <c r="V6" s="4">
        <f>V4*'Assumptions'!$B$4*'Assumptions'!$B$5</f>
        <v/>
      </c>
      <c r="W6" s="4">
        <f>W4*'Assumptions'!$B$4*'Assumptions'!$B$5</f>
        <v/>
      </c>
      <c r="X6" s="4">
        <f>X4*'Assumptions'!$B$4*'Assumptions'!$B$5</f>
        <v/>
      </c>
      <c r="Y6" s="4">
        <f>Y4*'Assumptions'!$B$4*'Assumptions'!$B$5</f>
        <v/>
      </c>
    </row>
    <row r="7">
      <c r="A7" s="8" t="inlineStr">
        <is>
          <t>Collection month - owned (lag + hold from start)</t>
        </is>
      </c>
      <c r="B7" s="19">
        <f>MAX(1+1,('Assumptions'!$B$30+'Assumptions'!$B$31)+1)</f>
        <v/>
      </c>
      <c r="C7" s="19">
        <f>MAX(2+1,('Assumptions'!$B$30+'Assumptions'!$B$31)+1)</f>
        <v/>
      </c>
      <c r="D7" s="19">
        <f>MAX(3+1,('Assumptions'!$B$30+'Assumptions'!$B$31)+1)</f>
        <v/>
      </c>
      <c r="E7" s="19">
        <f>MAX(4+1,('Assumptions'!$B$30+'Assumptions'!$B$31)+1)</f>
        <v/>
      </c>
      <c r="F7" s="19">
        <f>MAX(5+1,('Assumptions'!$B$30+'Assumptions'!$B$31)+1)</f>
        <v/>
      </c>
      <c r="G7" s="19">
        <f>MAX(6+1,('Assumptions'!$B$30+'Assumptions'!$B$31)+1)</f>
        <v/>
      </c>
      <c r="H7" s="19">
        <f>MAX(7+1,('Assumptions'!$B$30+'Assumptions'!$B$31)+1)</f>
        <v/>
      </c>
      <c r="I7" s="19">
        <f>MAX(8+1,('Assumptions'!$B$30+'Assumptions'!$B$31)+1)</f>
        <v/>
      </c>
      <c r="J7" s="19">
        <f>MAX(9+1,('Assumptions'!$B$30+'Assumptions'!$B$31)+1)</f>
        <v/>
      </c>
      <c r="K7" s="19">
        <f>MAX(10+1,('Assumptions'!$B$30+'Assumptions'!$B$31)+1)</f>
        <v/>
      </c>
      <c r="L7" s="19">
        <f>MAX(11+1,('Assumptions'!$B$30+'Assumptions'!$B$31)+1)</f>
        <v/>
      </c>
      <c r="M7" s="19">
        <f>MAX(12+1,('Assumptions'!$B$30+'Assumptions'!$B$31)+1)</f>
        <v/>
      </c>
      <c r="N7" s="19">
        <f>MAX(13+1,('Assumptions'!$B$30+'Assumptions'!$B$31)+1)</f>
        <v/>
      </c>
      <c r="O7" s="19">
        <f>MAX(14+1,('Assumptions'!$B$30+'Assumptions'!$B$31)+1)</f>
        <v/>
      </c>
      <c r="P7" s="19">
        <f>MAX(15+1,('Assumptions'!$B$30+'Assumptions'!$B$31)+1)</f>
        <v/>
      </c>
      <c r="Q7" s="19">
        <f>MAX(16+1,('Assumptions'!$B$30+'Assumptions'!$B$31)+1)</f>
        <v/>
      </c>
      <c r="R7" s="19">
        <f>MAX(17+1,('Assumptions'!$B$30+'Assumptions'!$B$31)+1)</f>
        <v/>
      </c>
      <c r="S7" s="19">
        <f>MAX(18+1,('Assumptions'!$B$30+'Assumptions'!$B$31)+1)</f>
        <v/>
      </c>
      <c r="T7" s="19">
        <f>MAX(19+1,('Assumptions'!$B$30+'Assumptions'!$B$31)+1)</f>
        <v/>
      </c>
      <c r="U7" s="19">
        <f>MAX(20+1,('Assumptions'!$B$30+'Assumptions'!$B$31)+1)</f>
        <v/>
      </c>
      <c r="V7" s="19">
        <f>MAX(21+1,('Assumptions'!$B$30+'Assumptions'!$B$31)+1)</f>
        <v/>
      </c>
      <c r="W7" s="19">
        <f>MAX(22+1,('Assumptions'!$B$30+'Assumptions'!$B$31)+1)</f>
        <v/>
      </c>
      <c r="X7" s="19">
        <f>MAX(23+1,('Assumptions'!$B$30+'Assumptions'!$B$31)+1)</f>
        <v/>
      </c>
      <c r="Y7" s="19">
        <f>MAX(24+1,('Assumptions'!$B$30+'Assumptions'!$B$31)+1)</f>
        <v/>
      </c>
    </row>
    <row r="8">
      <c r="A8" s="8" t="inlineStr">
        <is>
          <t>Collections - owned license</t>
        </is>
      </c>
      <c r="B8" s="4">
        <f>SUMPRODUCT(($B$7:$Y$7=1)*$B$6:$Y$6)</f>
        <v/>
      </c>
      <c r="C8" s="4">
        <f>SUMPRODUCT(($B$7:$Y$7=2)*$B$6:$Y$6)</f>
        <v/>
      </c>
      <c r="D8" s="4">
        <f>SUMPRODUCT(($B$7:$Y$7=3)*$B$6:$Y$6)</f>
        <v/>
      </c>
      <c r="E8" s="4">
        <f>SUMPRODUCT(($B$7:$Y$7=4)*$B$6:$Y$6)</f>
        <v/>
      </c>
      <c r="F8" s="4">
        <f>SUMPRODUCT(($B$7:$Y$7=5)*$B$6:$Y$6)</f>
        <v/>
      </c>
      <c r="G8" s="4">
        <f>SUMPRODUCT(($B$7:$Y$7=6)*$B$6:$Y$6)</f>
        <v/>
      </c>
      <c r="H8" s="4">
        <f>SUMPRODUCT(($B$7:$Y$7=7)*$B$6:$Y$6)</f>
        <v/>
      </c>
      <c r="I8" s="4">
        <f>SUMPRODUCT(($B$7:$Y$7=8)*$B$6:$Y$6)</f>
        <v/>
      </c>
      <c r="J8" s="4">
        <f>SUMPRODUCT(($B$7:$Y$7=9)*$B$6:$Y$6)</f>
        <v/>
      </c>
      <c r="K8" s="4">
        <f>SUMPRODUCT(($B$7:$Y$7=10)*$B$6:$Y$6)</f>
        <v/>
      </c>
      <c r="L8" s="4">
        <f>SUMPRODUCT(($B$7:$Y$7=11)*$B$6:$Y$6)</f>
        <v/>
      </c>
      <c r="M8" s="4">
        <f>SUMPRODUCT(($B$7:$Y$7=12)*$B$6:$Y$6)</f>
        <v/>
      </c>
      <c r="N8" s="4">
        <f>SUMPRODUCT(($B$7:$Y$7=13)*$B$6:$Y$6)</f>
        <v/>
      </c>
      <c r="O8" s="4">
        <f>SUMPRODUCT(($B$7:$Y$7=14)*$B$6:$Y$6)</f>
        <v/>
      </c>
      <c r="P8" s="4">
        <f>SUMPRODUCT(($B$7:$Y$7=15)*$B$6:$Y$6)</f>
        <v/>
      </c>
      <c r="Q8" s="4">
        <f>SUMPRODUCT(($B$7:$Y$7=16)*$B$6:$Y$6)</f>
        <v/>
      </c>
      <c r="R8" s="4">
        <f>SUMPRODUCT(($B$7:$Y$7=17)*$B$6:$Y$6)</f>
        <v/>
      </c>
      <c r="S8" s="4">
        <f>SUMPRODUCT(($B$7:$Y$7=18)*$B$6:$Y$6)</f>
        <v/>
      </c>
      <c r="T8" s="4">
        <f>SUMPRODUCT(($B$7:$Y$7=19)*$B$6:$Y$6)</f>
        <v/>
      </c>
      <c r="U8" s="4">
        <f>SUMPRODUCT(($B$7:$Y$7=20)*$B$6:$Y$6)</f>
        <v/>
      </c>
      <c r="V8" s="4">
        <f>SUMPRODUCT(($B$7:$Y$7=21)*$B$6:$Y$6)</f>
        <v/>
      </c>
      <c r="W8" s="4">
        <f>SUMPRODUCT(($B$7:$Y$7=22)*$B$6:$Y$6)</f>
        <v/>
      </c>
      <c r="X8" s="4">
        <f>SUMPRODUCT(($B$7:$Y$7=23)*$B$6:$Y$6)</f>
        <v/>
      </c>
      <c r="Y8" s="4">
        <f>SUMPRODUCT(($B$7:$Y$7=24)*$B$6:$Y$6)</f>
        <v/>
      </c>
    </row>
    <row r="9">
      <c r="A9" s="8" t="inlineStr">
        <is>
          <t>Collections - Jason census (+1 lag, no hold)</t>
        </is>
      </c>
      <c r="B9" s="4">
        <f>0</f>
        <v/>
      </c>
      <c r="C9" s="4">
        <f>B5*'Assumptions'!$B$4*'Assumptions'!$B$5*'Assumptions'!$B$8</f>
        <v/>
      </c>
      <c r="D9" s="4">
        <f>C5*'Assumptions'!$B$4*'Assumptions'!$B$5*'Assumptions'!$B$8</f>
        <v/>
      </c>
      <c r="E9" s="4">
        <f>D5*'Assumptions'!$B$4*'Assumptions'!$B$5*'Assumptions'!$B$8</f>
        <v/>
      </c>
      <c r="F9" s="4">
        <f>E5*'Assumptions'!$B$4*'Assumptions'!$B$5*'Assumptions'!$B$8</f>
        <v/>
      </c>
      <c r="G9" s="4">
        <f>F5*'Assumptions'!$B$4*'Assumptions'!$B$5*'Assumptions'!$B$8</f>
        <v/>
      </c>
      <c r="H9" s="4">
        <f>G5*'Assumptions'!$B$4*'Assumptions'!$B$5*'Assumptions'!$B$8</f>
        <v/>
      </c>
      <c r="I9" s="4">
        <f>H5*'Assumptions'!$B$4*'Assumptions'!$B$5*'Assumptions'!$B$8</f>
        <v/>
      </c>
      <c r="J9" s="4">
        <f>I5*'Assumptions'!$B$4*'Assumptions'!$B$5*'Assumptions'!$B$8</f>
        <v/>
      </c>
      <c r="K9" s="4">
        <f>J5*'Assumptions'!$B$4*'Assumptions'!$B$5*'Assumptions'!$B$8</f>
        <v/>
      </c>
      <c r="L9" s="4">
        <f>K5*'Assumptions'!$B$4*'Assumptions'!$B$5*'Assumptions'!$B$8</f>
        <v/>
      </c>
      <c r="M9" s="4">
        <f>L5*'Assumptions'!$B$4*'Assumptions'!$B$5*'Assumptions'!$B$8</f>
        <v/>
      </c>
      <c r="N9" s="4">
        <f>M5*'Assumptions'!$B$4*'Assumptions'!$B$5*'Assumptions'!$B$8</f>
        <v/>
      </c>
      <c r="O9" s="4">
        <f>N5*'Assumptions'!$B$4*'Assumptions'!$B$5*'Assumptions'!$B$8</f>
        <v/>
      </c>
      <c r="P9" s="4">
        <f>O5*'Assumptions'!$B$4*'Assumptions'!$B$5*'Assumptions'!$B$8</f>
        <v/>
      </c>
      <c r="Q9" s="4">
        <f>P5*'Assumptions'!$B$4*'Assumptions'!$B$5*'Assumptions'!$B$8</f>
        <v/>
      </c>
      <c r="R9" s="4">
        <f>Q5*'Assumptions'!$B$4*'Assumptions'!$B$5*'Assumptions'!$B$8</f>
        <v/>
      </c>
      <c r="S9" s="4">
        <f>R5*'Assumptions'!$B$4*'Assumptions'!$B$5*'Assumptions'!$B$8</f>
        <v/>
      </c>
      <c r="T9" s="4">
        <f>S5*'Assumptions'!$B$4*'Assumptions'!$B$5*'Assumptions'!$B$8</f>
        <v/>
      </c>
      <c r="U9" s="4">
        <f>T5*'Assumptions'!$B$4*'Assumptions'!$B$5*'Assumptions'!$B$8</f>
        <v/>
      </c>
      <c r="V9" s="4">
        <f>U5*'Assumptions'!$B$4*'Assumptions'!$B$5*'Assumptions'!$B$8</f>
        <v/>
      </c>
      <c r="W9" s="4">
        <f>V5*'Assumptions'!$B$4*'Assumptions'!$B$5*'Assumptions'!$B$8</f>
        <v/>
      </c>
      <c r="X9" s="4">
        <f>W5*'Assumptions'!$B$4*'Assumptions'!$B$5*'Assumptions'!$B$8</f>
        <v/>
      </c>
      <c r="Y9" s="4">
        <f>X5*'Assumptions'!$B$4*'Assumptions'!$B$5*'Assumptions'!$B$8</f>
        <v/>
      </c>
    </row>
    <row r="10">
      <c r="A10" s="8" t="inlineStr">
        <is>
          <t>Variable costs (whole book)</t>
        </is>
      </c>
      <c r="B10" s="4">
        <f>-((B4+B5)*'Assumptions'!$B$6*'Assumptions'!$B$5)</f>
        <v/>
      </c>
      <c r="C10" s="4">
        <f>-((C4+C5)*'Assumptions'!$B$6*'Assumptions'!$B$5)</f>
        <v/>
      </c>
      <c r="D10" s="4">
        <f>-((D4+D5)*'Assumptions'!$B$6*'Assumptions'!$B$5)</f>
        <v/>
      </c>
      <c r="E10" s="4">
        <f>-((E4+E5)*'Assumptions'!$B$6*'Assumptions'!$B$5)</f>
        <v/>
      </c>
      <c r="F10" s="4">
        <f>-((F4+F5)*'Assumptions'!$B$6*'Assumptions'!$B$5)</f>
        <v/>
      </c>
      <c r="G10" s="4">
        <f>-((G4+G5)*'Assumptions'!$B$6*'Assumptions'!$B$5)</f>
        <v/>
      </c>
      <c r="H10" s="4">
        <f>-((H4+H5)*'Assumptions'!$B$6*'Assumptions'!$B$5)</f>
        <v/>
      </c>
      <c r="I10" s="4">
        <f>-((I4+I5)*'Assumptions'!$B$6*'Assumptions'!$B$5)</f>
        <v/>
      </c>
      <c r="J10" s="4">
        <f>-((J4+J5)*'Assumptions'!$B$6*'Assumptions'!$B$5)</f>
        <v/>
      </c>
      <c r="K10" s="4">
        <f>-((K4+K5)*'Assumptions'!$B$6*'Assumptions'!$B$5)</f>
        <v/>
      </c>
      <c r="L10" s="4">
        <f>-((L4+L5)*'Assumptions'!$B$6*'Assumptions'!$B$5)</f>
        <v/>
      </c>
      <c r="M10" s="4">
        <f>-((M4+M5)*'Assumptions'!$B$6*'Assumptions'!$B$5)</f>
        <v/>
      </c>
      <c r="N10" s="4">
        <f>-((N4+N5)*'Assumptions'!$B$6*'Assumptions'!$B$5)</f>
        <v/>
      </c>
      <c r="O10" s="4">
        <f>-((O4+O5)*'Assumptions'!$B$6*'Assumptions'!$B$5)</f>
        <v/>
      </c>
      <c r="P10" s="4">
        <f>-((P4+P5)*'Assumptions'!$B$6*'Assumptions'!$B$5)</f>
        <v/>
      </c>
      <c r="Q10" s="4">
        <f>-((Q4+Q5)*'Assumptions'!$B$6*'Assumptions'!$B$5)</f>
        <v/>
      </c>
      <c r="R10" s="4">
        <f>-((R4+R5)*'Assumptions'!$B$6*'Assumptions'!$B$5)</f>
        <v/>
      </c>
      <c r="S10" s="4">
        <f>-((S4+S5)*'Assumptions'!$B$6*'Assumptions'!$B$5)</f>
        <v/>
      </c>
      <c r="T10" s="4">
        <f>-((T4+T5)*'Assumptions'!$B$6*'Assumptions'!$B$5)</f>
        <v/>
      </c>
      <c r="U10" s="4">
        <f>-((U4+U5)*'Assumptions'!$B$6*'Assumptions'!$B$5)</f>
        <v/>
      </c>
      <c r="V10" s="4">
        <f>-((V4+V5)*'Assumptions'!$B$6*'Assumptions'!$B$5)</f>
        <v/>
      </c>
      <c r="W10" s="4">
        <f>-((W4+W5)*'Assumptions'!$B$6*'Assumptions'!$B$5)</f>
        <v/>
      </c>
      <c r="X10" s="4">
        <f>-((X4+X5)*'Assumptions'!$B$6*'Assumptions'!$B$5)</f>
        <v/>
      </c>
      <c r="Y10" s="4">
        <f>-((Y4+Y5)*'Assumptions'!$B$6*'Assumptions'!$B$5)</f>
        <v/>
      </c>
    </row>
    <row r="11">
      <c r="A11" s="8" t="inlineStr">
        <is>
          <t>Fixed overhead + seed carry</t>
        </is>
      </c>
      <c r="B11" s="4">
        <f>-('Assumptions'!$B$7+IF(AND(1&gt;='Assumptions'!$B$30,1&lt;=('Assumptions'!$B$30+'Assumptions'!$B$31)),'Assumptions'!$B$39,0))</f>
        <v/>
      </c>
      <c r="C11" s="4">
        <f>-('Assumptions'!$B$7+IF(AND(2&gt;='Assumptions'!$B$30,2&lt;=('Assumptions'!$B$30+'Assumptions'!$B$31)),'Assumptions'!$B$39,0))</f>
        <v/>
      </c>
      <c r="D11" s="4">
        <f>-('Assumptions'!$B$7+IF(AND(3&gt;='Assumptions'!$B$30,3&lt;=('Assumptions'!$B$30+'Assumptions'!$B$31)),'Assumptions'!$B$39,0))</f>
        <v/>
      </c>
      <c r="E11" s="4">
        <f>-('Assumptions'!$B$7+IF(AND(4&gt;='Assumptions'!$B$30,4&lt;=('Assumptions'!$B$30+'Assumptions'!$B$31)),'Assumptions'!$B$39,0))</f>
        <v/>
      </c>
      <c r="F11" s="4">
        <f>-('Assumptions'!$B$7+IF(AND(5&gt;='Assumptions'!$B$30,5&lt;=('Assumptions'!$B$30+'Assumptions'!$B$31)),'Assumptions'!$B$39,0))</f>
        <v/>
      </c>
      <c r="G11" s="4">
        <f>-('Assumptions'!$B$7+IF(AND(6&gt;='Assumptions'!$B$30,6&lt;=('Assumptions'!$B$30+'Assumptions'!$B$31)),'Assumptions'!$B$39,0))</f>
        <v/>
      </c>
      <c r="H11" s="4">
        <f>-('Assumptions'!$B$7+IF(AND(7&gt;='Assumptions'!$B$30,7&lt;=('Assumptions'!$B$30+'Assumptions'!$B$31)),'Assumptions'!$B$39,0))</f>
        <v/>
      </c>
      <c r="I11" s="4">
        <f>-('Assumptions'!$B$7+IF(AND(8&gt;='Assumptions'!$B$30,8&lt;=('Assumptions'!$B$30+'Assumptions'!$B$31)),'Assumptions'!$B$39,0))</f>
        <v/>
      </c>
      <c r="J11" s="4">
        <f>-('Assumptions'!$B$7+IF(AND(9&gt;='Assumptions'!$B$30,9&lt;=('Assumptions'!$B$30+'Assumptions'!$B$31)),'Assumptions'!$B$39,0))</f>
        <v/>
      </c>
      <c r="K11" s="4">
        <f>-('Assumptions'!$B$7+IF(AND(10&gt;='Assumptions'!$B$30,10&lt;=('Assumptions'!$B$30+'Assumptions'!$B$31)),'Assumptions'!$B$39,0))</f>
        <v/>
      </c>
      <c r="L11" s="4">
        <f>-('Assumptions'!$B$7+IF(AND(11&gt;='Assumptions'!$B$30,11&lt;=('Assumptions'!$B$30+'Assumptions'!$B$31)),'Assumptions'!$B$39,0))</f>
        <v/>
      </c>
      <c r="M11" s="4">
        <f>-('Assumptions'!$B$7+IF(AND(12&gt;='Assumptions'!$B$30,12&lt;=('Assumptions'!$B$30+'Assumptions'!$B$31)),'Assumptions'!$B$39,0))</f>
        <v/>
      </c>
      <c r="N11" s="4">
        <f>-('Assumptions'!$B$7+IF(AND(13&gt;='Assumptions'!$B$30,13&lt;=('Assumptions'!$B$30+'Assumptions'!$B$31)),'Assumptions'!$B$39,0))</f>
        <v/>
      </c>
      <c r="O11" s="4">
        <f>-('Assumptions'!$B$7+IF(AND(14&gt;='Assumptions'!$B$30,14&lt;=('Assumptions'!$B$30+'Assumptions'!$B$31)),'Assumptions'!$B$39,0))</f>
        <v/>
      </c>
      <c r="P11" s="4">
        <f>-('Assumptions'!$B$7+IF(AND(15&gt;='Assumptions'!$B$30,15&lt;=('Assumptions'!$B$30+'Assumptions'!$B$31)),'Assumptions'!$B$39,0))</f>
        <v/>
      </c>
      <c r="Q11" s="4">
        <f>-('Assumptions'!$B$7+IF(AND(16&gt;='Assumptions'!$B$30,16&lt;=('Assumptions'!$B$30+'Assumptions'!$B$31)),'Assumptions'!$B$39,0))</f>
        <v/>
      </c>
      <c r="R11" s="4">
        <f>-('Assumptions'!$B$7+IF(AND(17&gt;='Assumptions'!$B$30,17&lt;=('Assumptions'!$B$30+'Assumptions'!$B$31)),'Assumptions'!$B$39,0))</f>
        <v/>
      </c>
      <c r="S11" s="4">
        <f>-('Assumptions'!$B$7+IF(AND(18&gt;='Assumptions'!$B$30,18&lt;=('Assumptions'!$B$30+'Assumptions'!$B$31)),'Assumptions'!$B$39,0))</f>
        <v/>
      </c>
      <c r="T11" s="4">
        <f>-('Assumptions'!$B$7+IF(AND(19&gt;='Assumptions'!$B$30,19&lt;=('Assumptions'!$B$30+'Assumptions'!$B$31)),'Assumptions'!$B$39,0))</f>
        <v/>
      </c>
      <c r="U11" s="4">
        <f>-('Assumptions'!$B$7+IF(AND(20&gt;='Assumptions'!$B$30,20&lt;=('Assumptions'!$B$30+'Assumptions'!$B$31)),'Assumptions'!$B$39,0))</f>
        <v/>
      </c>
      <c r="V11" s="4">
        <f>-('Assumptions'!$B$7+IF(AND(21&gt;='Assumptions'!$B$30,21&lt;=('Assumptions'!$B$30+'Assumptions'!$B$31)),'Assumptions'!$B$39,0))</f>
        <v/>
      </c>
      <c r="W11" s="4">
        <f>-('Assumptions'!$B$7+IF(AND(22&gt;='Assumptions'!$B$30,22&lt;=('Assumptions'!$B$30+'Assumptions'!$B$31)),'Assumptions'!$B$39,0))</f>
        <v/>
      </c>
      <c r="X11" s="4">
        <f>-('Assumptions'!$B$7+IF(AND(23&gt;='Assumptions'!$B$30,23&lt;=('Assumptions'!$B$30+'Assumptions'!$B$31)),'Assumptions'!$B$39,0))</f>
        <v/>
      </c>
      <c r="Y11" s="4">
        <f>-('Assumptions'!$B$7+IF(AND(24&gt;='Assumptions'!$B$30,24&lt;=('Assumptions'!$B$30+'Assumptions'!$B$31)),'Assumptions'!$B$39,0))</f>
        <v/>
      </c>
    </row>
    <row r="12">
      <c r="A12" s="8" t="inlineStr">
        <is>
          <t>Jason fee (while Jason census active)</t>
        </is>
      </c>
      <c r="B12" s="4">
        <f>-IF(B5&gt;0,'Assumptions'!$B$16,0)</f>
        <v/>
      </c>
      <c r="C12" s="4">
        <f>-IF(C5&gt;0,'Assumptions'!$B$16,0)</f>
        <v/>
      </c>
      <c r="D12" s="4">
        <f>-IF(D5&gt;0,'Assumptions'!$B$16,0)</f>
        <v/>
      </c>
      <c r="E12" s="4">
        <f>-IF(E5&gt;0,'Assumptions'!$B$16,0)</f>
        <v/>
      </c>
      <c r="F12" s="4">
        <f>-IF(F5&gt;0,'Assumptions'!$B$16,0)</f>
        <v/>
      </c>
      <c r="G12" s="4">
        <f>-IF(G5&gt;0,'Assumptions'!$B$16,0)</f>
        <v/>
      </c>
      <c r="H12" s="4">
        <f>-IF(H5&gt;0,'Assumptions'!$B$16,0)</f>
        <v/>
      </c>
      <c r="I12" s="4">
        <f>-IF(I5&gt;0,'Assumptions'!$B$16,0)</f>
        <v/>
      </c>
      <c r="J12" s="4">
        <f>-IF(J5&gt;0,'Assumptions'!$B$16,0)</f>
        <v/>
      </c>
      <c r="K12" s="4">
        <f>-IF(K5&gt;0,'Assumptions'!$B$16,0)</f>
        <v/>
      </c>
      <c r="L12" s="4">
        <f>-IF(L5&gt;0,'Assumptions'!$B$16,0)</f>
        <v/>
      </c>
      <c r="M12" s="4">
        <f>-IF(M5&gt;0,'Assumptions'!$B$16,0)</f>
        <v/>
      </c>
      <c r="N12" s="4">
        <f>-IF(N5&gt;0,'Assumptions'!$B$16,0)</f>
        <v/>
      </c>
      <c r="O12" s="4">
        <f>-IF(O5&gt;0,'Assumptions'!$B$16,0)</f>
        <v/>
      </c>
      <c r="P12" s="4">
        <f>-IF(P5&gt;0,'Assumptions'!$B$16,0)</f>
        <v/>
      </c>
      <c r="Q12" s="4">
        <f>-IF(Q5&gt;0,'Assumptions'!$B$16,0)</f>
        <v/>
      </c>
      <c r="R12" s="4">
        <f>-IF(R5&gt;0,'Assumptions'!$B$16,0)</f>
        <v/>
      </c>
      <c r="S12" s="4">
        <f>-IF(S5&gt;0,'Assumptions'!$B$16,0)</f>
        <v/>
      </c>
      <c r="T12" s="4">
        <f>-IF(T5&gt;0,'Assumptions'!$B$16,0)</f>
        <v/>
      </c>
      <c r="U12" s="4">
        <f>-IF(U5&gt;0,'Assumptions'!$B$16,0)</f>
        <v/>
      </c>
      <c r="V12" s="4">
        <f>-IF(V5&gt;0,'Assumptions'!$B$16,0)</f>
        <v/>
      </c>
      <c r="W12" s="4">
        <f>-IF(W5&gt;0,'Assumptions'!$B$16,0)</f>
        <v/>
      </c>
      <c r="X12" s="4">
        <f>-IF(X5&gt;0,'Assumptions'!$B$16,0)</f>
        <v/>
      </c>
      <c r="Y12" s="4">
        <f>-IF(Y5&gt;0,'Assumptions'!$B$16,0)</f>
        <v/>
      </c>
    </row>
    <row r="13">
      <c r="A13" s="8" t="inlineStr">
        <is>
          <t>Owned-license payments</t>
        </is>
      </c>
      <c r="B13" s="4">
        <f>-IF(1=('Assumptions'!$B$30+'Assumptions'!$B$31),'Assumptions'!$B$33,0)-IF(1=('Assumptions'!$B$30+'Assumptions'!$B$31)+6,'Assumptions'!$B$34,0)-IF(AND(1&gt;=('Assumptions'!$B$30+'Assumptions'!$B$31)+7,1&lt;=('Assumptions'!$B$30+'Assumptions'!$B$31)+24),'Assumptions'!$B$35,0)</f>
        <v/>
      </c>
      <c r="C13" s="4">
        <f>-IF(2=('Assumptions'!$B$30+'Assumptions'!$B$31),'Assumptions'!$B$33,0)-IF(2=('Assumptions'!$B$30+'Assumptions'!$B$31)+6,'Assumptions'!$B$34,0)-IF(AND(2&gt;=('Assumptions'!$B$30+'Assumptions'!$B$31)+7,2&lt;=('Assumptions'!$B$30+'Assumptions'!$B$31)+24),'Assumptions'!$B$35,0)</f>
        <v/>
      </c>
      <c r="D13" s="4">
        <f>-IF(3=('Assumptions'!$B$30+'Assumptions'!$B$31),'Assumptions'!$B$33,0)-IF(3=('Assumptions'!$B$30+'Assumptions'!$B$31)+6,'Assumptions'!$B$34,0)-IF(AND(3&gt;=('Assumptions'!$B$30+'Assumptions'!$B$31)+7,3&lt;=('Assumptions'!$B$30+'Assumptions'!$B$31)+24),'Assumptions'!$B$35,0)</f>
        <v/>
      </c>
      <c r="E13" s="4">
        <f>-IF(4=('Assumptions'!$B$30+'Assumptions'!$B$31),'Assumptions'!$B$33,0)-IF(4=('Assumptions'!$B$30+'Assumptions'!$B$31)+6,'Assumptions'!$B$34,0)-IF(AND(4&gt;=('Assumptions'!$B$30+'Assumptions'!$B$31)+7,4&lt;=('Assumptions'!$B$30+'Assumptions'!$B$31)+24),'Assumptions'!$B$35,0)</f>
        <v/>
      </c>
      <c r="F13" s="4">
        <f>-IF(5=('Assumptions'!$B$30+'Assumptions'!$B$31),'Assumptions'!$B$33,0)-IF(5=('Assumptions'!$B$30+'Assumptions'!$B$31)+6,'Assumptions'!$B$34,0)-IF(AND(5&gt;=('Assumptions'!$B$30+'Assumptions'!$B$31)+7,5&lt;=('Assumptions'!$B$30+'Assumptions'!$B$31)+24),'Assumptions'!$B$35,0)</f>
        <v/>
      </c>
      <c r="G13" s="4">
        <f>-IF(6=('Assumptions'!$B$30+'Assumptions'!$B$31),'Assumptions'!$B$33,0)-IF(6=('Assumptions'!$B$30+'Assumptions'!$B$31)+6,'Assumptions'!$B$34,0)-IF(AND(6&gt;=('Assumptions'!$B$30+'Assumptions'!$B$31)+7,6&lt;=('Assumptions'!$B$30+'Assumptions'!$B$31)+24),'Assumptions'!$B$35,0)</f>
        <v/>
      </c>
      <c r="H13" s="4">
        <f>-IF(7=('Assumptions'!$B$30+'Assumptions'!$B$31),'Assumptions'!$B$33,0)-IF(7=('Assumptions'!$B$30+'Assumptions'!$B$31)+6,'Assumptions'!$B$34,0)-IF(AND(7&gt;=('Assumptions'!$B$30+'Assumptions'!$B$31)+7,7&lt;=('Assumptions'!$B$30+'Assumptions'!$B$31)+24),'Assumptions'!$B$35,0)</f>
        <v/>
      </c>
      <c r="I13" s="4">
        <f>-IF(8=('Assumptions'!$B$30+'Assumptions'!$B$31),'Assumptions'!$B$33,0)-IF(8=('Assumptions'!$B$30+'Assumptions'!$B$31)+6,'Assumptions'!$B$34,0)-IF(AND(8&gt;=('Assumptions'!$B$30+'Assumptions'!$B$31)+7,8&lt;=('Assumptions'!$B$30+'Assumptions'!$B$31)+24),'Assumptions'!$B$35,0)</f>
        <v/>
      </c>
      <c r="J13" s="4">
        <f>-IF(9=('Assumptions'!$B$30+'Assumptions'!$B$31),'Assumptions'!$B$33,0)-IF(9=('Assumptions'!$B$30+'Assumptions'!$B$31)+6,'Assumptions'!$B$34,0)-IF(AND(9&gt;=('Assumptions'!$B$30+'Assumptions'!$B$31)+7,9&lt;=('Assumptions'!$B$30+'Assumptions'!$B$31)+24),'Assumptions'!$B$35,0)</f>
        <v/>
      </c>
      <c r="K13" s="4">
        <f>-IF(10=('Assumptions'!$B$30+'Assumptions'!$B$31),'Assumptions'!$B$33,0)-IF(10=('Assumptions'!$B$30+'Assumptions'!$B$31)+6,'Assumptions'!$B$34,0)-IF(AND(10&gt;=('Assumptions'!$B$30+'Assumptions'!$B$31)+7,10&lt;=('Assumptions'!$B$30+'Assumptions'!$B$31)+24),'Assumptions'!$B$35,0)</f>
        <v/>
      </c>
      <c r="L13" s="4">
        <f>-IF(11=('Assumptions'!$B$30+'Assumptions'!$B$31),'Assumptions'!$B$33,0)-IF(11=('Assumptions'!$B$30+'Assumptions'!$B$31)+6,'Assumptions'!$B$34,0)-IF(AND(11&gt;=('Assumptions'!$B$30+'Assumptions'!$B$31)+7,11&lt;=('Assumptions'!$B$30+'Assumptions'!$B$31)+24),'Assumptions'!$B$35,0)</f>
        <v/>
      </c>
      <c r="M13" s="4">
        <f>-IF(12=('Assumptions'!$B$30+'Assumptions'!$B$31),'Assumptions'!$B$33,0)-IF(12=('Assumptions'!$B$30+'Assumptions'!$B$31)+6,'Assumptions'!$B$34,0)-IF(AND(12&gt;=('Assumptions'!$B$30+'Assumptions'!$B$31)+7,12&lt;=('Assumptions'!$B$30+'Assumptions'!$B$31)+24),'Assumptions'!$B$35,0)</f>
        <v/>
      </c>
      <c r="N13" s="4">
        <f>-IF(13=('Assumptions'!$B$30+'Assumptions'!$B$31),'Assumptions'!$B$33,0)-IF(13=('Assumptions'!$B$30+'Assumptions'!$B$31)+6,'Assumptions'!$B$34,0)-IF(AND(13&gt;=('Assumptions'!$B$30+'Assumptions'!$B$31)+7,13&lt;=('Assumptions'!$B$30+'Assumptions'!$B$31)+24),'Assumptions'!$B$35,0)</f>
        <v/>
      </c>
      <c r="O13" s="4">
        <f>-IF(14=('Assumptions'!$B$30+'Assumptions'!$B$31),'Assumptions'!$B$33,0)-IF(14=('Assumptions'!$B$30+'Assumptions'!$B$31)+6,'Assumptions'!$B$34,0)-IF(AND(14&gt;=('Assumptions'!$B$30+'Assumptions'!$B$31)+7,14&lt;=('Assumptions'!$B$30+'Assumptions'!$B$31)+24),'Assumptions'!$B$35,0)</f>
        <v/>
      </c>
      <c r="P13" s="4">
        <f>-IF(15=('Assumptions'!$B$30+'Assumptions'!$B$31),'Assumptions'!$B$33,0)-IF(15=('Assumptions'!$B$30+'Assumptions'!$B$31)+6,'Assumptions'!$B$34,0)-IF(AND(15&gt;=('Assumptions'!$B$30+'Assumptions'!$B$31)+7,15&lt;=('Assumptions'!$B$30+'Assumptions'!$B$31)+24),'Assumptions'!$B$35,0)</f>
        <v/>
      </c>
      <c r="Q13" s="4">
        <f>-IF(16=('Assumptions'!$B$30+'Assumptions'!$B$31),'Assumptions'!$B$33,0)-IF(16=('Assumptions'!$B$30+'Assumptions'!$B$31)+6,'Assumptions'!$B$34,0)-IF(AND(16&gt;=('Assumptions'!$B$30+'Assumptions'!$B$31)+7,16&lt;=('Assumptions'!$B$30+'Assumptions'!$B$31)+24),'Assumptions'!$B$35,0)</f>
        <v/>
      </c>
      <c r="R13" s="4">
        <f>-IF(17=('Assumptions'!$B$30+'Assumptions'!$B$31),'Assumptions'!$B$33,0)-IF(17=('Assumptions'!$B$30+'Assumptions'!$B$31)+6,'Assumptions'!$B$34,0)-IF(AND(17&gt;=('Assumptions'!$B$30+'Assumptions'!$B$31)+7,17&lt;=('Assumptions'!$B$30+'Assumptions'!$B$31)+24),'Assumptions'!$B$35,0)</f>
        <v/>
      </c>
      <c r="S13" s="4">
        <f>-IF(18=('Assumptions'!$B$30+'Assumptions'!$B$31),'Assumptions'!$B$33,0)-IF(18=('Assumptions'!$B$30+'Assumptions'!$B$31)+6,'Assumptions'!$B$34,0)-IF(AND(18&gt;=('Assumptions'!$B$30+'Assumptions'!$B$31)+7,18&lt;=('Assumptions'!$B$30+'Assumptions'!$B$31)+24),'Assumptions'!$B$35,0)</f>
        <v/>
      </c>
      <c r="T13" s="4">
        <f>-IF(19=('Assumptions'!$B$30+'Assumptions'!$B$31),'Assumptions'!$B$33,0)-IF(19=('Assumptions'!$B$30+'Assumptions'!$B$31)+6,'Assumptions'!$B$34,0)-IF(AND(19&gt;=('Assumptions'!$B$30+'Assumptions'!$B$31)+7,19&lt;=('Assumptions'!$B$30+'Assumptions'!$B$31)+24),'Assumptions'!$B$35,0)</f>
        <v/>
      </c>
      <c r="U13" s="4">
        <f>-IF(20=('Assumptions'!$B$30+'Assumptions'!$B$31),'Assumptions'!$B$33,0)-IF(20=('Assumptions'!$B$30+'Assumptions'!$B$31)+6,'Assumptions'!$B$34,0)-IF(AND(20&gt;=('Assumptions'!$B$30+'Assumptions'!$B$31)+7,20&lt;=('Assumptions'!$B$30+'Assumptions'!$B$31)+24),'Assumptions'!$B$35,0)</f>
        <v/>
      </c>
      <c r="V13" s="4">
        <f>-IF(21=('Assumptions'!$B$30+'Assumptions'!$B$31),'Assumptions'!$B$33,0)-IF(21=('Assumptions'!$B$30+'Assumptions'!$B$31)+6,'Assumptions'!$B$34,0)-IF(AND(21&gt;=('Assumptions'!$B$30+'Assumptions'!$B$31)+7,21&lt;=('Assumptions'!$B$30+'Assumptions'!$B$31)+24),'Assumptions'!$B$35,0)</f>
        <v/>
      </c>
      <c r="W13" s="4">
        <f>-IF(22=('Assumptions'!$B$30+'Assumptions'!$B$31),'Assumptions'!$B$33,0)-IF(22=('Assumptions'!$B$30+'Assumptions'!$B$31)+6,'Assumptions'!$B$34,0)-IF(AND(22&gt;=('Assumptions'!$B$30+'Assumptions'!$B$31)+7,22&lt;=('Assumptions'!$B$30+'Assumptions'!$B$31)+24),'Assumptions'!$B$35,0)</f>
        <v/>
      </c>
      <c r="X13" s="4">
        <f>-IF(23=('Assumptions'!$B$30+'Assumptions'!$B$31),'Assumptions'!$B$33,0)-IF(23=('Assumptions'!$B$30+'Assumptions'!$B$31)+6,'Assumptions'!$B$34,0)-IF(AND(23&gt;=('Assumptions'!$B$30+'Assumptions'!$B$31)+7,23&lt;=('Assumptions'!$B$30+'Assumptions'!$B$31)+24),'Assumptions'!$B$35,0)</f>
        <v/>
      </c>
      <c r="Y13" s="4">
        <f>-IF(24=('Assumptions'!$B$30+'Assumptions'!$B$31),'Assumptions'!$B$33,0)-IF(24=('Assumptions'!$B$30+'Assumptions'!$B$31)+6,'Assumptions'!$B$34,0)-IF(AND(24&gt;=('Assumptions'!$B$30+'Assumptions'!$B$31)+7,24&lt;=('Assumptions'!$B$30+'Assumptions'!$B$31)+24),'Assumptions'!$B$35,0)</f>
        <v/>
      </c>
    </row>
    <row r="14">
      <c r="A14" s="3" t="inlineStr">
        <is>
          <t>NET CASH FLOW</t>
        </is>
      </c>
      <c r="B14" s="16">
        <f>B8+B9+B10+B11+B12+B13</f>
        <v/>
      </c>
      <c r="C14" s="16">
        <f>C8+C9+C10+C11+C12+C13</f>
        <v/>
      </c>
      <c r="D14" s="16">
        <f>D8+D9+D10+D11+D12+D13</f>
        <v/>
      </c>
      <c r="E14" s="16">
        <f>E8+E9+E10+E11+E12+E13</f>
        <v/>
      </c>
      <c r="F14" s="16">
        <f>F8+F9+F10+F11+F12+F13</f>
        <v/>
      </c>
      <c r="G14" s="16">
        <f>G8+G9+G10+G11+G12+G13</f>
        <v/>
      </c>
      <c r="H14" s="16">
        <f>H8+H9+H10+H11+H12+H13</f>
        <v/>
      </c>
      <c r="I14" s="16">
        <f>I8+I9+I10+I11+I12+I13</f>
        <v/>
      </c>
      <c r="J14" s="16">
        <f>J8+J9+J10+J11+J12+J13</f>
        <v/>
      </c>
      <c r="K14" s="16">
        <f>K8+K9+K10+K11+K12+K13</f>
        <v/>
      </c>
      <c r="L14" s="16">
        <f>L8+L9+L10+L11+L12+L13</f>
        <v/>
      </c>
      <c r="M14" s="16">
        <f>M8+M9+M10+M11+M12+M13</f>
        <v/>
      </c>
      <c r="N14" s="16">
        <f>N8+N9+N10+N11+N12+N13</f>
        <v/>
      </c>
      <c r="O14" s="16">
        <f>O8+O9+O10+O11+O12+O13</f>
        <v/>
      </c>
      <c r="P14" s="16">
        <f>P8+P9+P10+P11+P12+P13</f>
        <v/>
      </c>
      <c r="Q14" s="16">
        <f>Q8+Q9+Q10+Q11+Q12+Q13</f>
        <v/>
      </c>
      <c r="R14" s="16">
        <f>R8+R9+R10+R11+R12+R13</f>
        <v/>
      </c>
      <c r="S14" s="16">
        <f>S8+S9+S10+S11+S12+S13</f>
        <v/>
      </c>
      <c r="T14" s="16">
        <f>T8+T9+T10+T11+T12+T13</f>
        <v/>
      </c>
      <c r="U14" s="16">
        <f>U8+U9+U10+U11+U12+U13</f>
        <v/>
      </c>
      <c r="V14" s="16">
        <f>V8+V9+V10+V11+V12+V13</f>
        <v/>
      </c>
      <c r="W14" s="16">
        <f>W8+W9+W10+W11+W12+W13</f>
        <v/>
      </c>
      <c r="X14" s="16">
        <f>X8+X9+X10+X11+X12+X13</f>
        <v/>
      </c>
      <c r="Y14" s="16">
        <f>Y8+Y9+Y10+Y11+Y12+Y13</f>
        <v/>
      </c>
    </row>
    <row r="15">
      <c r="A15" s="3" t="inlineStr">
        <is>
          <t>Cumulative cash (no equity assumed)</t>
        </is>
      </c>
      <c r="B15" s="17">
        <f>B14</f>
        <v/>
      </c>
      <c r="C15" s="17">
        <f>B15+C14</f>
        <v/>
      </c>
      <c r="D15" s="17">
        <f>C15+D14</f>
        <v/>
      </c>
      <c r="E15" s="17">
        <f>D15+E14</f>
        <v/>
      </c>
      <c r="F15" s="17">
        <f>E15+F14</f>
        <v/>
      </c>
      <c r="G15" s="17">
        <f>F15+G14</f>
        <v/>
      </c>
      <c r="H15" s="17">
        <f>G15+H14</f>
        <v/>
      </c>
      <c r="I15" s="17">
        <f>H15+I14</f>
        <v/>
      </c>
      <c r="J15" s="17">
        <f>I15+J14</f>
        <v/>
      </c>
      <c r="K15" s="17">
        <f>J15+K14</f>
        <v/>
      </c>
      <c r="L15" s="17">
        <f>K15+L14</f>
        <v/>
      </c>
      <c r="M15" s="17">
        <f>L15+M14</f>
        <v/>
      </c>
      <c r="N15" s="17">
        <f>M15+N14</f>
        <v/>
      </c>
      <c r="O15" s="17">
        <f>N15+O14</f>
        <v/>
      </c>
      <c r="P15" s="17">
        <f>O15+P14</f>
        <v/>
      </c>
      <c r="Q15" s="17">
        <f>P15+Q14</f>
        <v/>
      </c>
      <c r="R15" s="17">
        <f>Q15+R14</f>
        <v/>
      </c>
      <c r="S15" s="17">
        <f>R15+S14</f>
        <v/>
      </c>
      <c r="T15" s="17">
        <f>S15+T14</f>
        <v/>
      </c>
      <c r="U15" s="17">
        <f>T15+U14</f>
        <v/>
      </c>
      <c r="V15" s="17">
        <f>U15+V14</f>
        <v/>
      </c>
      <c r="W15" s="17">
        <f>V15+W14</f>
        <v/>
      </c>
      <c r="X15" s="17">
        <f>W15+X14</f>
        <v/>
      </c>
      <c r="Y15" s="17">
        <f>X15+Y14</f>
        <v/>
      </c>
    </row>
    <row r="16">
      <c r="A16" s="3" t="inlineStr">
        <is>
          <t>PEAK FUNDING NEED (max cumulative deficit)</t>
        </is>
      </c>
      <c r="B16" s="18">
        <f>MAX(0,-MIN($B$15:$Y$15))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2026-07-29T15:21:14Z</dcterms:created>
  <dcterms:modified xmlns:dcterms="http://purl.org/dc/terms/" xmlns:xsi="http://www.w3.org/2001/XMLSchema-instance" xsi:type="dcterms:W3CDTF">2026-07-29T15:21:14Z</dcterms:modified>
</cp:coreProperties>
</file>