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Census" sheetId="2" state="visible" r:id="rId2"/>
    <sheet xmlns:r="http://schemas.openxmlformats.org/officeDocument/2006/relationships" name="Collections" sheetId="3" state="visible" r:id="rId3"/>
    <sheet xmlns:r="http://schemas.openxmlformats.org/officeDocument/2006/relationships" name="Payroll" sheetId="4" state="visible" r:id="rId4"/>
    <sheet xmlns:r="http://schemas.openxmlformats.org/officeDocument/2006/relationships" name="Monthly x36" sheetId="5" state="visible" r:id="rId5"/>
    <sheet xmlns:r="http://schemas.openxmlformats.org/officeDocument/2006/relationships" name="Weekly Cash 13wk" sheetId="6" state="visible" r:id="rId6"/>
    <sheet xmlns:r="http://schemas.openxmlformats.org/officeDocument/2006/relationships" name="Actuals vs Budget" sheetId="7" state="visible" r:id="rId7"/>
    <sheet xmlns:r="http://schemas.openxmlformats.org/officeDocument/2006/relationships" name="Investor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"/>
    <numFmt numFmtId="165" formatCode="0.0%;(0.0%);&quot;-&quot;"/>
    <numFmt numFmtId="166" formatCode="#,##0.0;(#,##0.0);&quot;-&quot;"/>
    <numFmt numFmtId="167" formatCode="0.00%;(0.00%);&quot;-&quot;"/>
    <numFmt numFmtId="168" formatCode="$#,##0;($#,##0);&quot;-&quot;"/>
    <numFmt numFmtId="169" formatCode="#,##0;(#,##0);&quot;-&quot;"/>
    <numFmt numFmtId="170" formatCode="0.00x;(0.00x);&quot;-&quot;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9D9D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CC"/>
      <sz val="10"/>
    </font>
    <font>
      <name val="Calibri"/>
      <i val="1"/>
      <color rgb="00000000"/>
      <sz val="10"/>
    </font>
    <font>
      <name val="Calibri"/>
      <b val="1"/>
      <color rgb="00000000"/>
      <sz val="10"/>
    </font>
    <font>
      <name val="Calibri"/>
      <color rgb="00006100"/>
      <sz val="10"/>
    </font>
    <font>
      <name val="Calibri"/>
      <b val="1"/>
      <color rgb="000061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67" fontId="5" fillId="4" borderId="1" applyAlignment="1" pivotButton="0" quotePrefix="0" xfId="0">
      <alignment horizontal="right" vertical="center"/>
    </xf>
    <xf numFmtId="168" fontId="5" fillId="4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2" fontId="5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 wrapText="1"/>
    </xf>
    <xf numFmtId="166" fontId="4" fillId="0" borderId="0" applyAlignment="1" pivotButton="0" quotePrefix="0" xfId="0">
      <alignment horizontal="right" vertical="center"/>
    </xf>
    <xf numFmtId="166" fontId="7" fillId="6" borderId="0" applyAlignment="1" pivotButton="0" quotePrefix="0" xfId="0">
      <alignment horizontal="right" vertical="center"/>
    </xf>
    <xf numFmtId="3" fontId="7" fillId="5" borderId="1" applyAlignment="1" pivotButton="0" quotePrefix="0" xfId="0">
      <alignment horizontal="center" vertical="center" wrapText="1"/>
    </xf>
    <xf numFmtId="166" fontId="8" fillId="0" borderId="0" applyAlignment="1" pivotButton="0" quotePrefix="0" xfId="0">
      <alignment horizontal="right" vertical="center"/>
    </xf>
    <xf numFmtId="166" fontId="7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168" fontId="7" fillId="6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168" fontId="7" fillId="0" borderId="0" applyAlignment="1" pivotButton="0" quotePrefix="0" xfId="0">
      <alignment horizontal="right" vertical="center"/>
    </xf>
    <xf numFmtId="168" fontId="9" fillId="6" borderId="0" applyAlignment="1" pivotButton="0" quotePrefix="0" xfId="0">
      <alignment horizontal="right" vertical="center"/>
    </xf>
    <xf numFmtId="168" fontId="8" fillId="0" borderId="0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N91"/>
  <sheetViews>
    <sheetView showGridLines="0" tabSelected="1"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Assumptions - ALL editable cells are yellow/blue. Everything downstream is formulas.</t>
        </is>
      </c>
    </row>
    <row r="4">
      <c r="A4" s="3" t="inlineStr">
        <is>
          <t>A. RATES &amp; PAYER MIX</t>
        </is>
      </c>
    </row>
    <row r="5">
      <c r="A5" s="4" t="inlineStr">
        <is>
          <t>Medicare blended NET rate ($/patient-day)</t>
        </is>
      </c>
      <c r="B5" s="5" t="n">
        <v>181</v>
      </c>
    </row>
    <row r="6">
      <c r="A6" s="4" t="inlineStr">
        <is>
          <t>Medicaid blended NET rate ($/patient-day)</t>
        </is>
      </c>
      <c r="B6" s="5" t="n">
        <v>155</v>
      </c>
    </row>
    <row r="7">
      <c r="A7" s="4" t="inlineStr">
        <is>
          <t>Medicare share of patient days</t>
        </is>
      </c>
      <c r="B7" s="6" t="n">
        <v>0.95</v>
      </c>
    </row>
    <row r="8">
      <c r="A8" s="4" t="inlineStr">
        <is>
          <t>Rate escalation (annual, yrs 2-3)</t>
        </is>
      </c>
      <c r="B8" s="6" t="n">
        <v>0.025</v>
      </c>
    </row>
    <row r="9">
      <c r="A9" s="4" t="inlineStr">
        <is>
          <t>Average days per month</t>
        </is>
      </c>
      <c r="B9" s="7" t="n">
        <v>30.4</v>
      </c>
    </row>
    <row r="11">
      <c r="A11" s="3" t="inlineStr">
        <is>
          <t>B. CENSUS ENGINE (admissions are the operating lever - edit rows on Census tab)</t>
        </is>
      </c>
    </row>
    <row r="12">
      <c r="A12" s="4" t="inlineStr">
        <is>
          <t>Average length of stay (days)</t>
        </is>
      </c>
      <c r="B12" s="7" t="n">
        <v>82</v>
      </c>
    </row>
    <row r="13">
      <c r="A13" s="4" t="inlineStr">
        <is>
          <t>Deaths as share of separations</t>
        </is>
      </c>
      <c r="B13" s="6" t="n">
        <v>0.55</v>
      </c>
    </row>
    <row r="14">
      <c r="A14" s="4" t="inlineStr">
        <is>
          <t>SCENARIO: census capture (1.00 = plan)</t>
        </is>
      </c>
      <c r="B14" s="6" t="n">
        <v>1</v>
      </c>
    </row>
    <row r="16">
      <c r="A16" s="3" t="inlineStr">
        <is>
          <t>C. BILLING &amp; COLLECTIONS</t>
        </is>
      </c>
    </row>
    <row r="17">
      <c r="A17" s="4" t="inlineStr">
        <is>
          <t>Days lost per late NOE (per affected admit)</t>
        </is>
      </c>
      <c r="B17" s="7" t="n">
        <v>5</v>
      </c>
    </row>
    <row r="18">
      <c r="A18" s="4" t="inlineStr">
        <is>
          <t>Late-NOE rate (share of admits)</t>
        </is>
      </c>
      <c r="B18" s="6" t="n">
        <v>0.02</v>
      </c>
    </row>
    <row r="19">
      <c r="A19" s="4" t="inlineStr">
        <is>
          <t>CHOW payment hold (months; 0/1/2)</t>
        </is>
      </c>
      <c r="B19" s="8" t="n">
        <v>1</v>
      </c>
      <c r="D19" s="9" t="inlineStr">
        <is>
          <t>MAC hold on first claims after ownership change</t>
        </is>
      </c>
    </row>
    <row r="20">
      <c r="A20" s="4" t="inlineStr">
        <is>
          <t>Base collection lag (months)</t>
        </is>
      </c>
      <c r="B20" s="8" t="n">
        <v>1</v>
      </c>
    </row>
    <row r="22">
      <c r="A22" s="3" t="inlineStr">
        <is>
          <t>D. PAYROLL &amp; BENEFITS (per-employee register on Payroll tab)</t>
        </is>
      </c>
    </row>
    <row r="23">
      <c r="A23" s="4" t="inlineStr">
        <is>
          <t>Payroll burden (taxes/WC) on W-2 + PRN</t>
        </is>
      </c>
      <c r="B23" s="10" t="n">
        <v>0.1827</v>
      </c>
    </row>
    <row r="24">
      <c r="A24" s="4" t="inlineStr">
        <is>
          <t>Health insurance ($/covered head/mo)</t>
        </is>
      </c>
      <c r="B24" s="11" t="n">
        <v>550</v>
      </c>
    </row>
    <row r="25">
      <c r="A25" s="4" t="inlineStr">
        <is>
          <t>Health waiting period (months)</t>
        </is>
      </c>
      <c r="B25" s="8" t="n">
        <v>3</v>
      </c>
    </row>
    <row r="26">
      <c r="A26" s="4" t="inlineStr">
        <is>
          <t>SCENARIO: payroll adjustment (+/- %)</t>
        </is>
      </c>
      <c r="B26" s="6" t="n">
        <v>0</v>
      </c>
    </row>
    <row r="27">
      <c r="A27" s="4" t="inlineStr">
        <is>
          <t>Salary escalation (annual, yrs 2-3)</t>
        </is>
      </c>
      <c r="B27" s="6" t="n">
        <v>0.03</v>
      </c>
    </row>
    <row r="28">
      <c r="A28" s="4" t="inlineStr">
        <is>
          <t>Owner salary deferral % (0 = off; 0.40 = lever on)</t>
        </is>
      </c>
      <c r="B28" s="6" t="n">
        <v>0</v>
      </c>
    </row>
    <row r="29">
      <c r="A29" s="4" t="inlineStr">
        <is>
          <t>Deferral window ends (month #)</t>
        </is>
      </c>
      <c r="B29" s="8" t="n">
        <v>6</v>
      </c>
    </row>
    <row r="30">
      <c r="A30" s="4" t="inlineStr">
        <is>
          <t>Medical director ($/mo, contracted)</t>
        </is>
      </c>
      <c r="B30" s="11" t="n">
        <v>4000</v>
      </c>
    </row>
    <row r="31">
      <c r="A31" s="4" t="inlineStr">
        <is>
          <t>2nd medical director ($/mo)</t>
        </is>
      </c>
      <c r="B31" s="11" t="n">
        <v>5000</v>
      </c>
    </row>
    <row r="32">
      <c r="A32" s="4" t="inlineStr">
        <is>
          <t>2nd med director start month</t>
        </is>
      </c>
      <c r="B32" s="8" t="n">
        <v>18</v>
      </c>
    </row>
    <row r="33">
      <c r="A33" s="4" t="inlineStr">
        <is>
          <t>Bookkeeping/admin support (annual)</t>
        </is>
      </c>
      <c r="B33" s="11" t="n">
        <v>34000</v>
      </c>
    </row>
    <row r="35">
      <c r="A35" s="3" t="inlineStr">
        <is>
          <t>E. PRN PER-VISIT ROSTER (census-driven)</t>
        </is>
      </c>
    </row>
    <row r="36">
      <c r="A36" s="12" t="inlineStr">
        <is>
          <t>Role</t>
        </is>
      </c>
      <c r="B36" s="12" t="inlineStr">
        <is>
          <t>Visits/pt/mo</t>
        </is>
      </c>
      <c r="C36" s="12" t="inlineStr">
        <is>
          <t>$/visit</t>
        </is>
      </c>
    </row>
    <row r="37">
      <c r="A37" s="4" t="inlineStr">
        <is>
          <t>PRN On-Call LVN (Kendricks-Tuck, Foster)</t>
        </is>
      </c>
      <c r="B37" s="13" t="n">
        <v>0.6</v>
      </c>
      <c r="C37" s="5" t="n">
        <v>100</v>
      </c>
    </row>
    <row r="38">
      <c r="A38" s="4" t="inlineStr">
        <is>
          <t>PRN Chaplain (Ector, Johnson)</t>
        </is>
      </c>
      <c r="B38" s="13" t="n">
        <v>0.75</v>
      </c>
      <c r="C38" s="5" t="n">
        <v>75</v>
      </c>
    </row>
    <row r="39">
      <c r="A39" s="4" t="inlineStr">
        <is>
          <t>PRN Social Worker (Sanders)</t>
        </is>
      </c>
      <c r="B39" s="13" t="n">
        <v>1</v>
      </c>
      <c r="C39" s="5" t="n">
        <v>75</v>
      </c>
    </row>
    <row r="40">
      <c r="A40" s="4" t="inlineStr">
        <is>
          <t>PRN Nurse Practitioner (Rogers)</t>
        </is>
      </c>
      <c r="B40" s="13" t="n">
        <v>0.15</v>
      </c>
      <c r="C40" s="5" t="n">
        <v>200</v>
      </c>
    </row>
    <row r="41">
      <c r="A41" s="4" t="inlineStr">
        <is>
          <t>PRN CNA / per-visit (Henson, Mills)</t>
        </is>
      </c>
      <c r="B41" s="13" t="n">
        <v>0.5</v>
      </c>
      <c r="C41" s="5" t="n">
        <v>21</v>
      </c>
    </row>
    <row r="43">
      <c r="A43" s="3" t="inlineStr">
        <is>
          <t>F. PATIENT COSTS &amp; NEW (BLIND-SPOT) LINES</t>
        </is>
      </c>
    </row>
    <row r="44">
      <c r="A44" s="4" t="inlineStr">
        <is>
          <t>Patient costs $/patient-day (pharmacy+supplies+DME)</t>
        </is>
      </c>
      <c r="B44" s="5" t="n">
        <v>8.99</v>
      </c>
      <c r="D44" s="9" t="inlineStr">
        <is>
          <t>paid net-30 (following month)</t>
        </is>
      </c>
    </row>
    <row r="45">
      <c r="A45" s="4" t="inlineStr">
        <is>
          <t>Mileage $/ADC/month</t>
        </is>
      </c>
      <c r="B45" s="5" t="n">
        <v>136.36</v>
      </c>
      <c r="D45" s="9" t="inlineStr">
        <is>
          <t>~$3,000/mo at 22 ADC; paid following month</t>
        </is>
      </c>
    </row>
    <row r="46">
      <c r="A46" s="4" t="inlineStr">
        <is>
          <t>Billing + QR fees (% of net revenue)</t>
        </is>
      </c>
      <c r="B46" s="10" t="n">
        <v>0.023</v>
      </c>
    </row>
    <row r="47">
      <c r="A47" s="4" t="inlineStr">
        <is>
          <t>Cap-liability reserve (% of Medicare revenue, accrual)</t>
        </is>
      </c>
      <c r="B47" s="6" t="n">
        <v>0.02</v>
      </c>
    </row>
    <row r="49">
      <c r="A49" s="3" t="inlineStr">
        <is>
          <t>G. G&amp;A BILL-TIMING CALENDAR</t>
        </is>
      </c>
    </row>
    <row r="50">
      <c r="A50" s="12" t="inlineStr">
        <is>
          <t>Line</t>
        </is>
      </c>
      <c r="B50" s="12" t="inlineStr">
        <is>
          <t>$/period</t>
        </is>
      </c>
      <c r="C50" s="12" t="inlineStr">
        <is>
          <t>Freq (mo)</t>
        </is>
      </c>
      <c r="D50" s="12" t="inlineStr">
        <is>
          <t>Pay day</t>
        </is>
      </c>
    </row>
    <row r="51">
      <c r="A51" s="4" t="inlineStr">
        <is>
          <t>Facility rent</t>
        </is>
      </c>
      <c r="B51" s="11" t="n">
        <v>2000</v>
      </c>
      <c r="C51" s="8" t="n">
        <v>1</v>
      </c>
      <c r="D51" s="8" t="n">
        <v>1</v>
      </c>
    </row>
    <row r="52">
      <c r="A52" s="4" t="inlineStr">
        <is>
          <t>Utilities</t>
        </is>
      </c>
      <c r="B52" s="11" t="n">
        <v>293</v>
      </c>
      <c r="C52" s="8" t="n">
        <v>1</v>
      </c>
      <c r="D52" s="8" t="n">
        <v>15</v>
      </c>
    </row>
    <row r="53">
      <c r="A53" s="4" t="inlineStr">
        <is>
          <t>Internet</t>
        </is>
      </c>
      <c r="B53" s="11" t="n">
        <v>779</v>
      </c>
      <c r="C53" s="8" t="n">
        <v>1</v>
      </c>
      <c r="D53" s="8" t="n">
        <v>15</v>
      </c>
    </row>
    <row r="54">
      <c r="A54" s="4" t="inlineStr">
        <is>
          <t>Telephone / fax</t>
        </is>
      </c>
      <c r="B54" s="11" t="n">
        <v>403</v>
      </c>
      <c r="C54" s="8" t="n">
        <v>1</v>
      </c>
      <c r="D54" s="8" t="n">
        <v>15</v>
      </c>
    </row>
    <row r="55">
      <c r="A55" s="4" t="inlineStr">
        <is>
          <t>After-hours messaging</t>
        </is>
      </c>
      <c r="B55" s="11" t="n">
        <v>48</v>
      </c>
      <c r="C55" s="8" t="n">
        <v>1</v>
      </c>
      <c r="D55" s="8" t="n">
        <v>15</v>
      </c>
    </row>
    <row r="56">
      <c r="A56" s="4" t="inlineStr">
        <is>
          <t>EMR system</t>
        </is>
      </c>
      <c r="B56" s="11" t="n">
        <v>1281</v>
      </c>
      <c r="C56" s="8" t="n">
        <v>1</v>
      </c>
      <c r="D56" s="8" t="n">
        <v>1</v>
      </c>
    </row>
    <row r="57">
      <c r="A57" s="4" t="inlineStr">
        <is>
          <t>PCR (CPM)</t>
        </is>
      </c>
      <c r="B57" s="11" t="n">
        <v>1001</v>
      </c>
      <c r="C57" s="8" t="n">
        <v>1</v>
      </c>
      <c r="D57" s="8" t="n">
        <v>15</v>
      </c>
    </row>
    <row r="58">
      <c r="A58" s="4" t="inlineStr">
        <is>
          <t>Training / CEUs</t>
        </is>
      </c>
      <c r="B58" s="11" t="n">
        <v>100</v>
      </c>
      <c r="C58" s="8" t="n">
        <v>1</v>
      </c>
      <c r="D58" s="8" t="n">
        <v>15</v>
      </c>
    </row>
    <row r="59">
      <c r="A59" s="4" t="inlineStr">
        <is>
          <t>Other (client)</t>
        </is>
      </c>
      <c r="B59" s="11" t="n">
        <v>1050</v>
      </c>
      <c r="C59" s="8" t="n">
        <v>1</v>
      </c>
      <c r="D59" s="8" t="n">
        <v>15</v>
      </c>
    </row>
    <row r="60">
      <c r="A60" s="4" t="inlineStr">
        <is>
          <t>Bank / payroll fees</t>
        </is>
      </c>
      <c r="B60" s="11" t="n">
        <v>1750</v>
      </c>
      <c r="C60" s="8" t="n">
        <v>1</v>
      </c>
      <c r="D60" s="8" t="n">
        <v>15</v>
      </c>
    </row>
    <row r="61">
      <c r="A61" s="4" t="inlineStr">
        <is>
          <t>Marketing / patient acquisition</t>
        </is>
      </c>
      <c r="B61" s="11" t="n">
        <v>3000</v>
      </c>
      <c r="C61" s="8" t="n">
        <v>1</v>
      </c>
      <c r="D61" s="8" t="n">
        <v>1</v>
      </c>
    </row>
    <row r="62">
      <c r="A62" s="4" t="inlineStr">
        <is>
          <t>PL/GL insurance (corrected)</t>
        </is>
      </c>
      <c r="B62" s="11" t="n">
        <v>1200</v>
      </c>
      <c r="C62" s="8" t="n">
        <v>3</v>
      </c>
      <c r="D62" s="8" t="n">
        <v>1</v>
      </c>
    </row>
    <row r="63">
      <c r="A63" s="4" t="inlineStr">
        <is>
          <t>On-call stipends</t>
        </is>
      </c>
      <c r="B63" s="11" t="n">
        <v>1500</v>
      </c>
      <c r="C63" s="8" t="n">
        <v>1</v>
      </c>
      <c r="D63" s="8" t="n">
        <v>15</v>
      </c>
    </row>
    <row r="64">
      <c r="A64" s="4" t="inlineStr">
        <is>
          <t>Bereavement program</t>
        </is>
      </c>
      <c r="B64" s="11" t="n">
        <v>300</v>
      </c>
      <c r="C64" s="8" t="n">
        <v>1</v>
      </c>
      <c r="D64" s="8" t="n">
        <v>15</v>
      </c>
    </row>
    <row r="66">
      <c r="A66" s="3" t="inlineStr">
        <is>
          <t>H. DEAL &amp; DEBT (base = accepted seller terms; toggles below)</t>
        </is>
      </c>
    </row>
    <row r="67">
      <c r="A67" s="4" t="inlineStr">
        <is>
          <t>Purchase price</t>
        </is>
      </c>
      <c r="B67" s="11" t="n">
        <v>500000</v>
      </c>
    </row>
    <row r="68">
      <c r="A68" s="4" t="inlineStr">
        <is>
          <t>Down payment at closing (Jul)</t>
        </is>
      </c>
      <c r="B68" s="11" t="n">
        <v>125000</v>
      </c>
    </row>
    <row r="69">
      <c r="A69" s="4" t="inlineStr">
        <is>
          <t>Seller monthly payment</t>
        </is>
      </c>
      <c r="B69" s="11" t="n">
        <v>25000</v>
      </c>
    </row>
    <row r="70">
      <c r="A70" s="4" t="inlineStr">
        <is>
          <t>First seller payment (month #)</t>
        </is>
      </c>
      <c r="B70" s="8" t="n">
        <v>3</v>
      </c>
      <c r="D70" s="9" t="inlineStr">
        <is>
          <t>3 = September</t>
        </is>
      </c>
    </row>
    <row r="71">
      <c r="A71" s="4" t="inlineStr">
        <is>
          <t>Last seller payment (month #)</t>
        </is>
      </c>
      <c r="B71" s="8" t="n">
        <v>6</v>
      </c>
      <c r="D71" s="9" t="inlineStr">
        <is>
          <t>6 = December</t>
        </is>
      </c>
    </row>
    <row r="72">
      <c r="A72" s="4" t="inlineStr">
        <is>
          <t>Seller note rate (simple, annual)</t>
        </is>
      </c>
      <c r="B72" s="6" t="n">
        <v>0.06</v>
      </c>
    </row>
    <row r="73">
      <c r="A73" s="4" t="inlineStr">
        <is>
          <t>Balloon month (7 = January, per 36-month rule)</t>
        </is>
      </c>
      <c r="B73" s="8" t="n">
        <v>7</v>
      </c>
    </row>
    <row r="74">
      <c r="A74" s="4" t="inlineStr">
        <is>
          <t>January balloon refinance rate (APR)</t>
        </is>
      </c>
      <c r="B74" s="6" t="n">
        <v>0.09</v>
      </c>
      <c r="D74" s="9" t="inlineStr">
        <is>
          <t>personal refi that funds the balloon when the $500K refi toggle is OFF</t>
        </is>
      </c>
    </row>
    <row r="75">
      <c r="A75" s="4" t="inlineStr">
        <is>
          <t>January balloon refinance term (months)</t>
        </is>
      </c>
      <c r="B75" s="8" t="n">
        <v>120</v>
      </c>
    </row>
    <row r="76">
      <c r="A76" s="4" t="inlineStr">
        <is>
          <t>REFI TOGGLE (1 = refinance full $500K)</t>
        </is>
      </c>
      <c r="B76" s="8" t="n">
        <v>0</v>
      </c>
    </row>
    <row r="77">
      <c r="A77" s="4" t="inlineStr">
        <is>
          <t>Refi funding month (3 = September)</t>
        </is>
      </c>
      <c r="B77" s="8" t="n">
        <v>3</v>
      </c>
    </row>
    <row r="78">
      <c r="A78" s="4" t="inlineStr">
        <is>
          <t>Refi amount</t>
        </is>
      </c>
      <c r="B78" s="11" t="n">
        <v>500000</v>
      </c>
    </row>
    <row r="79">
      <c r="A79" s="4" t="inlineStr">
        <is>
          <t>Refi rate (APR)</t>
        </is>
      </c>
      <c r="B79" s="6" t="n">
        <v>0.06</v>
      </c>
    </row>
    <row r="80">
      <c r="A80" s="4" t="inlineStr">
        <is>
          <t>Refi term (months)</t>
        </is>
      </c>
      <c r="B80" s="8" t="n">
        <v>36</v>
      </c>
    </row>
    <row r="81">
      <c r="A81" s="4" t="inlineStr">
        <is>
          <t>SBA TOGGLE (1 = SBA loan funds)</t>
        </is>
      </c>
      <c r="B81" s="8" t="n">
        <v>0</v>
      </c>
    </row>
    <row r="82">
      <c r="A82" s="4" t="inlineStr">
        <is>
          <t>SBA funding month</t>
        </is>
      </c>
      <c r="B82" s="8" t="n">
        <v>3</v>
      </c>
    </row>
    <row r="83">
      <c r="A83" s="4" t="inlineStr">
        <is>
          <t>SBA amount</t>
        </is>
      </c>
      <c r="B83" s="11" t="n">
        <v>450000</v>
      </c>
    </row>
    <row r="84">
      <c r="A84" s="4" t="inlineStr">
        <is>
          <t>SBA rate (APR)</t>
        </is>
      </c>
      <c r="B84" s="6" t="n">
        <v>0.105</v>
      </c>
    </row>
    <row r="85">
      <c r="A85" s="4" t="inlineStr">
        <is>
          <t>SBA term (months)</t>
        </is>
      </c>
      <c r="B85" s="8" t="n">
        <v>180</v>
      </c>
    </row>
    <row r="87">
      <c r="A87" s="3" t="inlineStr">
        <is>
          <t>I. OPENING &amp; OTHER</t>
        </is>
      </c>
    </row>
    <row r="88">
      <c r="A88" s="4" t="inlineStr">
        <is>
          <t>Opening cash (equity on deposit)</t>
        </is>
      </c>
      <c r="B88" s="11" t="n">
        <v>250000</v>
      </c>
    </row>
    <row r="89">
      <c r="A89" s="4" t="inlineStr">
        <is>
          <t>Minimum-cash floor (flag threshold)</t>
        </is>
      </c>
      <c r="B89" s="11" t="n">
        <v>25000</v>
      </c>
    </row>
    <row r="90">
      <c r="A90" s="4" t="inlineStr">
        <is>
          <t>License intangible amortization (years)</t>
        </is>
      </c>
      <c r="B90" s="8" t="n">
        <v>15</v>
      </c>
    </row>
    <row r="91">
      <c r="A91" s="4" t="inlineStr">
        <is>
          <t>TX franchise/margin tax (% of revenue if profitable)</t>
        </is>
      </c>
      <c r="B91" s="10" t="n">
        <v>0.00375</v>
      </c>
    </row>
  </sheetData>
  <mergeCells count="11">
    <mergeCell ref="A22:N22"/>
    <mergeCell ref="A35:N35"/>
    <mergeCell ref="A4:N4"/>
    <mergeCell ref="A87:N87"/>
    <mergeCell ref="A16:N16"/>
    <mergeCell ref="A2:N2"/>
    <mergeCell ref="A43:N43"/>
    <mergeCell ref="A11:N11"/>
    <mergeCell ref="A49:N49"/>
    <mergeCell ref="A66:N66"/>
    <mergeCell ref="A1:N1"/>
  </mergeCells>
  <dataValidations count="1">
    <dataValidation sqref="B19" showDropDown="0" showInputMessage="0" showErrorMessage="0" allowBlank="1" type="list">
      <formula1>"0,1,2"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AL21"/>
  <sheetViews>
    <sheetView showGridLines="0" workbookViewId="0">
      <pane xSplit="2" ySplit="15" topLeftCell="C1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Census engine - admissions are BLUE inputs; flows follow ALOS. Weekly (13) then monthly (36).</t>
        </is>
      </c>
    </row>
    <row r="4">
      <c r="A4" s="3" t="inlineStr">
        <is>
          <t>WEEKLY - first 13 weeks (Jul-Sep 2026)</t>
        </is>
      </c>
    </row>
    <row r="5">
      <c r="C5" s="14" t="inlineStr">
        <is>
          <t>W1</t>
        </is>
      </c>
      <c r="D5" s="14" t="inlineStr">
        <is>
          <t>W2</t>
        </is>
      </c>
      <c r="E5" s="14" t="inlineStr">
        <is>
          <t>W3</t>
        </is>
      </c>
      <c r="F5" s="14" t="inlineStr">
        <is>
          <t>W4</t>
        </is>
      </c>
      <c r="G5" s="14" t="inlineStr">
        <is>
          <t>W5</t>
        </is>
      </c>
      <c r="H5" s="14" t="inlineStr">
        <is>
          <t>W6</t>
        </is>
      </c>
      <c r="I5" s="14" t="inlineStr">
        <is>
          <t>W7</t>
        </is>
      </c>
      <c r="J5" s="14" t="inlineStr">
        <is>
          <t>W8</t>
        </is>
      </c>
      <c r="K5" s="14" t="inlineStr">
        <is>
          <t>W9</t>
        </is>
      </c>
      <c r="L5" s="14" t="inlineStr">
        <is>
          <t>W10</t>
        </is>
      </c>
      <c r="M5" s="14" t="inlineStr">
        <is>
          <t>W11</t>
        </is>
      </c>
      <c r="N5" s="14" t="inlineStr">
        <is>
          <t>W12</t>
        </is>
      </c>
      <c r="O5" s="14" t="inlineStr">
        <is>
          <t>W13</t>
        </is>
      </c>
    </row>
    <row r="6">
      <c r="A6" s="4" t="inlineStr">
        <is>
          <t>Admissions (per week)  [INPUT]</t>
        </is>
      </c>
      <c r="C6" s="7" t="n">
        <v>12</v>
      </c>
      <c r="D6" s="7" t="n">
        <v>8.02</v>
      </c>
      <c r="E6" s="7" t="n">
        <v>5.62</v>
      </c>
      <c r="F6" s="7" t="n">
        <v>4.26</v>
      </c>
      <c r="G6" s="7" t="n">
        <v>2.76</v>
      </c>
      <c r="H6" s="7" t="n">
        <v>2.61</v>
      </c>
      <c r="I6" s="7" t="n">
        <v>2.65</v>
      </c>
      <c r="J6" s="7" t="n">
        <v>2.68</v>
      </c>
      <c r="K6" s="7" t="n">
        <v>2.61</v>
      </c>
      <c r="L6" s="7" t="n">
        <v>3.04</v>
      </c>
      <c r="M6" s="7" t="n">
        <v>3</v>
      </c>
      <c r="N6" s="7" t="n">
        <v>3.05</v>
      </c>
      <c r="O6" s="7" t="n">
        <v>3.1</v>
      </c>
    </row>
    <row r="7">
      <c r="A7" s="4" t="inlineStr">
        <is>
          <t>Separations (census x 7/ALOS)</t>
        </is>
      </c>
      <c r="C7" s="15">
        <f>0*7/'Assumptions'!$B$12</f>
        <v/>
      </c>
      <c r="D7" s="15">
        <f>C9*7/'Assumptions'!$B$12</f>
        <v/>
      </c>
      <c r="E7" s="15">
        <f>D9*7/'Assumptions'!$B$12</f>
        <v/>
      </c>
      <c r="F7" s="15">
        <f>E9*7/'Assumptions'!$B$12</f>
        <v/>
      </c>
      <c r="G7" s="15">
        <f>F9*7/'Assumptions'!$B$12</f>
        <v/>
      </c>
      <c r="H7" s="15">
        <f>G9*7/'Assumptions'!$B$12</f>
        <v/>
      </c>
      <c r="I7" s="15">
        <f>H9*7/'Assumptions'!$B$12</f>
        <v/>
      </c>
      <c r="J7" s="15">
        <f>I9*7/'Assumptions'!$B$12</f>
        <v/>
      </c>
      <c r="K7" s="15">
        <f>J9*7/'Assumptions'!$B$12</f>
        <v/>
      </c>
      <c r="L7" s="15">
        <f>K9*7/'Assumptions'!$B$12</f>
        <v/>
      </c>
      <c r="M7" s="15">
        <f>L9*7/'Assumptions'!$B$12</f>
        <v/>
      </c>
      <c r="N7" s="15">
        <f>M9*7/'Assumptions'!$B$12</f>
        <v/>
      </c>
      <c r="O7" s="15">
        <f>N9*7/'Assumptions'!$B$12</f>
        <v/>
      </c>
    </row>
    <row r="8">
      <c r="A8" s="4" t="inlineStr">
        <is>
          <t xml:space="preserve">  of which deaths</t>
        </is>
      </c>
      <c r="C8" s="15">
        <f>C7*'Assumptions'!$B$13</f>
        <v/>
      </c>
      <c r="D8" s="15">
        <f>D7*'Assumptions'!$B$13</f>
        <v/>
      </c>
      <c r="E8" s="15">
        <f>E7*'Assumptions'!$B$13</f>
        <v/>
      </c>
      <c r="F8" s="15">
        <f>F7*'Assumptions'!$B$13</f>
        <v/>
      </c>
      <c r="G8" s="15">
        <f>G7*'Assumptions'!$B$13</f>
        <v/>
      </c>
      <c r="H8" s="15">
        <f>H7*'Assumptions'!$B$13</f>
        <v/>
      </c>
      <c r="I8" s="15">
        <f>I7*'Assumptions'!$B$13</f>
        <v/>
      </c>
      <c r="J8" s="15">
        <f>J7*'Assumptions'!$B$13</f>
        <v/>
      </c>
      <c r="K8" s="15">
        <f>K7*'Assumptions'!$B$13</f>
        <v/>
      </c>
      <c r="L8" s="15">
        <f>L7*'Assumptions'!$B$13</f>
        <v/>
      </c>
      <c r="M8" s="15">
        <f>M7*'Assumptions'!$B$13</f>
        <v/>
      </c>
      <c r="N8" s="15">
        <f>N7*'Assumptions'!$B$13</f>
        <v/>
      </c>
      <c r="O8" s="15">
        <f>O7*'Assumptions'!$B$13</f>
        <v/>
      </c>
    </row>
    <row r="9">
      <c r="A9" s="12" t="inlineStr">
        <is>
          <t>End-of-week census</t>
        </is>
      </c>
      <c r="C9" s="16">
        <f>0+C6-C7</f>
        <v/>
      </c>
      <c r="D9" s="16">
        <f>C9+D6-D7</f>
        <v/>
      </c>
      <c r="E9" s="16">
        <f>D9+E6-E7</f>
        <v/>
      </c>
      <c r="F9" s="16">
        <f>E9+F6-F7</f>
        <v/>
      </c>
      <c r="G9" s="16">
        <f>F9+G6-G7</f>
        <v/>
      </c>
      <c r="H9" s="16">
        <f>G9+H6-H7</f>
        <v/>
      </c>
      <c r="I9" s="16">
        <f>H9+I6-I7</f>
        <v/>
      </c>
      <c r="J9" s="16">
        <f>I9+J6-J7</f>
        <v/>
      </c>
      <c r="K9" s="16">
        <f>J9+K6-K7</f>
        <v/>
      </c>
      <c r="L9" s="16">
        <f>K9+L6-L7</f>
        <v/>
      </c>
      <c r="M9" s="16">
        <f>L9+M6-M7</f>
        <v/>
      </c>
      <c r="N9" s="16">
        <f>M9+N6-N7</f>
        <v/>
      </c>
      <c r="O9" s="16">
        <f>N9+O6-O7</f>
        <v/>
      </c>
    </row>
    <row r="10">
      <c r="A10" s="4" t="inlineStr">
        <is>
          <t>Average census (week)</t>
        </is>
      </c>
      <c r="C10" s="15">
        <f>(0+C9)/2*'Assumptions'!$B$14</f>
        <v/>
      </c>
      <c r="D10" s="15">
        <f>(C9+D9)/2*'Assumptions'!$B$14</f>
        <v/>
      </c>
      <c r="E10" s="15">
        <f>(D9+E9)/2*'Assumptions'!$B$14</f>
        <v/>
      </c>
      <c r="F10" s="15">
        <f>(E9+F9)/2*'Assumptions'!$B$14</f>
        <v/>
      </c>
      <c r="G10" s="15">
        <f>(F9+G9)/2*'Assumptions'!$B$14</f>
        <v/>
      </c>
      <c r="H10" s="15">
        <f>(G9+H9)/2*'Assumptions'!$B$14</f>
        <v/>
      </c>
      <c r="I10" s="15">
        <f>(H9+I9)/2*'Assumptions'!$B$14</f>
        <v/>
      </c>
      <c r="J10" s="15">
        <f>(I9+J9)/2*'Assumptions'!$B$14</f>
        <v/>
      </c>
      <c r="K10" s="15">
        <f>(J9+K9)/2*'Assumptions'!$B$14</f>
        <v/>
      </c>
      <c r="L10" s="15">
        <f>(K9+L9)/2*'Assumptions'!$B$14</f>
        <v/>
      </c>
      <c r="M10" s="15">
        <f>(L9+M9)/2*'Assumptions'!$B$14</f>
        <v/>
      </c>
      <c r="N10" s="15">
        <f>(M9+N9)/2*'Assumptions'!$B$14</f>
        <v/>
      </c>
      <c r="O10" s="15">
        <f>(N9+O9)/2*'Assumptions'!$B$14</f>
        <v/>
      </c>
    </row>
    <row r="11">
      <c r="A11" s="4" t="inlineStr">
        <is>
          <t>Patient days (week)</t>
        </is>
      </c>
      <c r="C11" s="15">
        <f>C10*7</f>
        <v/>
      </c>
      <c r="D11" s="15">
        <f>D10*7</f>
        <v/>
      </c>
      <c r="E11" s="15">
        <f>E10*7</f>
        <v/>
      </c>
      <c r="F11" s="15">
        <f>F10*7</f>
        <v/>
      </c>
      <c r="G11" s="15">
        <f>G10*7</f>
        <v/>
      </c>
      <c r="H11" s="15">
        <f>H10*7</f>
        <v/>
      </c>
      <c r="I11" s="15">
        <f>I10*7</f>
        <v/>
      </c>
      <c r="J11" s="15">
        <f>J10*7</f>
        <v/>
      </c>
      <c r="K11" s="15">
        <f>K10*7</f>
        <v/>
      </c>
      <c r="L11" s="15">
        <f>L10*7</f>
        <v/>
      </c>
      <c r="M11" s="15">
        <f>M10*7</f>
        <v/>
      </c>
      <c r="N11" s="15">
        <f>N10*7</f>
        <v/>
      </c>
      <c r="O11" s="15">
        <f>O10*7</f>
        <v/>
      </c>
    </row>
    <row r="13">
      <c r="A13" s="3" t="inlineStr">
        <is>
          <t>MONTHLY - 36 months (M1-M3 tie to the weekly engine)</t>
        </is>
      </c>
    </row>
    <row r="14">
      <c r="A14" s="12" t="inlineStr">
        <is>
          <t>Month #</t>
        </is>
      </c>
      <c r="C14" s="17" t="n">
        <v>1</v>
      </c>
      <c r="D14" s="17" t="n">
        <v>2</v>
      </c>
      <c r="E14" s="17" t="n">
        <v>3</v>
      </c>
      <c r="F14" s="17" t="n">
        <v>4</v>
      </c>
      <c r="G14" s="17" t="n">
        <v>5</v>
      </c>
      <c r="H14" s="17" t="n">
        <v>6</v>
      </c>
      <c r="I14" s="17" t="n">
        <v>7</v>
      </c>
      <c r="J14" s="17" t="n">
        <v>8</v>
      </c>
      <c r="K14" s="17" t="n">
        <v>9</v>
      </c>
      <c r="L14" s="17" t="n">
        <v>10</v>
      </c>
      <c r="M14" s="17" t="n">
        <v>11</v>
      </c>
      <c r="N14" s="17" t="n">
        <v>12</v>
      </c>
      <c r="O14" s="17" t="n">
        <v>13</v>
      </c>
      <c r="P14" s="17" t="n">
        <v>14</v>
      </c>
      <c r="Q14" s="17" t="n">
        <v>15</v>
      </c>
      <c r="R14" s="17" t="n">
        <v>16</v>
      </c>
      <c r="S14" s="17" t="n">
        <v>17</v>
      </c>
      <c r="T14" s="17" t="n">
        <v>18</v>
      </c>
      <c r="U14" s="17" t="n">
        <v>19</v>
      </c>
      <c r="V14" s="17" t="n">
        <v>20</v>
      </c>
      <c r="W14" s="17" t="n">
        <v>21</v>
      </c>
      <c r="X14" s="17" t="n">
        <v>22</v>
      </c>
      <c r="Y14" s="17" t="n">
        <v>23</v>
      </c>
      <c r="Z14" s="17" t="n">
        <v>24</v>
      </c>
      <c r="AA14" s="17" t="n">
        <v>25</v>
      </c>
      <c r="AB14" s="17" t="n">
        <v>26</v>
      </c>
      <c r="AC14" s="17" t="n">
        <v>27</v>
      </c>
      <c r="AD14" s="17" t="n">
        <v>28</v>
      </c>
      <c r="AE14" s="17" t="n">
        <v>29</v>
      </c>
      <c r="AF14" s="17" t="n">
        <v>30</v>
      </c>
      <c r="AG14" s="17" t="n">
        <v>31</v>
      </c>
      <c r="AH14" s="17" t="n">
        <v>32</v>
      </c>
      <c r="AI14" s="17" t="n">
        <v>33</v>
      </c>
      <c r="AJ14" s="17" t="n">
        <v>34</v>
      </c>
      <c r="AK14" s="17" t="n">
        <v>35</v>
      </c>
      <c r="AL14" s="17" t="n">
        <v>36</v>
      </c>
    </row>
    <row r="15">
      <c r="A15" s="12" t="inlineStr"/>
      <c r="C15" s="14" t="inlineStr">
        <is>
          <t>Jul-26</t>
        </is>
      </c>
      <c r="D15" s="14" t="inlineStr">
        <is>
          <t>Aug-26</t>
        </is>
      </c>
      <c r="E15" s="14" t="inlineStr">
        <is>
          <t>Sep-26</t>
        </is>
      </c>
      <c r="F15" s="14" t="inlineStr">
        <is>
          <t>Oct-26</t>
        </is>
      </c>
      <c r="G15" s="14" t="inlineStr">
        <is>
          <t>Nov-26</t>
        </is>
      </c>
      <c r="H15" s="14" t="inlineStr">
        <is>
          <t>Dec-26</t>
        </is>
      </c>
      <c r="I15" s="14" t="inlineStr">
        <is>
          <t>Jan-27</t>
        </is>
      </c>
      <c r="J15" s="14" t="inlineStr">
        <is>
          <t>Feb-27</t>
        </is>
      </c>
      <c r="K15" s="14" t="inlineStr">
        <is>
          <t>Mar-27</t>
        </is>
      </c>
      <c r="L15" s="14" t="inlineStr">
        <is>
          <t>Apr-27</t>
        </is>
      </c>
      <c r="M15" s="14" t="inlineStr">
        <is>
          <t>May-27</t>
        </is>
      </c>
      <c r="N15" s="14" t="inlineStr">
        <is>
          <t>Jun-27</t>
        </is>
      </c>
      <c r="O15" s="14" t="inlineStr">
        <is>
          <t>Jul-27</t>
        </is>
      </c>
      <c r="P15" s="14" t="inlineStr">
        <is>
          <t>Aug-27</t>
        </is>
      </c>
      <c r="Q15" s="14" t="inlineStr">
        <is>
          <t>Sep-27</t>
        </is>
      </c>
      <c r="R15" s="14" t="inlineStr">
        <is>
          <t>Oct-27</t>
        </is>
      </c>
      <c r="S15" s="14" t="inlineStr">
        <is>
          <t>Nov-27</t>
        </is>
      </c>
      <c r="T15" s="14" t="inlineStr">
        <is>
          <t>Dec-27</t>
        </is>
      </c>
      <c r="U15" s="14" t="inlineStr">
        <is>
          <t>Jan-28</t>
        </is>
      </c>
      <c r="V15" s="14" t="inlineStr">
        <is>
          <t>Feb-28</t>
        </is>
      </c>
      <c r="W15" s="14" t="inlineStr">
        <is>
          <t>Mar-28</t>
        </is>
      </c>
      <c r="X15" s="14" t="inlineStr">
        <is>
          <t>Apr-28</t>
        </is>
      </c>
      <c r="Y15" s="14" t="inlineStr">
        <is>
          <t>May-28</t>
        </is>
      </c>
      <c r="Z15" s="14" t="inlineStr">
        <is>
          <t>Jun-28</t>
        </is>
      </c>
      <c r="AA15" s="14" t="inlineStr">
        <is>
          <t>Jul-28</t>
        </is>
      </c>
      <c r="AB15" s="14" t="inlineStr">
        <is>
          <t>Aug-28</t>
        </is>
      </c>
      <c r="AC15" s="14" t="inlineStr">
        <is>
          <t>Sep-28</t>
        </is>
      </c>
      <c r="AD15" s="14" t="inlineStr">
        <is>
          <t>Oct-28</t>
        </is>
      </c>
      <c r="AE15" s="14" t="inlineStr">
        <is>
          <t>Nov-28</t>
        </is>
      </c>
      <c r="AF15" s="14" t="inlineStr">
        <is>
          <t>Dec-28</t>
        </is>
      </c>
      <c r="AG15" s="14" t="inlineStr">
        <is>
          <t>Jan-29</t>
        </is>
      </c>
      <c r="AH15" s="14" t="inlineStr">
        <is>
          <t>Feb-29</t>
        </is>
      </c>
      <c r="AI15" s="14" t="inlineStr">
        <is>
          <t>Mar-29</t>
        </is>
      </c>
      <c r="AJ15" s="14" t="inlineStr">
        <is>
          <t>Apr-29</t>
        </is>
      </c>
      <c r="AK15" s="14" t="inlineStr">
        <is>
          <t>May-29</t>
        </is>
      </c>
      <c r="AL15" s="14" t="inlineStr">
        <is>
          <t>Jun-29</t>
        </is>
      </c>
    </row>
    <row r="16">
      <c r="A16" s="4" t="inlineStr">
        <is>
          <t>Admissions (per month)  [INPUT M4+]</t>
        </is>
      </c>
      <c r="C16" s="18">
        <f>SUM(C6:F6)</f>
        <v/>
      </c>
      <c r="D16" s="18">
        <f>SUM(G6:K6)</f>
        <v/>
      </c>
      <c r="E16" s="18">
        <f>SUM(L6:O6)</f>
        <v/>
      </c>
      <c r="F16" s="7" t="n">
        <v>13.58</v>
      </c>
      <c r="G16" s="7" t="n">
        <v>13.31</v>
      </c>
      <c r="H16" s="7" t="n">
        <v>13.79</v>
      </c>
      <c r="I16" s="7" t="n">
        <v>13.78</v>
      </c>
      <c r="J16" s="7" t="n">
        <v>14.17</v>
      </c>
      <c r="K16" s="7" t="n">
        <v>14.41</v>
      </c>
      <c r="L16" s="7" t="n">
        <v>14.7</v>
      </c>
      <c r="M16" s="7" t="n">
        <v>15.1</v>
      </c>
      <c r="N16" s="7" t="n">
        <v>15.33</v>
      </c>
      <c r="O16" s="7" t="n">
        <v>15.63</v>
      </c>
      <c r="P16" s="7" t="n">
        <v>16.03</v>
      </c>
      <c r="Q16" s="7" t="n">
        <v>16.26</v>
      </c>
      <c r="R16" s="7" t="n">
        <v>16.56</v>
      </c>
      <c r="S16" s="7" t="n">
        <v>16.95</v>
      </c>
      <c r="T16" s="7" t="n">
        <v>17.19</v>
      </c>
      <c r="U16" s="7" t="n">
        <v>17.48</v>
      </c>
      <c r="V16" s="7" t="n">
        <v>17.88</v>
      </c>
      <c r="W16" s="7" t="n">
        <v>18.11</v>
      </c>
      <c r="X16" s="7" t="n">
        <v>18.41</v>
      </c>
      <c r="Y16" s="7" t="n">
        <v>18.81</v>
      </c>
      <c r="Z16" s="7" t="n">
        <v>19.04</v>
      </c>
      <c r="AA16" s="7" t="n">
        <v>19.04</v>
      </c>
      <c r="AB16" s="7" t="n">
        <v>19.22</v>
      </c>
      <c r="AC16" s="7" t="n">
        <v>19.41</v>
      </c>
      <c r="AD16" s="7" t="n">
        <v>19.59</v>
      </c>
      <c r="AE16" s="7" t="n">
        <v>19.78</v>
      </c>
      <c r="AF16" s="7" t="n">
        <v>19.96</v>
      </c>
      <c r="AG16" s="7" t="n">
        <v>20.15</v>
      </c>
      <c r="AH16" s="7" t="n">
        <v>20.33</v>
      </c>
      <c r="AI16" s="7" t="n">
        <v>20.52</v>
      </c>
      <c r="AJ16" s="7" t="n">
        <v>20.7</v>
      </c>
      <c r="AK16" s="7" t="n">
        <v>20.89</v>
      </c>
      <c r="AL16" s="7" t="n">
        <v>21.08</v>
      </c>
    </row>
    <row r="17">
      <c r="A17" s="4" t="inlineStr">
        <is>
          <t>Separations</t>
        </is>
      </c>
      <c r="C17" s="15">
        <f>SUM(C7:F7)</f>
        <v/>
      </c>
      <c r="D17" s="15">
        <f>SUM(G7:K7)</f>
        <v/>
      </c>
      <c r="E17" s="15">
        <f>SUM(L7:O7)</f>
        <v/>
      </c>
      <c r="F17" s="15">
        <f>E19*'Assumptions'!$B$9/'Assumptions'!$B$12</f>
        <v/>
      </c>
      <c r="G17" s="15">
        <f>F19*'Assumptions'!$B$9/'Assumptions'!$B$12</f>
        <v/>
      </c>
      <c r="H17" s="15">
        <f>G19*'Assumptions'!$B$9/'Assumptions'!$B$12</f>
        <v/>
      </c>
      <c r="I17" s="15">
        <f>H19*'Assumptions'!$B$9/'Assumptions'!$B$12</f>
        <v/>
      </c>
      <c r="J17" s="15">
        <f>I19*'Assumptions'!$B$9/'Assumptions'!$B$12</f>
        <v/>
      </c>
      <c r="K17" s="15">
        <f>J19*'Assumptions'!$B$9/'Assumptions'!$B$12</f>
        <v/>
      </c>
      <c r="L17" s="15">
        <f>K19*'Assumptions'!$B$9/'Assumptions'!$B$12</f>
        <v/>
      </c>
      <c r="M17" s="15">
        <f>L19*'Assumptions'!$B$9/'Assumptions'!$B$12</f>
        <v/>
      </c>
      <c r="N17" s="15">
        <f>M19*'Assumptions'!$B$9/'Assumptions'!$B$12</f>
        <v/>
      </c>
      <c r="O17" s="15">
        <f>N19*'Assumptions'!$B$9/'Assumptions'!$B$12</f>
        <v/>
      </c>
      <c r="P17" s="15">
        <f>O19*'Assumptions'!$B$9/'Assumptions'!$B$12</f>
        <v/>
      </c>
      <c r="Q17" s="15">
        <f>P19*'Assumptions'!$B$9/'Assumptions'!$B$12</f>
        <v/>
      </c>
      <c r="R17" s="15">
        <f>Q19*'Assumptions'!$B$9/'Assumptions'!$B$12</f>
        <v/>
      </c>
      <c r="S17" s="15">
        <f>R19*'Assumptions'!$B$9/'Assumptions'!$B$12</f>
        <v/>
      </c>
      <c r="T17" s="15">
        <f>S19*'Assumptions'!$B$9/'Assumptions'!$B$12</f>
        <v/>
      </c>
      <c r="U17" s="15">
        <f>T19*'Assumptions'!$B$9/'Assumptions'!$B$12</f>
        <v/>
      </c>
      <c r="V17" s="15">
        <f>U19*'Assumptions'!$B$9/'Assumptions'!$B$12</f>
        <v/>
      </c>
      <c r="W17" s="15">
        <f>V19*'Assumptions'!$B$9/'Assumptions'!$B$12</f>
        <v/>
      </c>
      <c r="X17" s="15">
        <f>W19*'Assumptions'!$B$9/'Assumptions'!$B$12</f>
        <v/>
      </c>
      <c r="Y17" s="15">
        <f>X19*'Assumptions'!$B$9/'Assumptions'!$B$12</f>
        <v/>
      </c>
      <c r="Z17" s="15">
        <f>Y19*'Assumptions'!$B$9/'Assumptions'!$B$12</f>
        <v/>
      </c>
      <c r="AA17" s="15">
        <f>Z19*'Assumptions'!$B$9/'Assumptions'!$B$12</f>
        <v/>
      </c>
      <c r="AB17" s="15">
        <f>AA19*'Assumptions'!$B$9/'Assumptions'!$B$12</f>
        <v/>
      </c>
      <c r="AC17" s="15">
        <f>AB19*'Assumptions'!$B$9/'Assumptions'!$B$12</f>
        <v/>
      </c>
      <c r="AD17" s="15">
        <f>AC19*'Assumptions'!$B$9/'Assumptions'!$B$12</f>
        <v/>
      </c>
      <c r="AE17" s="15">
        <f>AD19*'Assumptions'!$B$9/'Assumptions'!$B$12</f>
        <v/>
      </c>
      <c r="AF17" s="15">
        <f>AE19*'Assumptions'!$B$9/'Assumptions'!$B$12</f>
        <v/>
      </c>
      <c r="AG17" s="15">
        <f>AF19*'Assumptions'!$B$9/'Assumptions'!$B$12</f>
        <v/>
      </c>
      <c r="AH17" s="15">
        <f>AG19*'Assumptions'!$B$9/'Assumptions'!$B$12</f>
        <v/>
      </c>
      <c r="AI17" s="15">
        <f>AH19*'Assumptions'!$B$9/'Assumptions'!$B$12</f>
        <v/>
      </c>
      <c r="AJ17" s="15">
        <f>AI19*'Assumptions'!$B$9/'Assumptions'!$B$12</f>
        <v/>
      </c>
      <c r="AK17" s="15">
        <f>AJ19*'Assumptions'!$B$9/'Assumptions'!$B$12</f>
        <v/>
      </c>
      <c r="AL17" s="15">
        <f>AK19*'Assumptions'!$B$9/'Assumptions'!$B$12</f>
        <v/>
      </c>
    </row>
    <row r="18">
      <c r="A18" s="4" t="inlineStr">
        <is>
          <t xml:space="preserve">  of which deaths</t>
        </is>
      </c>
      <c r="C18" s="15">
        <f>C17*'Assumptions'!$B$13</f>
        <v/>
      </c>
      <c r="D18" s="15">
        <f>D17*'Assumptions'!$B$13</f>
        <v/>
      </c>
      <c r="E18" s="15">
        <f>E17*'Assumptions'!$B$13</f>
        <v/>
      </c>
      <c r="F18" s="15">
        <f>F17*'Assumptions'!$B$13</f>
        <v/>
      </c>
      <c r="G18" s="15">
        <f>G17*'Assumptions'!$B$13</f>
        <v/>
      </c>
      <c r="H18" s="15">
        <f>H17*'Assumptions'!$B$13</f>
        <v/>
      </c>
      <c r="I18" s="15">
        <f>I17*'Assumptions'!$B$13</f>
        <v/>
      </c>
      <c r="J18" s="15">
        <f>J17*'Assumptions'!$B$13</f>
        <v/>
      </c>
      <c r="K18" s="15">
        <f>K17*'Assumptions'!$B$13</f>
        <v/>
      </c>
      <c r="L18" s="15">
        <f>L17*'Assumptions'!$B$13</f>
        <v/>
      </c>
      <c r="M18" s="15">
        <f>M17*'Assumptions'!$B$13</f>
        <v/>
      </c>
      <c r="N18" s="15">
        <f>N17*'Assumptions'!$B$13</f>
        <v/>
      </c>
      <c r="O18" s="15">
        <f>O17*'Assumptions'!$B$13</f>
        <v/>
      </c>
      <c r="P18" s="15">
        <f>P17*'Assumptions'!$B$13</f>
        <v/>
      </c>
      <c r="Q18" s="15">
        <f>Q17*'Assumptions'!$B$13</f>
        <v/>
      </c>
      <c r="R18" s="15">
        <f>R17*'Assumptions'!$B$13</f>
        <v/>
      </c>
      <c r="S18" s="15">
        <f>S17*'Assumptions'!$B$13</f>
        <v/>
      </c>
      <c r="T18" s="15">
        <f>T17*'Assumptions'!$B$13</f>
        <v/>
      </c>
      <c r="U18" s="15">
        <f>U17*'Assumptions'!$B$13</f>
        <v/>
      </c>
      <c r="V18" s="15">
        <f>V17*'Assumptions'!$B$13</f>
        <v/>
      </c>
      <c r="W18" s="15">
        <f>W17*'Assumptions'!$B$13</f>
        <v/>
      </c>
      <c r="X18" s="15">
        <f>X17*'Assumptions'!$B$13</f>
        <v/>
      </c>
      <c r="Y18" s="15">
        <f>Y17*'Assumptions'!$B$13</f>
        <v/>
      </c>
      <c r="Z18" s="15">
        <f>Z17*'Assumptions'!$B$13</f>
        <v/>
      </c>
      <c r="AA18" s="15">
        <f>AA17*'Assumptions'!$B$13</f>
        <v/>
      </c>
      <c r="AB18" s="15">
        <f>AB17*'Assumptions'!$B$13</f>
        <v/>
      </c>
      <c r="AC18" s="15">
        <f>AC17*'Assumptions'!$B$13</f>
        <v/>
      </c>
      <c r="AD18" s="15">
        <f>AD17*'Assumptions'!$B$13</f>
        <v/>
      </c>
      <c r="AE18" s="15">
        <f>AE17*'Assumptions'!$B$13</f>
        <v/>
      </c>
      <c r="AF18" s="15">
        <f>AF17*'Assumptions'!$B$13</f>
        <v/>
      </c>
      <c r="AG18" s="15">
        <f>AG17*'Assumptions'!$B$13</f>
        <v/>
      </c>
      <c r="AH18" s="15">
        <f>AH17*'Assumptions'!$B$13</f>
        <v/>
      </c>
      <c r="AI18" s="15">
        <f>AI17*'Assumptions'!$B$13</f>
        <v/>
      </c>
      <c r="AJ18" s="15">
        <f>AJ17*'Assumptions'!$B$13</f>
        <v/>
      </c>
      <c r="AK18" s="15">
        <f>AK17*'Assumptions'!$B$13</f>
        <v/>
      </c>
      <c r="AL18" s="15">
        <f>AL17*'Assumptions'!$B$13</f>
        <v/>
      </c>
    </row>
    <row r="19">
      <c r="A19" s="12" t="inlineStr">
        <is>
          <t>End-of-month census</t>
        </is>
      </c>
      <c r="C19" s="19">
        <f>F9</f>
        <v/>
      </c>
      <c r="D19" s="19">
        <f>K9</f>
        <v/>
      </c>
      <c r="E19" s="19">
        <f>O9</f>
        <v/>
      </c>
      <c r="F19" s="19">
        <f>E19+F16-F17</f>
        <v/>
      </c>
      <c r="G19" s="19">
        <f>F19+G16-G17</f>
        <v/>
      </c>
      <c r="H19" s="19">
        <f>G19+H16-H17</f>
        <v/>
      </c>
      <c r="I19" s="19">
        <f>H19+I16-I17</f>
        <v/>
      </c>
      <c r="J19" s="19">
        <f>I19+J16-J17</f>
        <v/>
      </c>
      <c r="K19" s="19">
        <f>J19+K16-K17</f>
        <v/>
      </c>
      <c r="L19" s="19">
        <f>K19+L16-L17</f>
        <v/>
      </c>
      <c r="M19" s="19">
        <f>L19+M16-M17</f>
        <v/>
      </c>
      <c r="N19" s="19">
        <f>M19+N16-N17</f>
        <v/>
      </c>
      <c r="O19" s="19">
        <f>N19+O16-O17</f>
        <v/>
      </c>
      <c r="P19" s="19">
        <f>O19+P16-P17</f>
        <v/>
      </c>
      <c r="Q19" s="19">
        <f>P19+Q16-Q17</f>
        <v/>
      </c>
      <c r="R19" s="19">
        <f>Q19+R16-R17</f>
        <v/>
      </c>
      <c r="S19" s="19">
        <f>R19+S16-S17</f>
        <v/>
      </c>
      <c r="T19" s="19">
        <f>S19+T16-T17</f>
        <v/>
      </c>
      <c r="U19" s="19">
        <f>T19+U16-U17</f>
        <v/>
      </c>
      <c r="V19" s="19">
        <f>U19+V16-V17</f>
        <v/>
      </c>
      <c r="W19" s="19">
        <f>V19+W16-W17</f>
        <v/>
      </c>
      <c r="X19" s="19">
        <f>W19+X16-X17</f>
        <v/>
      </c>
      <c r="Y19" s="19">
        <f>X19+Y16-Y17</f>
        <v/>
      </c>
      <c r="Z19" s="19">
        <f>Y19+Z16-Z17</f>
        <v/>
      </c>
      <c r="AA19" s="19">
        <f>Z19+AA16-AA17</f>
        <v/>
      </c>
      <c r="AB19" s="19">
        <f>AA19+AB16-AB17</f>
        <v/>
      </c>
      <c r="AC19" s="19">
        <f>AB19+AC16-AC17</f>
        <v/>
      </c>
      <c r="AD19" s="19">
        <f>AC19+AD16-AD17</f>
        <v/>
      </c>
      <c r="AE19" s="19">
        <f>AD19+AE16-AE17</f>
        <v/>
      </c>
      <c r="AF19" s="19">
        <f>AE19+AF16-AF17</f>
        <v/>
      </c>
      <c r="AG19" s="19">
        <f>AF19+AG16-AG17</f>
        <v/>
      </c>
      <c r="AH19" s="19">
        <f>AG19+AH16-AH17</f>
        <v/>
      </c>
      <c r="AI19" s="19">
        <f>AH19+AI16-AI17</f>
        <v/>
      </c>
      <c r="AJ19" s="19">
        <f>AI19+AJ16-AJ17</f>
        <v/>
      </c>
      <c r="AK19" s="19">
        <f>AJ19+AK16-AK17</f>
        <v/>
      </c>
      <c r="AL19" s="19">
        <f>AK19+AL16-AL17</f>
        <v/>
      </c>
    </row>
    <row r="20">
      <c r="A20" s="12" t="inlineStr">
        <is>
          <t>ADC (avg daily census, x capture)</t>
        </is>
      </c>
      <c r="C20" s="16">
        <f>AVERAGE(C9:F9)*'Assumptions'!$B$14</f>
        <v/>
      </c>
      <c r="D20" s="16">
        <f>AVERAGE(G9:K9)*'Assumptions'!$B$14</f>
        <v/>
      </c>
      <c r="E20" s="16">
        <f>AVERAGE(L9:O9)*'Assumptions'!$B$14</f>
        <v/>
      </c>
      <c r="F20" s="16">
        <f>(E19+F19)/2*'Assumptions'!$B$14</f>
        <v/>
      </c>
      <c r="G20" s="16">
        <f>(F19+G19)/2*'Assumptions'!$B$14</f>
        <v/>
      </c>
      <c r="H20" s="16">
        <f>(G19+H19)/2*'Assumptions'!$B$14</f>
        <v/>
      </c>
      <c r="I20" s="16">
        <f>(H19+I19)/2*'Assumptions'!$B$14</f>
        <v/>
      </c>
      <c r="J20" s="16">
        <f>(I19+J19)/2*'Assumptions'!$B$14</f>
        <v/>
      </c>
      <c r="K20" s="16">
        <f>(J19+K19)/2*'Assumptions'!$B$14</f>
        <v/>
      </c>
      <c r="L20" s="16">
        <f>(K19+L19)/2*'Assumptions'!$B$14</f>
        <v/>
      </c>
      <c r="M20" s="16">
        <f>(L19+M19)/2*'Assumptions'!$B$14</f>
        <v/>
      </c>
      <c r="N20" s="16">
        <f>(M19+N19)/2*'Assumptions'!$B$14</f>
        <v/>
      </c>
      <c r="O20" s="16">
        <f>(N19+O19)/2*'Assumptions'!$B$14</f>
        <v/>
      </c>
      <c r="P20" s="16">
        <f>(O19+P19)/2*'Assumptions'!$B$14</f>
        <v/>
      </c>
      <c r="Q20" s="16">
        <f>(P19+Q19)/2*'Assumptions'!$B$14</f>
        <v/>
      </c>
      <c r="R20" s="16">
        <f>(Q19+R19)/2*'Assumptions'!$B$14</f>
        <v/>
      </c>
      <c r="S20" s="16">
        <f>(R19+S19)/2*'Assumptions'!$B$14</f>
        <v/>
      </c>
      <c r="T20" s="16">
        <f>(S19+T19)/2*'Assumptions'!$B$14</f>
        <v/>
      </c>
      <c r="U20" s="16">
        <f>(T19+U19)/2*'Assumptions'!$B$14</f>
        <v/>
      </c>
      <c r="V20" s="16">
        <f>(U19+V19)/2*'Assumptions'!$B$14</f>
        <v/>
      </c>
      <c r="W20" s="16">
        <f>(V19+W19)/2*'Assumptions'!$B$14</f>
        <v/>
      </c>
      <c r="X20" s="16">
        <f>(W19+X19)/2*'Assumptions'!$B$14</f>
        <v/>
      </c>
      <c r="Y20" s="16">
        <f>(X19+Y19)/2*'Assumptions'!$B$14</f>
        <v/>
      </c>
      <c r="Z20" s="16">
        <f>(Y19+Z19)/2*'Assumptions'!$B$14</f>
        <v/>
      </c>
      <c r="AA20" s="16">
        <f>(Z19+AA19)/2*'Assumptions'!$B$14</f>
        <v/>
      </c>
      <c r="AB20" s="16">
        <f>(AA19+AB19)/2*'Assumptions'!$B$14</f>
        <v/>
      </c>
      <c r="AC20" s="16">
        <f>(AB19+AC19)/2*'Assumptions'!$B$14</f>
        <v/>
      </c>
      <c r="AD20" s="16">
        <f>(AC19+AD19)/2*'Assumptions'!$B$14</f>
        <v/>
      </c>
      <c r="AE20" s="16">
        <f>(AD19+AE19)/2*'Assumptions'!$B$14</f>
        <v/>
      </c>
      <c r="AF20" s="16">
        <f>(AE19+AF19)/2*'Assumptions'!$B$14</f>
        <v/>
      </c>
      <c r="AG20" s="16">
        <f>(AF19+AG19)/2*'Assumptions'!$B$14</f>
        <v/>
      </c>
      <c r="AH20" s="16">
        <f>(AG19+AH19)/2*'Assumptions'!$B$14</f>
        <v/>
      </c>
      <c r="AI20" s="16">
        <f>(AH19+AI19)/2*'Assumptions'!$B$14</f>
        <v/>
      </c>
      <c r="AJ20" s="16">
        <f>(AI19+AJ19)/2*'Assumptions'!$B$14</f>
        <v/>
      </c>
      <c r="AK20" s="16">
        <f>(AJ19+AK19)/2*'Assumptions'!$B$14</f>
        <v/>
      </c>
      <c r="AL20" s="16">
        <f>(AK19+AL19)/2*'Assumptions'!$B$14</f>
        <v/>
      </c>
    </row>
    <row r="21">
      <c r="A21" s="4" t="inlineStr">
        <is>
          <t>Patient days (month)</t>
        </is>
      </c>
      <c r="C21" s="20">
        <f>C20*'Assumptions'!$B$9</f>
        <v/>
      </c>
      <c r="D21" s="20">
        <f>D20*'Assumptions'!$B$9</f>
        <v/>
      </c>
      <c r="E21" s="20">
        <f>E20*'Assumptions'!$B$9</f>
        <v/>
      </c>
      <c r="F21" s="20">
        <f>F20*'Assumptions'!$B$9</f>
        <v/>
      </c>
      <c r="G21" s="20">
        <f>G20*'Assumptions'!$B$9</f>
        <v/>
      </c>
      <c r="H21" s="20">
        <f>H20*'Assumptions'!$B$9</f>
        <v/>
      </c>
      <c r="I21" s="20">
        <f>I20*'Assumptions'!$B$9</f>
        <v/>
      </c>
      <c r="J21" s="20">
        <f>J20*'Assumptions'!$B$9</f>
        <v/>
      </c>
      <c r="K21" s="20">
        <f>K20*'Assumptions'!$B$9</f>
        <v/>
      </c>
      <c r="L21" s="20">
        <f>L20*'Assumptions'!$B$9</f>
        <v/>
      </c>
      <c r="M21" s="20">
        <f>M20*'Assumptions'!$B$9</f>
        <v/>
      </c>
      <c r="N21" s="20">
        <f>N20*'Assumptions'!$B$9</f>
        <v/>
      </c>
      <c r="O21" s="20">
        <f>O20*'Assumptions'!$B$9</f>
        <v/>
      </c>
      <c r="P21" s="20">
        <f>P20*'Assumptions'!$B$9</f>
        <v/>
      </c>
      <c r="Q21" s="20">
        <f>Q20*'Assumptions'!$B$9</f>
        <v/>
      </c>
      <c r="R21" s="20">
        <f>R20*'Assumptions'!$B$9</f>
        <v/>
      </c>
      <c r="S21" s="20">
        <f>S20*'Assumptions'!$B$9</f>
        <v/>
      </c>
      <c r="T21" s="20">
        <f>T20*'Assumptions'!$B$9</f>
        <v/>
      </c>
      <c r="U21" s="20">
        <f>U20*'Assumptions'!$B$9</f>
        <v/>
      </c>
      <c r="V21" s="20">
        <f>V20*'Assumptions'!$B$9</f>
        <v/>
      </c>
      <c r="W21" s="20">
        <f>W20*'Assumptions'!$B$9</f>
        <v/>
      </c>
      <c r="X21" s="20">
        <f>X20*'Assumptions'!$B$9</f>
        <v/>
      </c>
      <c r="Y21" s="20">
        <f>Y20*'Assumptions'!$B$9</f>
        <v/>
      </c>
      <c r="Z21" s="20">
        <f>Z20*'Assumptions'!$B$9</f>
        <v/>
      </c>
      <c r="AA21" s="20">
        <f>AA20*'Assumptions'!$B$9</f>
        <v/>
      </c>
      <c r="AB21" s="20">
        <f>AB20*'Assumptions'!$B$9</f>
        <v/>
      </c>
      <c r="AC21" s="20">
        <f>AC20*'Assumptions'!$B$9</f>
        <v/>
      </c>
      <c r="AD21" s="20">
        <f>AD20*'Assumptions'!$B$9</f>
        <v/>
      </c>
      <c r="AE21" s="20">
        <f>AE20*'Assumptions'!$B$9</f>
        <v/>
      </c>
      <c r="AF21" s="20">
        <f>AF20*'Assumptions'!$B$9</f>
        <v/>
      </c>
      <c r="AG21" s="20">
        <f>AG20*'Assumptions'!$B$9</f>
        <v/>
      </c>
      <c r="AH21" s="20">
        <f>AH20*'Assumptions'!$B$9</f>
        <v/>
      </c>
      <c r="AI21" s="20">
        <f>AI20*'Assumptions'!$B$9</f>
        <v/>
      </c>
      <c r="AJ21" s="20">
        <f>AJ20*'Assumptions'!$B$9</f>
        <v/>
      </c>
      <c r="AK21" s="20">
        <f>AK20*'Assumptions'!$B$9</f>
        <v/>
      </c>
      <c r="AL21" s="20">
        <f>AL20*'Assumptions'!$B$9</f>
        <v/>
      </c>
    </row>
  </sheetData>
  <mergeCells count="4">
    <mergeCell ref="A4:N4"/>
    <mergeCell ref="A13:N13"/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AL16"/>
  <sheetViews>
    <sheetView showGridLines="0" workbookViewId="0">
      <pane xSplit="2" ySplit="15" topLeftCell="C1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Revenue earned -&gt; cash collected. NOE losses, sequential claims, CHOW payment hold on first claims.</t>
        </is>
      </c>
    </row>
    <row r="4">
      <c r="A4" s="12" t="inlineStr">
        <is>
          <t>Month #</t>
        </is>
      </c>
      <c r="C4" s="17" t="n">
        <v>1</v>
      </c>
      <c r="D4" s="17" t="n">
        <v>2</v>
      </c>
      <c r="E4" s="17" t="n">
        <v>3</v>
      </c>
      <c r="F4" s="17" t="n">
        <v>4</v>
      </c>
      <c r="G4" s="17" t="n">
        <v>5</v>
      </c>
      <c r="H4" s="17" t="n">
        <v>6</v>
      </c>
      <c r="I4" s="17" t="n">
        <v>7</v>
      </c>
      <c r="J4" s="17" t="n">
        <v>8</v>
      </c>
      <c r="K4" s="17" t="n">
        <v>9</v>
      </c>
      <c r="L4" s="17" t="n">
        <v>10</v>
      </c>
      <c r="M4" s="17" t="n">
        <v>11</v>
      </c>
      <c r="N4" s="17" t="n">
        <v>12</v>
      </c>
      <c r="O4" s="17" t="n">
        <v>13</v>
      </c>
      <c r="P4" s="17" t="n">
        <v>14</v>
      </c>
      <c r="Q4" s="17" t="n">
        <v>15</v>
      </c>
      <c r="R4" s="17" t="n">
        <v>16</v>
      </c>
      <c r="S4" s="17" t="n">
        <v>17</v>
      </c>
      <c r="T4" s="17" t="n">
        <v>18</v>
      </c>
      <c r="U4" s="17" t="n">
        <v>19</v>
      </c>
      <c r="V4" s="17" t="n">
        <v>20</v>
      </c>
      <c r="W4" s="17" t="n">
        <v>21</v>
      </c>
      <c r="X4" s="17" t="n">
        <v>22</v>
      </c>
      <c r="Y4" s="17" t="n">
        <v>23</v>
      </c>
      <c r="Z4" s="17" t="n">
        <v>24</v>
      </c>
      <c r="AA4" s="17" t="n">
        <v>25</v>
      </c>
      <c r="AB4" s="17" t="n">
        <v>26</v>
      </c>
      <c r="AC4" s="17" t="n">
        <v>27</v>
      </c>
      <c r="AD4" s="17" t="n">
        <v>28</v>
      </c>
      <c r="AE4" s="17" t="n">
        <v>29</v>
      </c>
      <c r="AF4" s="17" t="n">
        <v>30</v>
      </c>
      <c r="AG4" s="17" t="n">
        <v>31</v>
      </c>
      <c r="AH4" s="17" t="n">
        <v>32</v>
      </c>
      <c r="AI4" s="17" t="n">
        <v>33</v>
      </c>
      <c r="AJ4" s="17" t="n">
        <v>34</v>
      </c>
      <c r="AK4" s="17" t="n">
        <v>35</v>
      </c>
      <c r="AL4" s="17" t="n">
        <v>36</v>
      </c>
    </row>
    <row r="5">
      <c r="A5" s="12" t="inlineStr"/>
      <c r="C5" s="14" t="inlineStr">
        <is>
          <t>Jul-26</t>
        </is>
      </c>
      <c r="D5" s="14" t="inlineStr">
        <is>
          <t>Aug-26</t>
        </is>
      </c>
      <c r="E5" s="14" t="inlineStr">
        <is>
          <t>Sep-26</t>
        </is>
      </c>
      <c r="F5" s="14" t="inlineStr">
        <is>
          <t>Oct-26</t>
        </is>
      </c>
      <c r="G5" s="14" t="inlineStr">
        <is>
          <t>Nov-26</t>
        </is>
      </c>
      <c r="H5" s="14" t="inlineStr">
        <is>
          <t>Dec-26</t>
        </is>
      </c>
      <c r="I5" s="14" t="inlineStr">
        <is>
          <t>Jan-27</t>
        </is>
      </c>
      <c r="J5" s="14" t="inlineStr">
        <is>
          <t>Feb-27</t>
        </is>
      </c>
      <c r="K5" s="14" t="inlineStr">
        <is>
          <t>Mar-27</t>
        </is>
      </c>
      <c r="L5" s="14" t="inlineStr">
        <is>
          <t>Apr-27</t>
        </is>
      </c>
      <c r="M5" s="14" t="inlineStr">
        <is>
          <t>May-27</t>
        </is>
      </c>
      <c r="N5" s="14" t="inlineStr">
        <is>
          <t>Jun-27</t>
        </is>
      </c>
      <c r="O5" s="14" t="inlineStr">
        <is>
          <t>Jul-27</t>
        </is>
      </c>
      <c r="P5" s="14" t="inlineStr">
        <is>
          <t>Aug-27</t>
        </is>
      </c>
      <c r="Q5" s="14" t="inlineStr">
        <is>
          <t>Sep-27</t>
        </is>
      </c>
      <c r="R5" s="14" t="inlineStr">
        <is>
          <t>Oct-27</t>
        </is>
      </c>
      <c r="S5" s="14" t="inlineStr">
        <is>
          <t>Nov-27</t>
        </is>
      </c>
      <c r="T5" s="14" t="inlineStr">
        <is>
          <t>Dec-27</t>
        </is>
      </c>
      <c r="U5" s="14" t="inlineStr">
        <is>
          <t>Jan-28</t>
        </is>
      </c>
      <c r="V5" s="14" t="inlineStr">
        <is>
          <t>Feb-28</t>
        </is>
      </c>
      <c r="W5" s="14" t="inlineStr">
        <is>
          <t>Mar-28</t>
        </is>
      </c>
      <c r="X5" s="14" t="inlineStr">
        <is>
          <t>Apr-28</t>
        </is>
      </c>
      <c r="Y5" s="14" t="inlineStr">
        <is>
          <t>May-28</t>
        </is>
      </c>
      <c r="Z5" s="14" t="inlineStr">
        <is>
          <t>Jun-28</t>
        </is>
      </c>
      <c r="AA5" s="14" t="inlineStr">
        <is>
          <t>Jul-28</t>
        </is>
      </c>
      <c r="AB5" s="14" t="inlineStr">
        <is>
          <t>Aug-28</t>
        </is>
      </c>
      <c r="AC5" s="14" t="inlineStr">
        <is>
          <t>Sep-28</t>
        </is>
      </c>
      <c r="AD5" s="14" t="inlineStr">
        <is>
          <t>Oct-28</t>
        </is>
      </c>
      <c r="AE5" s="14" t="inlineStr">
        <is>
          <t>Nov-28</t>
        </is>
      </c>
      <c r="AF5" s="14" t="inlineStr">
        <is>
          <t>Dec-28</t>
        </is>
      </c>
      <c r="AG5" s="14" t="inlineStr">
        <is>
          <t>Jan-29</t>
        </is>
      </c>
      <c r="AH5" s="14" t="inlineStr">
        <is>
          <t>Feb-29</t>
        </is>
      </c>
      <c r="AI5" s="14" t="inlineStr">
        <is>
          <t>Mar-29</t>
        </is>
      </c>
      <c r="AJ5" s="14" t="inlineStr">
        <is>
          <t>Apr-29</t>
        </is>
      </c>
      <c r="AK5" s="14" t="inlineStr">
        <is>
          <t>May-29</t>
        </is>
      </c>
      <c r="AL5" s="14" t="inlineStr">
        <is>
          <t>Jun-29</t>
        </is>
      </c>
    </row>
    <row r="6">
      <c r="A6" s="4" t="inlineStr">
        <is>
          <t>Blended net rate ($/PD, escalated)</t>
        </is>
      </c>
      <c r="C6" s="21">
        <f>('Assumptions'!$B$7*'Assumptions'!$B$5+(1-'Assumptions'!$B$7)*'Assumptions'!$B$6)*(1+'Assumptions'!$B$8)^0</f>
        <v/>
      </c>
      <c r="D6" s="21">
        <f>('Assumptions'!$B$7*'Assumptions'!$B$5+(1-'Assumptions'!$B$7)*'Assumptions'!$B$6)*(1+'Assumptions'!$B$8)^0</f>
        <v/>
      </c>
      <c r="E6" s="21">
        <f>('Assumptions'!$B$7*'Assumptions'!$B$5+(1-'Assumptions'!$B$7)*'Assumptions'!$B$6)*(1+'Assumptions'!$B$8)^0</f>
        <v/>
      </c>
      <c r="F6" s="21">
        <f>('Assumptions'!$B$7*'Assumptions'!$B$5+(1-'Assumptions'!$B$7)*'Assumptions'!$B$6)*(1+'Assumptions'!$B$8)^0</f>
        <v/>
      </c>
      <c r="G6" s="21">
        <f>('Assumptions'!$B$7*'Assumptions'!$B$5+(1-'Assumptions'!$B$7)*'Assumptions'!$B$6)*(1+'Assumptions'!$B$8)^0</f>
        <v/>
      </c>
      <c r="H6" s="21">
        <f>('Assumptions'!$B$7*'Assumptions'!$B$5+(1-'Assumptions'!$B$7)*'Assumptions'!$B$6)*(1+'Assumptions'!$B$8)^0</f>
        <v/>
      </c>
      <c r="I6" s="21">
        <f>('Assumptions'!$B$7*'Assumptions'!$B$5+(1-'Assumptions'!$B$7)*'Assumptions'!$B$6)*(1+'Assumptions'!$B$8)^0</f>
        <v/>
      </c>
      <c r="J6" s="21">
        <f>('Assumptions'!$B$7*'Assumptions'!$B$5+(1-'Assumptions'!$B$7)*'Assumptions'!$B$6)*(1+'Assumptions'!$B$8)^0</f>
        <v/>
      </c>
      <c r="K6" s="21">
        <f>('Assumptions'!$B$7*'Assumptions'!$B$5+(1-'Assumptions'!$B$7)*'Assumptions'!$B$6)*(1+'Assumptions'!$B$8)^0</f>
        <v/>
      </c>
      <c r="L6" s="21">
        <f>('Assumptions'!$B$7*'Assumptions'!$B$5+(1-'Assumptions'!$B$7)*'Assumptions'!$B$6)*(1+'Assumptions'!$B$8)^0</f>
        <v/>
      </c>
      <c r="M6" s="21">
        <f>('Assumptions'!$B$7*'Assumptions'!$B$5+(1-'Assumptions'!$B$7)*'Assumptions'!$B$6)*(1+'Assumptions'!$B$8)^0</f>
        <v/>
      </c>
      <c r="N6" s="21">
        <f>('Assumptions'!$B$7*'Assumptions'!$B$5+(1-'Assumptions'!$B$7)*'Assumptions'!$B$6)*(1+'Assumptions'!$B$8)^0</f>
        <v/>
      </c>
      <c r="O6" s="21">
        <f>('Assumptions'!$B$7*'Assumptions'!$B$5+(1-'Assumptions'!$B$7)*'Assumptions'!$B$6)*(1+'Assumptions'!$B$8)^1</f>
        <v/>
      </c>
      <c r="P6" s="21">
        <f>('Assumptions'!$B$7*'Assumptions'!$B$5+(1-'Assumptions'!$B$7)*'Assumptions'!$B$6)*(1+'Assumptions'!$B$8)^1</f>
        <v/>
      </c>
      <c r="Q6" s="21">
        <f>('Assumptions'!$B$7*'Assumptions'!$B$5+(1-'Assumptions'!$B$7)*'Assumptions'!$B$6)*(1+'Assumptions'!$B$8)^1</f>
        <v/>
      </c>
      <c r="R6" s="21">
        <f>('Assumptions'!$B$7*'Assumptions'!$B$5+(1-'Assumptions'!$B$7)*'Assumptions'!$B$6)*(1+'Assumptions'!$B$8)^1</f>
        <v/>
      </c>
      <c r="S6" s="21">
        <f>('Assumptions'!$B$7*'Assumptions'!$B$5+(1-'Assumptions'!$B$7)*'Assumptions'!$B$6)*(1+'Assumptions'!$B$8)^1</f>
        <v/>
      </c>
      <c r="T6" s="21">
        <f>('Assumptions'!$B$7*'Assumptions'!$B$5+(1-'Assumptions'!$B$7)*'Assumptions'!$B$6)*(1+'Assumptions'!$B$8)^1</f>
        <v/>
      </c>
      <c r="U6" s="21">
        <f>('Assumptions'!$B$7*'Assumptions'!$B$5+(1-'Assumptions'!$B$7)*'Assumptions'!$B$6)*(1+'Assumptions'!$B$8)^1</f>
        <v/>
      </c>
      <c r="V6" s="21">
        <f>('Assumptions'!$B$7*'Assumptions'!$B$5+(1-'Assumptions'!$B$7)*'Assumptions'!$B$6)*(1+'Assumptions'!$B$8)^1</f>
        <v/>
      </c>
      <c r="W6" s="21">
        <f>('Assumptions'!$B$7*'Assumptions'!$B$5+(1-'Assumptions'!$B$7)*'Assumptions'!$B$6)*(1+'Assumptions'!$B$8)^1</f>
        <v/>
      </c>
      <c r="X6" s="21">
        <f>('Assumptions'!$B$7*'Assumptions'!$B$5+(1-'Assumptions'!$B$7)*'Assumptions'!$B$6)*(1+'Assumptions'!$B$8)^1</f>
        <v/>
      </c>
      <c r="Y6" s="21">
        <f>('Assumptions'!$B$7*'Assumptions'!$B$5+(1-'Assumptions'!$B$7)*'Assumptions'!$B$6)*(1+'Assumptions'!$B$8)^1</f>
        <v/>
      </c>
      <c r="Z6" s="21">
        <f>('Assumptions'!$B$7*'Assumptions'!$B$5+(1-'Assumptions'!$B$7)*'Assumptions'!$B$6)*(1+'Assumptions'!$B$8)^1</f>
        <v/>
      </c>
      <c r="AA6" s="21">
        <f>('Assumptions'!$B$7*'Assumptions'!$B$5+(1-'Assumptions'!$B$7)*'Assumptions'!$B$6)*(1+'Assumptions'!$B$8)^2</f>
        <v/>
      </c>
      <c r="AB6" s="21">
        <f>('Assumptions'!$B$7*'Assumptions'!$B$5+(1-'Assumptions'!$B$7)*'Assumptions'!$B$6)*(1+'Assumptions'!$B$8)^2</f>
        <v/>
      </c>
      <c r="AC6" s="21">
        <f>('Assumptions'!$B$7*'Assumptions'!$B$5+(1-'Assumptions'!$B$7)*'Assumptions'!$B$6)*(1+'Assumptions'!$B$8)^2</f>
        <v/>
      </c>
      <c r="AD6" s="21">
        <f>('Assumptions'!$B$7*'Assumptions'!$B$5+(1-'Assumptions'!$B$7)*'Assumptions'!$B$6)*(1+'Assumptions'!$B$8)^2</f>
        <v/>
      </c>
      <c r="AE6" s="21">
        <f>('Assumptions'!$B$7*'Assumptions'!$B$5+(1-'Assumptions'!$B$7)*'Assumptions'!$B$6)*(1+'Assumptions'!$B$8)^2</f>
        <v/>
      </c>
      <c r="AF6" s="21">
        <f>('Assumptions'!$B$7*'Assumptions'!$B$5+(1-'Assumptions'!$B$7)*'Assumptions'!$B$6)*(1+'Assumptions'!$B$8)^2</f>
        <v/>
      </c>
      <c r="AG6" s="21">
        <f>('Assumptions'!$B$7*'Assumptions'!$B$5+(1-'Assumptions'!$B$7)*'Assumptions'!$B$6)*(1+'Assumptions'!$B$8)^2</f>
        <v/>
      </c>
      <c r="AH6" s="21">
        <f>('Assumptions'!$B$7*'Assumptions'!$B$5+(1-'Assumptions'!$B$7)*'Assumptions'!$B$6)*(1+'Assumptions'!$B$8)^2</f>
        <v/>
      </c>
      <c r="AI6" s="21">
        <f>('Assumptions'!$B$7*'Assumptions'!$B$5+(1-'Assumptions'!$B$7)*'Assumptions'!$B$6)*(1+'Assumptions'!$B$8)^2</f>
        <v/>
      </c>
      <c r="AJ6" s="21">
        <f>('Assumptions'!$B$7*'Assumptions'!$B$5+(1-'Assumptions'!$B$7)*'Assumptions'!$B$6)*(1+'Assumptions'!$B$8)^2</f>
        <v/>
      </c>
      <c r="AK6" s="21">
        <f>('Assumptions'!$B$7*'Assumptions'!$B$5+(1-'Assumptions'!$B$7)*'Assumptions'!$B$6)*(1+'Assumptions'!$B$8)^2</f>
        <v/>
      </c>
      <c r="AL6" s="21">
        <f>('Assumptions'!$B$7*'Assumptions'!$B$5+(1-'Assumptions'!$B$7)*'Assumptions'!$B$6)*(1+'Assumptions'!$B$8)^2</f>
        <v/>
      </c>
    </row>
    <row r="7">
      <c r="A7" s="4" t="inlineStr">
        <is>
          <t>Revenue earned (PD x rate)</t>
        </is>
      </c>
      <c r="C7" s="22">
        <f>Census!C21*C6</f>
        <v/>
      </c>
      <c r="D7" s="22">
        <f>Census!D21*D6</f>
        <v/>
      </c>
      <c r="E7" s="22">
        <f>Census!E21*E6</f>
        <v/>
      </c>
      <c r="F7" s="22">
        <f>Census!F21*F6</f>
        <v/>
      </c>
      <c r="G7" s="22">
        <f>Census!G21*G6</f>
        <v/>
      </c>
      <c r="H7" s="22">
        <f>Census!H21*H6</f>
        <v/>
      </c>
      <c r="I7" s="22">
        <f>Census!I21*I6</f>
        <v/>
      </c>
      <c r="J7" s="22">
        <f>Census!J21*J6</f>
        <v/>
      </c>
      <c r="K7" s="22">
        <f>Census!K21*K6</f>
        <v/>
      </c>
      <c r="L7" s="22">
        <f>Census!L21*L6</f>
        <v/>
      </c>
      <c r="M7" s="22">
        <f>Census!M21*M6</f>
        <v/>
      </c>
      <c r="N7" s="22">
        <f>Census!N21*N6</f>
        <v/>
      </c>
      <c r="O7" s="22">
        <f>Census!O21*O6</f>
        <v/>
      </c>
      <c r="P7" s="22">
        <f>Census!P21*P6</f>
        <v/>
      </c>
      <c r="Q7" s="22">
        <f>Census!Q21*Q6</f>
        <v/>
      </c>
      <c r="R7" s="22">
        <f>Census!R21*R6</f>
        <v/>
      </c>
      <c r="S7" s="22">
        <f>Census!S21*S6</f>
        <v/>
      </c>
      <c r="T7" s="22">
        <f>Census!T21*T6</f>
        <v/>
      </c>
      <c r="U7" s="22">
        <f>Census!U21*U6</f>
        <v/>
      </c>
      <c r="V7" s="22">
        <f>Census!V21*V6</f>
        <v/>
      </c>
      <c r="W7" s="22">
        <f>Census!W21*W6</f>
        <v/>
      </c>
      <c r="X7" s="22">
        <f>Census!X21*X6</f>
        <v/>
      </c>
      <c r="Y7" s="22">
        <f>Census!Y21*Y6</f>
        <v/>
      </c>
      <c r="Z7" s="22">
        <f>Census!Z21*Z6</f>
        <v/>
      </c>
      <c r="AA7" s="22">
        <f>Census!AA21*AA6</f>
        <v/>
      </c>
      <c r="AB7" s="22">
        <f>Census!AB21*AB6</f>
        <v/>
      </c>
      <c r="AC7" s="22">
        <f>Census!AC21*AC6</f>
        <v/>
      </c>
      <c r="AD7" s="22">
        <f>Census!AD21*AD6</f>
        <v/>
      </c>
      <c r="AE7" s="22">
        <f>Census!AE21*AE6</f>
        <v/>
      </c>
      <c r="AF7" s="22">
        <f>Census!AF21*AF6</f>
        <v/>
      </c>
      <c r="AG7" s="22">
        <f>Census!AG21*AG6</f>
        <v/>
      </c>
      <c r="AH7" s="22">
        <f>Census!AH21*AH6</f>
        <v/>
      </c>
      <c r="AI7" s="22">
        <f>Census!AI21*AI6</f>
        <v/>
      </c>
      <c r="AJ7" s="22">
        <f>Census!AJ21*AJ6</f>
        <v/>
      </c>
      <c r="AK7" s="22">
        <f>Census!AK21*AK6</f>
        <v/>
      </c>
      <c r="AL7" s="22">
        <f>Census!AL21*AL6</f>
        <v/>
      </c>
    </row>
    <row r="8">
      <c r="A8" s="4" t="inlineStr">
        <is>
          <t>less: NOE losses (late notices)</t>
        </is>
      </c>
      <c r="C8" s="22">
        <f>-Census!C16*'Assumptions'!$B$18*'Assumptions'!$B$17*C6</f>
        <v/>
      </c>
      <c r="D8" s="22">
        <f>-Census!D16*'Assumptions'!$B$18*'Assumptions'!$B$17*D6</f>
        <v/>
      </c>
      <c r="E8" s="22">
        <f>-Census!E16*'Assumptions'!$B$18*'Assumptions'!$B$17*E6</f>
        <v/>
      </c>
      <c r="F8" s="22">
        <f>-Census!F16*'Assumptions'!$B$18*'Assumptions'!$B$17*F6</f>
        <v/>
      </c>
      <c r="G8" s="22">
        <f>-Census!G16*'Assumptions'!$B$18*'Assumptions'!$B$17*G6</f>
        <v/>
      </c>
      <c r="H8" s="22">
        <f>-Census!H16*'Assumptions'!$B$18*'Assumptions'!$B$17*H6</f>
        <v/>
      </c>
      <c r="I8" s="22">
        <f>-Census!I16*'Assumptions'!$B$18*'Assumptions'!$B$17*I6</f>
        <v/>
      </c>
      <c r="J8" s="22">
        <f>-Census!J16*'Assumptions'!$B$18*'Assumptions'!$B$17*J6</f>
        <v/>
      </c>
      <c r="K8" s="22">
        <f>-Census!K16*'Assumptions'!$B$18*'Assumptions'!$B$17*K6</f>
        <v/>
      </c>
      <c r="L8" s="22">
        <f>-Census!L16*'Assumptions'!$B$18*'Assumptions'!$B$17*L6</f>
        <v/>
      </c>
      <c r="M8" s="22">
        <f>-Census!M16*'Assumptions'!$B$18*'Assumptions'!$B$17*M6</f>
        <v/>
      </c>
      <c r="N8" s="22">
        <f>-Census!N16*'Assumptions'!$B$18*'Assumptions'!$B$17*N6</f>
        <v/>
      </c>
      <c r="O8" s="22">
        <f>-Census!O16*'Assumptions'!$B$18*'Assumptions'!$B$17*O6</f>
        <v/>
      </c>
      <c r="P8" s="22">
        <f>-Census!P16*'Assumptions'!$B$18*'Assumptions'!$B$17*P6</f>
        <v/>
      </c>
      <c r="Q8" s="22">
        <f>-Census!Q16*'Assumptions'!$B$18*'Assumptions'!$B$17*Q6</f>
        <v/>
      </c>
      <c r="R8" s="22">
        <f>-Census!R16*'Assumptions'!$B$18*'Assumptions'!$B$17*R6</f>
        <v/>
      </c>
      <c r="S8" s="22">
        <f>-Census!S16*'Assumptions'!$B$18*'Assumptions'!$B$17*S6</f>
        <v/>
      </c>
      <c r="T8" s="22">
        <f>-Census!T16*'Assumptions'!$B$18*'Assumptions'!$B$17*T6</f>
        <v/>
      </c>
      <c r="U8" s="22">
        <f>-Census!U16*'Assumptions'!$B$18*'Assumptions'!$B$17*U6</f>
        <v/>
      </c>
      <c r="V8" s="22">
        <f>-Census!V16*'Assumptions'!$B$18*'Assumptions'!$B$17*V6</f>
        <v/>
      </c>
      <c r="W8" s="22">
        <f>-Census!W16*'Assumptions'!$B$18*'Assumptions'!$B$17*W6</f>
        <v/>
      </c>
      <c r="X8" s="22">
        <f>-Census!X16*'Assumptions'!$B$18*'Assumptions'!$B$17*X6</f>
        <v/>
      </c>
      <c r="Y8" s="22">
        <f>-Census!Y16*'Assumptions'!$B$18*'Assumptions'!$B$17*Y6</f>
        <v/>
      </c>
      <c r="Z8" s="22">
        <f>-Census!Z16*'Assumptions'!$B$18*'Assumptions'!$B$17*Z6</f>
        <v/>
      </c>
      <c r="AA8" s="22">
        <f>-Census!AA16*'Assumptions'!$B$18*'Assumptions'!$B$17*AA6</f>
        <v/>
      </c>
      <c r="AB8" s="22">
        <f>-Census!AB16*'Assumptions'!$B$18*'Assumptions'!$B$17*AB6</f>
        <v/>
      </c>
      <c r="AC8" s="22">
        <f>-Census!AC16*'Assumptions'!$B$18*'Assumptions'!$B$17*AC6</f>
        <v/>
      </c>
      <c r="AD8" s="22">
        <f>-Census!AD16*'Assumptions'!$B$18*'Assumptions'!$B$17*AD6</f>
        <v/>
      </c>
      <c r="AE8" s="22">
        <f>-Census!AE16*'Assumptions'!$B$18*'Assumptions'!$B$17*AE6</f>
        <v/>
      </c>
      <c r="AF8" s="22">
        <f>-Census!AF16*'Assumptions'!$B$18*'Assumptions'!$B$17*AF6</f>
        <v/>
      </c>
      <c r="AG8" s="22">
        <f>-Census!AG16*'Assumptions'!$B$18*'Assumptions'!$B$17*AG6</f>
        <v/>
      </c>
      <c r="AH8" s="22">
        <f>-Census!AH16*'Assumptions'!$B$18*'Assumptions'!$B$17*AH6</f>
        <v/>
      </c>
      <c r="AI8" s="22">
        <f>-Census!AI16*'Assumptions'!$B$18*'Assumptions'!$B$17*AI6</f>
        <v/>
      </c>
      <c r="AJ8" s="22">
        <f>-Census!AJ16*'Assumptions'!$B$18*'Assumptions'!$B$17*AJ6</f>
        <v/>
      </c>
      <c r="AK8" s="22">
        <f>-Census!AK16*'Assumptions'!$B$18*'Assumptions'!$B$17*AK6</f>
        <v/>
      </c>
      <c r="AL8" s="22">
        <f>-Census!AL16*'Assumptions'!$B$18*'Assumptions'!$B$17*AL6</f>
        <v/>
      </c>
    </row>
    <row r="9">
      <c r="A9" s="12" t="inlineStr">
        <is>
          <t>NET REVENUE (billable)</t>
        </is>
      </c>
      <c r="C9" s="23">
        <f>C7+C8</f>
        <v/>
      </c>
      <c r="D9" s="23">
        <f>D7+D8</f>
        <v/>
      </c>
      <c r="E9" s="23">
        <f>E7+E8</f>
        <v/>
      </c>
      <c r="F9" s="23">
        <f>F7+F8</f>
        <v/>
      </c>
      <c r="G9" s="23">
        <f>G7+G8</f>
        <v/>
      </c>
      <c r="H9" s="23">
        <f>H7+H8</f>
        <v/>
      </c>
      <c r="I9" s="23">
        <f>I7+I8</f>
        <v/>
      </c>
      <c r="J9" s="23">
        <f>J7+J8</f>
        <v/>
      </c>
      <c r="K9" s="23">
        <f>K7+K8</f>
        <v/>
      </c>
      <c r="L9" s="23">
        <f>L7+L8</f>
        <v/>
      </c>
      <c r="M9" s="23">
        <f>M7+M8</f>
        <v/>
      </c>
      <c r="N9" s="23">
        <f>N7+N8</f>
        <v/>
      </c>
      <c r="O9" s="23">
        <f>O7+O8</f>
        <v/>
      </c>
      <c r="P9" s="23">
        <f>P7+P8</f>
        <v/>
      </c>
      <c r="Q9" s="23">
        <f>Q7+Q8</f>
        <v/>
      </c>
      <c r="R9" s="23">
        <f>R7+R8</f>
        <v/>
      </c>
      <c r="S9" s="23">
        <f>S7+S8</f>
        <v/>
      </c>
      <c r="T9" s="23">
        <f>T7+T8</f>
        <v/>
      </c>
      <c r="U9" s="23">
        <f>U7+U8</f>
        <v/>
      </c>
      <c r="V9" s="23">
        <f>V7+V8</f>
        <v/>
      </c>
      <c r="W9" s="23">
        <f>W7+W8</f>
        <v/>
      </c>
      <c r="X9" s="23">
        <f>X7+X8</f>
        <v/>
      </c>
      <c r="Y9" s="23">
        <f>Y7+Y8</f>
        <v/>
      </c>
      <c r="Z9" s="23">
        <f>Z7+Z8</f>
        <v/>
      </c>
      <c r="AA9" s="23">
        <f>AA7+AA8</f>
        <v/>
      </c>
      <c r="AB9" s="23">
        <f>AB7+AB8</f>
        <v/>
      </c>
      <c r="AC9" s="23">
        <f>AC7+AC8</f>
        <v/>
      </c>
      <c r="AD9" s="23">
        <f>AD7+AD8</f>
        <v/>
      </c>
      <c r="AE9" s="23">
        <f>AE7+AE8</f>
        <v/>
      </c>
      <c r="AF9" s="23">
        <f>AF7+AF8</f>
        <v/>
      </c>
      <c r="AG9" s="23">
        <f>AG7+AG8</f>
        <v/>
      </c>
      <c r="AH9" s="23">
        <f>AH7+AH8</f>
        <v/>
      </c>
      <c r="AI9" s="23">
        <f>AI7+AI8</f>
        <v/>
      </c>
      <c r="AJ9" s="23">
        <f>AJ7+AJ8</f>
        <v/>
      </c>
      <c r="AK9" s="23">
        <f>AK7+AK8</f>
        <v/>
      </c>
      <c r="AL9" s="23">
        <f>AL7+AL8</f>
        <v/>
      </c>
    </row>
    <row r="10">
      <c r="A10" s="4" t="inlineStr">
        <is>
          <t>Collection month (svc mo + lag + hold on first claims)</t>
        </is>
      </c>
      <c r="C10" s="24">
        <f>1+'Assumptions'!$B$20+MAX(0,'Assumptions'!$B$19-0)</f>
        <v/>
      </c>
      <c r="D10" s="24">
        <f>2+'Assumptions'!$B$20+MAX(0,'Assumptions'!$B$19-1)</f>
        <v/>
      </c>
      <c r="E10" s="24">
        <f>3+'Assumptions'!$B$20+MAX(0,'Assumptions'!$B$19-2)</f>
        <v/>
      </c>
      <c r="F10" s="24">
        <f>4+'Assumptions'!$B$20+MAX(0,'Assumptions'!$B$19-3)</f>
        <v/>
      </c>
      <c r="G10" s="24">
        <f>5+'Assumptions'!$B$20+MAX(0,'Assumptions'!$B$19-4)</f>
        <v/>
      </c>
      <c r="H10" s="24">
        <f>6+'Assumptions'!$B$20+MAX(0,'Assumptions'!$B$19-5)</f>
        <v/>
      </c>
      <c r="I10" s="24">
        <f>7+'Assumptions'!$B$20+MAX(0,'Assumptions'!$B$19-6)</f>
        <v/>
      </c>
      <c r="J10" s="24">
        <f>8+'Assumptions'!$B$20+MAX(0,'Assumptions'!$B$19-7)</f>
        <v/>
      </c>
      <c r="K10" s="24">
        <f>9+'Assumptions'!$B$20+MAX(0,'Assumptions'!$B$19-8)</f>
        <v/>
      </c>
      <c r="L10" s="24">
        <f>10+'Assumptions'!$B$20+MAX(0,'Assumptions'!$B$19-9)</f>
        <v/>
      </c>
      <c r="M10" s="24">
        <f>11+'Assumptions'!$B$20+MAX(0,'Assumptions'!$B$19-10)</f>
        <v/>
      </c>
      <c r="N10" s="24">
        <f>12+'Assumptions'!$B$20+MAX(0,'Assumptions'!$B$19-11)</f>
        <v/>
      </c>
      <c r="O10" s="24">
        <f>13+'Assumptions'!$B$20+MAX(0,'Assumptions'!$B$19-12)</f>
        <v/>
      </c>
      <c r="P10" s="24">
        <f>14+'Assumptions'!$B$20+MAX(0,'Assumptions'!$B$19-13)</f>
        <v/>
      </c>
      <c r="Q10" s="24">
        <f>15+'Assumptions'!$B$20+MAX(0,'Assumptions'!$B$19-14)</f>
        <v/>
      </c>
      <c r="R10" s="24">
        <f>16+'Assumptions'!$B$20+MAX(0,'Assumptions'!$B$19-15)</f>
        <v/>
      </c>
      <c r="S10" s="24">
        <f>17+'Assumptions'!$B$20+MAX(0,'Assumptions'!$B$19-16)</f>
        <v/>
      </c>
      <c r="T10" s="24">
        <f>18+'Assumptions'!$B$20+MAX(0,'Assumptions'!$B$19-17)</f>
        <v/>
      </c>
      <c r="U10" s="24">
        <f>19+'Assumptions'!$B$20+MAX(0,'Assumptions'!$B$19-18)</f>
        <v/>
      </c>
      <c r="V10" s="24">
        <f>20+'Assumptions'!$B$20+MAX(0,'Assumptions'!$B$19-19)</f>
        <v/>
      </c>
      <c r="W10" s="24">
        <f>21+'Assumptions'!$B$20+MAX(0,'Assumptions'!$B$19-20)</f>
        <v/>
      </c>
      <c r="X10" s="24">
        <f>22+'Assumptions'!$B$20+MAX(0,'Assumptions'!$B$19-21)</f>
        <v/>
      </c>
      <c r="Y10" s="24">
        <f>23+'Assumptions'!$B$20+MAX(0,'Assumptions'!$B$19-22)</f>
        <v/>
      </c>
      <c r="Z10" s="24">
        <f>24+'Assumptions'!$B$20+MAX(0,'Assumptions'!$B$19-23)</f>
        <v/>
      </c>
      <c r="AA10" s="24">
        <f>25+'Assumptions'!$B$20+MAX(0,'Assumptions'!$B$19-24)</f>
        <v/>
      </c>
      <c r="AB10" s="24">
        <f>26+'Assumptions'!$B$20+MAX(0,'Assumptions'!$B$19-25)</f>
        <v/>
      </c>
      <c r="AC10" s="24">
        <f>27+'Assumptions'!$B$20+MAX(0,'Assumptions'!$B$19-26)</f>
        <v/>
      </c>
      <c r="AD10" s="24">
        <f>28+'Assumptions'!$B$20+MAX(0,'Assumptions'!$B$19-27)</f>
        <v/>
      </c>
      <c r="AE10" s="24">
        <f>29+'Assumptions'!$B$20+MAX(0,'Assumptions'!$B$19-28)</f>
        <v/>
      </c>
      <c r="AF10" s="24">
        <f>30+'Assumptions'!$B$20+MAX(0,'Assumptions'!$B$19-29)</f>
        <v/>
      </c>
      <c r="AG10" s="24">
        <f>31+'Assumptions'!$B$20+MAX(0,'Assumptions'!$B$19-30)</f>
        <v/>
      </c>
      <c r="AH10" s="24">
        <f>32+'Assumptions'!$B$20+MAX(0,'Assumptions'!$B$19-31)</f>
        <v/>
      </c>
      <c r="AI10" s="24">
        <f>33+'Assumptions'!$B$20+MAX(0,'Assumptions'!$B$19-32)</f>
        <v/>
      </c>
      <c r="AJ10" s="24">
        <f>34+'Assumptions'!$B$20+MAX(0,'Assumptions'!$B$19-33)</f>
        <v/>
      </c>
      <c r="AK10" s="24">
        <f>35+'Assumptions'!$B$20+MAX(0,'Assumptions'!$B$19-34)</f>
        <v/>
      </c>
      <c r="AL10" s="24">
        <f>36+'Assumptions'!$B$20+MAX(0,'Assumptions'!$B$19-35)</f>
        <v/>
      </c>
    </row>
    <row r="11">
      <c r="A11" s="12" t="inlineStr">
        <is>
          <t>CASH COLLECTED</t>
        </is>
      </c>
      <c r="C11" s="23">
        <f>SUMPRODUCT(($C$10:$AL$10=1)*$C$9:$AL$9)</f>
        <v/>
      </c>
      <c r="D11" s="23">
        <f>SUMPRODUCT(($C$10:$AL$10=2)*$C$9:$AL$9)</f>
        <v/>
      </c>
      <c r="E11" s="23">
        <f>SUMPRODUCT(($C$10:$AL$10=3)*$C$9:$AL$9)</f>
        <v/>
      </c>
      <c r="F11" s="23">
        <f>SUMPRODUCT(($C$10:$AL$10=4)*$C$9:$AL$9)</f>
        <v/>
      </c>
      <c r="G11" s="23">
        <f>SUMPRODUCT(($C$10:$AL$10=5)*$C$9:$AL$9)</f>
        <v/>
      </c>
      <c r="H11" s="23">
        <f>SUMPRODUCT(($C$10:$AL$10=6)*$C$9:$AL$9)</f>
        <v/>
      </c>
      <c r="I11" s="23">
        <f>SUMPRODUCT(($C$10:$AL$10=7)*$C$9:$AL$9)</f>
        <v/>
      </c>
      <c r="J11" s="23">
        <f>SUMPRODUCT(($C$10:$AL$10=8)*$C$9:$AL$9)</f>
        <v/>
      </c>
      <c r="K11" s="23">
        <f>SUMPRODUCT(($C$10:$AL$10=9)*$C$9:$AL$9)</f>
        <v/>
      </c>
      <c r="L11" s="23">
        <f>SUMPRODUCT(($C$10:$AL$10=10)*$C$9:$AL$9)</f>
        <v/>
      </c>
      <c r="M11" s="23">
        <f>SUMPRODUCT(($C$10:$AL$10=11)*$C$9:$AL$9)</f>
        <v/>
      </c>
      <c r="N11" s="23">
        <f>SUMPRODUCT(($C$10:$AL$10=12)*$C$9:$AL$9)</f>
        <v/>
      </c>
      <c r="O11" s="23">
        <f>SUMPRODUCT(($C$10:$AL$10=13)*$C$9:$AL$9)</f>
        <v/>
      </c>
      <c r="P11" s="23">
        <f>SUMPRODUCT(($C$10:$AL$10=14)*$C$9:$AL$9)</f>
        <v/>
      </c>
      <c r="Q11" s="23">
        <f>SUMPRODUCT(($C$10:$AL$10=15)*$C$9:$AL$9)</f>
        <v/>
      </c>
      <c r="R11" s="23">
        <f>SUMPRODUCT(($C$10:$AL$10=16)*$C$9:$AL$9)</f>
        <v/>
      </c>
      <c r="S11" s="23">
        <f>SUMPRODUCT(($C$10:$AL$10=17)*$C$9:$AL$9)</f>
        <v/>
      </c>
      <c r="T11" s="23">
        <f>SUMPRODUCT(($C$10:$AL$10=18)*$C$9:$AL$9)</f>
        <v/>
      </c>
      <c r="U11" s="23">
        <f>SUMPRODUCT(($C$10:$AL$10=19)*$C$9:$AL$9)</f>
        <v/>
      </c>
      <c r="V11" s="23">
        <f>SUMPRODUCT(($C$10:$AL$10=20)*$C$9:$AL$9)</f>
        <v/>
      </c>
      <c r="W11" s="23">
        <f>SUMPRODUCT(($C$10:$AL$10=21)*$C$9:$AL$9)</f>
        <v/>
      </c>
      <c r="X11" s="23">
        <f>SUMPRODUCT(($C$10:$AL$10=22)*$C$9:$AL$9)</f>
        <v/>
      </c>
      <c r="Y11" s="23">
        <f>SUMPRODUCT(($C$10:$AL$10=23)*$C$9:$AL$9)</f>
        <v/>
      </c>
      <c r="Z11" s="23">
        <f>SUMPRODUCT(($C$10:$AL$10=24)*$C$9:$AL$9)</f>
        <v/>
      </c>
      <c r="AA11" s="23">
        <f>SUMPRODUCT(($C$10:$AL$10=25)*$C$9:$AL$9)</f>
        <v/>
      </c>
      <c r="AB11" s="23">
        <f>SUMPRODUCT(($C$10:$AL$10=26)*$C$9:$AL$9)</f>
        <v/>
      </c>
      <c r="AC11" s="23">
        <f>SUMPRODUCT(($C$10:$AL$10=27)*$C$9:$AL$9)</f>
        <v/>
      </c>
      <c r="AD11" s="23">
        <f>SUMPRODUCT(($C$10:$AL$10=28)*$C$9:$AL$9)</f>
        <v/>
      </c>
      <c r="AE11" s="23">
        <f>SUMPRODUCT(($C$10:$AL$10=29)*$C$9:$AL$9)</f>
        <v/>
      </c>
      <c r="AF11" s="23">
        <f>SUMPRODUCT(($C$10:$AL$10=30)*$C$9:$AL$9)</f>
        <v/>
      </c>
      <c r="AG11" s="23">
        <f>SUMPRODUCT(($C$10:$AL$10=31)*$C$9:$AL$9)</f>
        <v/>
      </c>
      <c r="AH11" s="23">
        <f>SUMPRODUCT(($C$10:$AL$10=32)*$C$9:$AL$9)</f>
        <v/>
      </c>
      <c r="AI11" s="23">
        <f>SUMPRODUCT(($C$10:$AL$10=33)*$C$9:$AL$9)</f>
        <v/>
      </c>
      <c r="AJ11" s="23">
        <f>SUMPRODUCT(($C$10:$AL$10=34)*$C$9:$AL$9)</f>
        <v/>
      </c>
      <c r="AK11" s="23">
        <f>SUMPRODUCT(($C$10:$AL$10=35)*$C$9:$AL$9)</f>
        <v/>
      </c>
      <c r="AL11" s="23">
        <f>SUMPRODUCT(($C$10:$AL$10=36)*$C$9:$AL$9)</f>
        <v/>
      </c>
    </row>
    <row r="12">
      <c r="A12" s="9" t="inlineStr">
        <is>
          <t>AR balance (earned not yet collected)</t>
        </is>
      </c>
      <c r="C12" s="22">
        <f>SUM($C$9:C9)-SUM($C$11:C11)</f>
        <v/>
      </c>
      <c r="D12" s="22">
        <f>SUM($C$9:D9)-SUM($C$11:D11)</f>
        <v/>
      </c>
      <c r="E12" s="22">
        <f>SUM($C$9:E9)-SUM($C$11:E11)</f>
        <v/>
      </c>
      <c r="F12" s="22">
        <f>SUM($C$9:F9)-SUM($C$11:F11)</f>
        <v/>
      </c>
      <c r="G12" s="22">
        <f>SUM($C$9:G9)-SUM($C$11:G11)</f>
        <v/>
      </c>
      <c r="H12" s="22">
        <f>SUM($C$9:H9)-SUM($C$11:H11)</f>
        <v/>
      </c>
      <c r="I12" s="22">
        <f>SUM($C$9:I9)-SUM($C$11:I11)</f>
        <v/>
      </c>
      <c r="J12" s="22">
        <f>SUM($C$9:J9)-SUM($C$11:J11)</f>
        <v/>
      </c>
      <c r="K12" s="22">
        <f>SUM($C$9:K9)-SUM($C$11:K11)</f>
        <v/>
      </c>
      <c r="L12" s="22">
        <f>SUM($C$9:L9)-SUM($C$11:L11)</f>
        <v/>
      </c>
      <c r="M12" s="22">
        <f>SUM($C$9:M9)-SUM($C$11:M11)</f>
        <v/>
      </c>
      <c r="N12" s="22">
        <f>SUM($C$9:N9)-SUM($C$11:N11)</f>
        <v/>
      </c>
      <c r="O12" s="22">
        <f>SUM($C$9:O9)-SUM($C$11:O11)</f>
        <v/>
      </c>
      <c r="P12" s="22">
        <f>SUM($C$9:P9)-SUM($C$11:P11)</f>
        <v/>
      </c>
      <c r="Q12" s="22">
        <f>SUM($C$9:Q9)-SUM($C$11:Q11)</f>
        <v/>
      </c>
      <c r="R12" s="22">
        <f>SUM($C$9:R9)-SUM($C$11:R11)</f>
        <v/>
      </c>
      <c r="S12" s="22">
        <f>SUM($C$9:S9)-SUM($C$11:S11)</f>
        <v/>
      </c>
      <c r="T12" s="22">
        <f>SUM($C$9:T9)-SUM($C$11:T11)</f>
        <v/>
      </c>
      <c r="U12" s="22">
        <f>SUM($C$9:U9)-SUM($C$11:U11)</f>
        <v/>
      </c>
      <c r="V12" s="22">
        <f>SUM($C$9:V9)-SUM($C$11:V11)</f>
        <v/>
      </c>
      <c r="W12" s="22">
        <f>SUM($C$9:W9)-SUM($C$11:W11)</f>
        <v/>
      </c>
      <c r="X12" s="22">
        <f>SUM($C$9:X9)-SUM($C$11:X11)</f>
        <v/>
      </c>
      <c r="Y12" s="22">
        <f>SUM($C$9:Y9)-SUM($C$11:Y11)</f>
        <v/>
      </c>
      <c r="Z12" s="22">
        <f>SUM($C$9:Z9)-SUM($C$11:Z11)</f>
        <v/>
      </c>
      <c r="AA12" s="22">
        <f>SUM($C$9:AA9)-SUM($C$11:AA11)</f>
        <v/>
      </c>
      <c r="AB12" s="22">
        <f>SUM($C$9:AB9)-SUM($C$11:AB11)</f>
        <v/>
      </c>
      <c r="AC12" s="22">
        <f>SUM($C$9:AC9)-SUM($C$11:AC11)</f>
        <v/>
      </c>
      <c r="AD12" s="22">
        <f>SUM($C$9:AD9)-SUM($C$11:AD11)</f>
        <v/>
      </c>
      <c r="AE12" s="22">
        <f>SUM($C$9:AE9)-SUM($C$11:AE11)</f>
        <v/>
      </c>
      <c r="AF12" s="22">
        <f>SUM($C$9:AF9)-SUM($C$11:AF11)</f>
        <v/>
      </c>
      <c r="AG12" s="22">
        <f>SUM($C$9:AG9)-SUM($C$11:AG11)</f>
        <v/>
      </c>
      <c r="AH12" s="22">
        <f>SUM($C$9:AH9)-SUM($C$11:AH11)</f>
        <v/>
      </c>
      <c r="AI12" s="22">
        <f>SUM($C$9:AI9)-SUM($C$11:AI11)</f>
        <v/>
      </c>
      <c r="AJ12" s="22">
        <f>SUM($C$9:AJ9)-SUM($C$11:AJ11)</f>
        <v/>
      </c>
      <c r="AK12" s="22">
        <f>SUM($C$9:AK9)-SUM($C$11:AK11)</f>
        <v/>
      </c>
      <c r="AL12" s="22">
        <f>SUM($C$9:AL9)-SUM($C$11:AL11)</f>
        <v/>
      </c>
    </row>
    <row r="14">
      <c r="A14" s="3" t="inlineStr">
        <is>
          <t>WEEKLY RECEIPTS (13 weeks; month receipts spread across its weeks)</t>
        </is>
      </c>
    </row>
    <row r="15">
      <c r="C15" s="14" t="inlineStr">
        <is>
          <t>W1</t>
        </is>
      </c>
      <c r="D15" s="14" t="inlineStr">
        <is>
          <t>W2</t>
        </is>
      </c>
      <c r="E15" s="14" t="inlineStr">
        <is>
          <t>W3</t>
        </is>
      </c>
      <c r="F15" s="14" t="inlineStr">
        <is>
          <t>W4</t>
        </is>
      </c>
      <c r="G15" s="14" t="inlineStr">
        <is>
          <t>W5</t>
        </is>
      </c>
      <c r="H15" s="14" t="inlineStr">
        <is>
          <t>W6</t>
        </is>
      </c>
      <c r="I15" s="14" t="inlineStr">
        <is>
          <t>W7</t>
        </is>
      </c>
      <c r="J15" s="14" t="inlineStr">
        <is>
          <t>W8</t>
        </is>
      </c>
      <c r="K15" s="14" t="inlineStr">
        <is>
          <t>W9</t>
        </is>
      </c>
      <c r="L15" s="14" t="inlineStr">
        <is>
          <t>W10</t>
        </is>
      </c>
      <c r="M15" s="14" t="inlineStr">
        <is>
          <t>W11</t>
        </is>
      </c>
      <c r="N15" s="14" t="inlineStr">
        <is>
          <t>W12</t>
        </is>
      </c>
      <c r="O15" s="14" t="inlineStr">
        <is>
          <t>W13</t>
        </is>
      </c>
    </row>
    <row r="16">
      <c r="A16" s="4" t="inlineStr">
        <is>
          <t>Cash received (week)</t>
        </is>
      </c>
      <c r="C16" s="22">
        <f>C11/4</f>
        <v/>
      </c>
      <c r="D16" s="22">
        <f>C11/4</f>
        <v/>
      </c>
      <c r="E16" s="22">
        <f>C11/4</f>
        <v/>
      </c>
      <c r="F16" s="22">
        <f>C11/4</f>
        <v/>
      </c>
      <c r="G16" s="22">
        <f>D11/5</f>
        <v/>
      </c>
      <c r="H16" s="22">
        <f>D11/5</f>
        <v/>
      </c>
      <c r="I16" s="22">
        <f>D11/5</f>
        <v/>
      </c>
      <c r="J16" s="22">
        <f>D11/5</f>
        <v/>
      </c>
      <c r="K16" s="22">
        <f>D11/5</f>
        <v/>
      </c>
      <c r="L16" s="22">
        <f>E11/4</f>
        <v/>
      </c>
      <c r="M16" s="22">
        <f>E11/4</f>
        <v/>
      </c>
      <c r="N16" s="22">
        <f>E11/4</f>
        <v/>
      </c>
      <c r="O16" s="22">
        <f>E11/4</f>
        <v/>
      </c>
    </row>
  </sheetData>
  <mergeCells count="3">
    <mergeCell ref="A14:N14"/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AR3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  <col width="10.5" customWidth="1" min="39" max="39"/>
    <col width="10.5" customWidth="1" min="40" max="40"/>
    <col width="10.5" customWidth="1" min="41" max="41"/>
    <col width="10.5" customWidth="1" min="42" max="42"/>
    <col width="10.5" customWidth="1" min="43" max="43"/>
    <col width="10.5" customWidth="1" min="44" max="44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Per-employee register (blue inputs) -&gt; monthly cost matrix -&gt; summary rows. Semi-monthly cash timing on Weekly Cash tab.</t>
        </is>
      </c>
    </row>
    <row r="4">
      <c r="A4" s="3" t="inlineStr">
        <is>
          <t>REGISTER  (I..AT = monthly gross cost incl. scenario adj, deferral, escalation)</t>
        </is>
      </c>
    </row>
    <row r="5">
      <c r="A5" s="12" t="inlineStr">
        <is>
          <t>Employee / role</t>
        </is>
      </c>
      <c r="B5" s="12" t="inlineStr">
        <is>
          <t>Salary</t>
        </is>
      </c>
      <c r="C5" s="12" t="inlineStr">
        <is>
          <t>Hire mo</t>
        </is>
      </c>
      <c r="D5" s="12" t="inlineStr">
        <is>
          <t>Direct?</t>
        </is>
      </c>
      <c r="E5" s="12" t="inlineStr">
        <is>
          <t>Hlth wait</t>
        </is>
      </c>
      <c r="F5" s="12" t="inlineStr">
        <is>
          <t>Defer %</t>
        </is>
      </c>
      <c r="G5" s="12" t="inlineStr">
        <is>
          <t>Defer end</t>
        </is>
      </c>
      <c r="H5" s="12" t="inlineStr"/>
      <c r="I5" s="14" t="inlineStr">
        <is>
          <t>M1</t>
        </is>
      </c>
      <c r="J5" s="14" t="inlineStr">
        <is>
          <t>M2</t>
        </is>
      </c>
      <c r="K5" s="14" t="inlineStr">
        <is>
          <t>M3</t>
        </is>
      </c>
      <c r="L5" s="14" t="inlineStr">
        <is>
          <t>M4</t>
        </is>
      </c>
      <c r="M5" s="14" t="inlineStr">
        <is>
          <t>M5</t>
        </is>
      </c>
      <c r="N5" s="14" t="inlineStr">
        <is>
          <t>M6</t>
        </is>
      </c>
      <c r="O5" s="14" t="inlineStr">
        <is>
          <t>M7</t>
        </is>
      </c>
      <c r="P5" s="14" t="inlineStr">
        <is>
          <t>M8</t>
        </is>
      </c>
      <c r="Q5" s="14" t="inlineStr">
        <is>
          <t>M9</t>
        </is>
      </c>
      <c r="R5" s="14" t="inlineStr">
        <is>
          <t>M10</t>
        </is>
      </c>
      <c r="S5" s="14" t="inlineStr">
        <is>
          <t>M11</t>
        </is>
      </c>
      <c r="T5" s="14" t="inlineStr">
        <is>
          <t>M12</t>
        </is>
      </c>
      <c r="U5" s="14" t="inlineStr">
        <is>
          <t>M13</t>
        </is>
      </c>
      <c r="V5" s="14" t="inlineStr">
        <is>
          <t>M14</t>
        </is>
      </c>
      <c r="W5" s="14" t="inlineStr">
        <is>
          <t>M15</t>
        </is>
      </c>
      <c r="X5" s="14" t="inlineStr">
        <is>
          <t>M16</t>
        </is>
      </c>
      <c r="Y5" s="14" t="inlineStr">
        <is>
          <t>M17</t>
        </is>
      </c>
      <c r="Z5" s="14" t="inlineStr">
        <is>
          <t>M18</t>
        </is>
      </c>
      <c r="AA5" s="14" t="inlineStr">
        <is>
          <t>M19</t>
        </is>
      </c>
      <c r="AB5" s="14" t="inlineStr">
        <is>
          <t>M20</t>
        </is>
      </c>
      <c r="AC5" s="14" t="inlineStr">
        <is>
          <t>M21</t>
        </is>
      </c>
      <c r="AD5" s="14" t="inlineStr">
        <is>
          <t>M22</t>
        </is>
      </c>
      <c r="AE5" s="14" t="inlineStr">
        <is>
          <t>M23</t>
        </is>
      </c>
      <c r="AF5" s="14" t="inlineStr">
        <is>
          <t>M24</t>
        </is>
      </c>
      <c r="AG5" s="14" t="inlineStr">
        <is>
          <t>M25</t>
        </is>
      </c>
      <c r="AH5" s="14" t="inlineStr">
        <is>
          <t>M26</t>
        </is>
      </c>
      <c r="AI5" s="14" t="inlineStr">
        <is>
          <t>M27</t>
        </is>
      </c>
      <c r="AJ5" s="14" t="inlineStr">
        <is>
          <t>M28</t>
        </is>
      </c>
      <c r="AK5" s="14" t="inlineStr">
        <is>
          <t>M29</t>
        </is>
      </c>
      <c r="AL5" s="14" t="inlineStr">
        <is>
          <t>M30</t>
        </is>
      </c>
      <c r="AM5" s="14" t="inlineStr">
        <is>
          <t>M31</t>
        </is>
      </c>
      <c r="AN5" s="14" t="inlineStr">
        <is>
          <t>M32</t>
        </is>
      </c>
      <c r="AO5" s="14" t="inlineStr">
        <is>
          <t>M33</t>
        </is>
      </c>
      <c r="AP5" s="14" t="inlineStr">
        <is>
          <t>M34</t>
        </is>
      </c>
      <c r="AQ5" s="14" t="inlineStr">
        <is>
          <t>M35</t>
        </is>
      </c>
      <c r="AR5" s="14" t="inlineStr">
        <is>
          <t>M36</t>
        </is>
      </c>
    </row>
    <row r="6">
      <c r="A6" s="4" t="inlineStr">
        <is>
          <t>Brad Woodard - Administrator / Director</t>
        </is>
      </c>
      <c r="B6" s="11" t="n">
        <v>120000</v>
      </c>
      <c r="C6" s="8" t="n">
        <v>1</v>
      </c>
      <c r="D6" s="25" t="inlineStr">
        <is>
          <t>I</t>
        </is>
      </c>
      <c r="E6" s="8" t="n">
        <v>3</v>
      </c>
      <c r="F6" s="26">
        <f>IF(1,'Assumptions'!$B$28,0)</f>
        <v/>
      </c>
      <c r="G6" s="24">
        <f>'Assumptions'!$B$29</f>
        <v/>
      </c>
      <c r="I6" s="22">
        <f>IF(1&gt;=$C6,$B6/12*(1+'Assumptions'!$B$26)*(1+'Assumptions'!$B$27)^0*(1-IF(1&lt;=$G6,$F6,0)),0)</f>
        <v/>
      </c>
      <c r="J6" s="22">
        <f>IF(2&gt;=$C6,$B6/12*(1+'Assumptions'!$B$26)*(1+'Assumptions'!$B$27)^0*(1-IF(2&lt;=$G6,$F6,0)),0)</f>
        <v/>
      </c>
      <c r="K6" s="22">
        <f>IF(3&gt;=$C6,$B6/12*(1+'Assumptions'!$B$26)*(1+'Assumptions'!$B$27)^0*(1-IF(3&lt;=$G6,$F6,0)),0)</f>
        <v/>
      </c>
      <c r="L6" s="22">
        <f>IF(4&gt;=$C6,$B6/12*(1+'Assumptions'!$B$26)*(1+'Assumptions'!$B$27)^0*(1-IF(4&lt;=$G6,$F6,0)),0)</f>
        <v/>
      </c>
      <c r="M6" s="22">
        <f>IF(5&gt;=$C6,$B6/12*(1+'Assumptions'!$B$26)*(1+'Assumptions'!$B$27)^0*(1-IF(5&lt;=$G6,$F6,0)),0)</f>
        <v/>
      </c>
      <c r="N6" s="22">
        <f>IF(6&gt;=$C6,$B6/12*(1+'Assumptions'!$B$26)*(1+'Assumptions'!$B$27)^0*(1-IF(6&lt;=$G6,$F6,0)),0)</f>
        <v/>
      </c>
      <c r="O6" s="22">
        <f>IF(7&gt;=$C6,$B6/12*(1+'Assumptions'!$B$26)*(1+'Assumptions'!$B$27)^0*(1-IF(7&lt;=$G6,$F6,0)),0)</f>
        <v/>
      </c>
      <c r="P6" s="22">
        <f>IF(8&gt;=$C6,$B6/12*(1+'Assumptions'!$B$26)*(1+'Assumptions'!$B$27)^0*(1-IF(8&lt;=$G6,$F6,0)),0)</f>
        <v/>
      </c>
      <c r="Q6" s="22">
        <f>IF(9&gt;=$C6,$B6/12*(1+'Assumptions'!$B$26)*(1+'Assumptions'!$B$27)^0*(1-IF(9&lt;=$G6,$F6,0)),0)</f>
        <v/>
      </c>
      <c r="R6" s="22">
        <f>IF(10&gt;=$C6,$B6/12*(1+'Assumptions'!$B$26)*(1+'Assumptions'!$B$27)^0*(1-IF(10&lt;=$G6,$F6,0)),0)</f>
        <v/>
      </c>
      <c r="S6" s="22">
        <f>IF(11&gt;=$C6,$B6/12*(1+'Assumptions'!$B$26)*(1+'Assumptions'!$B$27)^0*(1-IF(11&lt;=$G6,$F6,0)),0)</f>
        <v/>
      </c>
      <c r="T6" s="22">
        <f>IF(12&gt;=$C6,$B6/12*(1+'Assumptions'!$B$26)*(1+'Assumptions'!$B$27)^0*(1-IF(12&lt;=$G6,$F6,0)),0)</f>
        <v/>
      </c>
      <c r="U6" s="22">
        <f>IF(13&gt;=$C6,$B6/12*(1+'Assumptions'!$B$26)*(1+'Assumptions'!$B$27)^1*(1-IF(13&lt;=$G6,$F6,0)),0)</f>
        <v/>
      </c>
      <c r="V6" s="22">
        <f>IF(14&gt;=$C6,$B6/12*(1+'Assumptions'!$B$26)*(1+'Assumptions'!$B$27)^1*(1-IF(14&lt;=$G6,$F6,0)),0)</f>
        <v/>
      </c>
      <c r="W6" s="22">
        <f>IF(15&gt;=$C6,$B6/12*(1+'Assumptions'!$B$26)*(1+'Assumptions'!$B$27)^1*(1-IF(15&lt;=$G6,$F6,0)),0)</f>
        <v/>
      </c>
      <c r="X6" s="22">
        <f>IF(16&gt;=$C6,$B6/12*(1+'Assumptions'!$B$26)*(1+'Assumptions'!$B$27)^1*(1-IF(16&lt;=$G6,$F6,0)),0)</f>
        <v/>
      </c>
      <c r="Y6" s="22">
        <f>IF(17&gt;=$C6,$B6/12*(1+'Assumptions'!$B$26)*(1+'Assumptions'!$B$27)^1*(1-IF(17&lt;=$G6,$F6,0)),0)</f>
        <v/>
      </c>
      <c r="Z6" s="22">
        <f>IF(18&gt;=$C6,$B6/12*(1+'Assumptions'!$B$26)*(1+'Assumptions'!$B$27)^1*(1-IF(18&lt;=$G6,$F6,0)),0)</f>
        <v/>
      </c>
      <c r="AA6" s="22">
        <f>IF(19&gt;=$C6,$B6/12*(1+'Assumptions'!$B$26)*(1+'Assumptions'!$B$27)^1*(1-IF(19&lt;=$G6,$F6,0)),0)</f>
        <v/>
      </c>
      <c r="AB6" s="22">
        <f>IF(20&gt;=$C6,$B6/12*(1+'Assumptions'!$B$26)*(1+'Assumptions'!$B$27)^1*(1-IF(20&lt;=$G6,$F6,0)),0)</f>
        <v/>
      </c>
      <c r="AC6" s="22">
        <f>IF(21&gt;=$C6,$B6/12*(1+'Assumptions'!$B$26)*(1+'Assumptions'!$B$27)^1*(1-IF(21&lt;=$G6,$F6,0)),0)</f>
        <v/>
      </c>
      <c r="AD6" s="22">
        <f>IF(22&gt;=$C6,$B6/12*(1+'Assumptions'!$B$26)*(1+'Assumptions'!$B$27)^1*(1-IF(22&lt;=$G6,$F6,0)),0)</f>
        <v/>
      </c>
      <c r="AE6" s="22">
        <f>IF(23&gt;=$C6,$B6/12*(1+'Assumptions'!$B$26)*(1+'Assumptions'!$B$27)^1*(1-IF(23&lt;=$G6,$F6,0)),0)</f>
        <v/>
      </c>
      <c r="AF6" s="22">
        <f>IF(24&gt;=$C6,$B6/12*(1+'Assumptions'!$B$26)*(1+'Assumptions'!$B$27)^1*(1-IF(24&lt;=$G6,$F6,0)),0)</f>
        <v/>
      </c>
      <c r="AG6" s="22">
        <f>IF(25&gt;=$C6,$B6/12*(1+'Assumptions'!$B$26)*(1+'Assumptions'!$B$27)^2*(1-IF(25&lt;=$G6,$F6,0)),0)</f>
        <v/>
      </c>
      <c r="AH6" s="22">
        <f>IF(26&gt;=$C6,$B6/12*(1+'Assumptions'!$B$26)*(1+'Assumptions'!$B$27)^2*(1-IF(26&lt;=$G6,$F6,0)),0)</f>
        <v/>
      </c>
      <c r="AI6" s="22">
        <f>IF(27&gt;=$C6,$B6/12*(1+'Assumptions'!$B$26)*(1+'Assumptions'!$B$27)^2*(1-IF(27&lt;=$G6,$F6,0)),0)</f>
        <v/>
      </c>
      <c r="AJ6" s="22">
        <f>IF(28&gt;=$C6,$B6/12*(1+'Assumptions'!$B$26)*(1+'Assumptions'!$B$27)^2*(1-IF(28&lt;=$G6,$F6,0)),0)</f>
        <v/>
      </c>
      <c r="AK6" s="22">
        <f>IF(29&gt;=$C6,$B6/12*(1+'Assumptions'!$B$26)*(1+'Assumptions'!$B$27)^2*(1-IF(29&lt;=$G6,$F6,0)),0)</f>
        <v/>
      </c>
      <c r="AL6" s="22">
        <f>IF(30&gt;=$C6,$B6/12*(1+'Assumptions'!$B$26)*(1+'Assumptions'!$B$27)^2*(1-IF(30&lt;=$G6,$F6,0)),0)</f>
        <v/>
      </c>
      <c r="AM6" s="22">
        <f>IF(31&gt;=$C6,$B6/12*(1+'Assumptions'!$B$26)*(1+'Assumptions'!$B$27)^2*(1-IF(31&lt;=$G6,$F6,0)),0)</f>
        <v/>
      </c>
      <c r="AN6" s="22">
        <f>IF(32&gt;=$C6,$B6/12*(1+'Assumptions'!$B$26)*(1+'Assumptions'!$B$27)^2*(1-IF(32&lt;=$G6,$F6,0)),0)</f>
        <v/>
      </c>
      <c r="AO6" s="22">
        <f>IF(33&gt;=$C6,$B6/12*(1+'Assumptions'!$B$26)*(1+'Assumptions'!$B$27)^2*(1-IF(33&lt;=$G6,$F6,0)),0)</f>
        <v/>
      </c>
      <c r="AP6" s="22">
        <f>IF(34&gt;=$C6,$B6/12*(1+'Assumptions'!$B$26)*(1+'Assumptions'!$B$27)^2*(1-IF(34&lt;=$G6,$F6,0)),0)</f>
        <v/>
      </c>
      <c r="AQ6" s="22">
        <f>IF(35&gt;=$C6,$B6/12*(1+'Assumptions'!$B$26)*(1+'Assumptions'!$B$27)^2*(1-IF(35&lt;=$G6,$F6,0)),0)</f>
        <v/>
      </c>
      <c r="AR6" s="22">
        <f>IF(36&gt;=$C6,$B6/12*(1+'Assumptions'!$B$26)*(1+'Assumptions'!$B$27)^2*(1-IF(36&lt;=$G6,$F6,0)),0)</f>
        <v/>
      </c>
    </row>
    <row r="7">
      <c r="A7" s="4" t="inlineStr">
        <is>
          <t>Angie Frost - RN Case Manager</t>
        </is>
      </c>
      <c r="B7" s="11" t="n">
        <v>77504</v>
      </c>
      <c r="C7" s="8" t="n">
        <v>1</v>
      </c>
      <c r="D7" s="25" t="inlineStr">
        <is>
          <t>D</t>
        </is>
      </c>
      <c r="E7" s="8" t="n">
        <v>3</v>
      </c>
      <c r="F7" s="26">
        <f>IF(0,'Assumptions'!$B$28,0)</f>
        <v/>
      </c>
      <c r="G7" s="24">
        <f>'Assumptions'!$B$29</f>
        <v/>
      </c>
      <c r="I7" s="22">
        <f>IF(1&gt;=$C7,$B7/12*(1+'Assumptions'!$B$26)*(1+'Assumptions'!$B$27)^0*(1-IF(1&lt;=$G7,$F7,0)),0)</f>
        <v/>
      </c>
      <c r="J7" s="22">
        <f>IF(2&gt;=$C7,$B7/12*(1+'Assumptions'!$B$26)*(1+'Assumptions'!$B$27)^0*(1-IF(2&lt;=$G7,$F7,0)),0)</f>
        <v/>
      </c>
      <c r="K7" s="22">
        <f>IF(3&gt;=$C7,$B7/12*(1+'Assumptions'!$B$26)*(1+'Assumptions'!$B$27)^0*(1-IF(3&lt;=$G7,$F7,0)),0)</f>
        <v/>
      </c>
      <c r="L7" s="22">
        <f>IF(4&gt;=$C7,$B7/12*(1+'Assumptions'!$B$26)*(1+'Assumptions'!$B$27)^0*(1-IF(4&lt;=$G7,$F7,0)),0)</f>
        <v/>
      </c>
      <c r="M7" s="22">
        <f>IF(5&gt;=$C7,$B7/12*(1+'Assumptions'!$B$26)*(1+'Assumptions'!$B$27)^0*(1-IF(5&lt;=$G7,$F7,0)),0)</f>
        <v/>
      </c>
      <c r="N7" s="22">
        <f>IF(6&gt;=$C7,$B7/12*(1+'Assumptions'!$B$26)*(1+'Assumptions'!$B$27)^0*(1-IF(6&lt;=$G7,$F7,0)),0)</f>
        <v/>
      </c>
      <c r="O7" s="22">
        <f>IF(7&gt;=$C7,$B7/12*(1+'Assumptions'!$B$26)*(1+'Assumptions'!$B$27)^0*(1-IF(7&lt;=$G7,$F7,0)),0)</f>
        <v/>
      </c>
      <c r="P7" s="22">
        <f>IF(8&gt;=$C7,$B7/12*(1+'Assumptions'!$B$26)*(1+'Assumptions'!$B$27)^0*(1-IF(8&lt;=$G7,$F7,0)),0)</f>
        <v/>
      </c>
      <c r="Q7" s="22">
        <f>IF(9&gt;=$C7,$B7/12*(1+'Assumptions'!$B$26)*(1+'Assumptions'!$B$27)^0*(1-IF(9&lt;=$G7,$F7,0)),0)</f>
        <v/>
      </c>
      <c r="R7" s="22">
        <f>IF(10&gt;=$C7,$B7/12*(1+'Assumptions'!$B$26)*(1+'Assumptions'!$B$27)^0*(1-IF(10&lt;=$G7,$F7,0)),0)</f>
        <v/>
      </c>
      <c r="S7" s="22">
        <f>IF(11&gt;=$C7,$B7/12*(1+'Assumptions'!$B$26)*(1+'Assumptions'!$B$27)^0*(1-IF(11&lt;=$G7,$F7,0)),0)</f>
        <v/>
      </c>
      <c r="T7" s="22">
        <f>IF(12&gt;=$C7,$B7/12*(1+'Assumptions'!$B$26)*(1+'Assumptions'!$B$27)^0*(1-IF(12&lt;=$G7,$F7,0)),0)</f>
        <v/>
      </c>
      <c r="U7" s="22">
        <f>IF(13&gt;=$C7,$B7/12*(1+'Assumptions'!$B$26)*(1+'Assumptions'!$B$27)^1*(1-IF(13&lt;=$G7,$F7,0)),0)</f>
        <v/>
      </c>
      <c r="V7" s="22">
        <f>IF(14&gt;=$C7,$B7/12*(1+'Assumptions'!$B$26)*(1+'Assumptions'!$B$27)^1*(1-IF(14&lt;=$G7,$F7,0)),0)</f>
        <v/>
      </c>
      <c r="W7" s="22">
        <f>IF(15&gt;=$C7,$B7/12*(1+'Assumptions'!$B$26)*(1+'Assumptions'!$B$27)^1*(1-IF(15&lt;=$G7,$F7,0)),0)</f>
        <v/>
      </c>
      <c r="X7" s="22">
        <f>IF(16&gt;=$C7,$B7/12*(1+'Assumptions'!$B$26)*(1+'Assumptions'!$B$27)^1*(1-IF(16&lt;=$G7,$F7,0)),0)</f>
        <v/>
      </c>
      <c r="Y7" s="22">
        <f>IF(17&gt;=$C7,$B7/12*(1+'Assumptions'!$B$26)*(1+'Assumptions'!$B$27)^1*(1-IF(17&lt;=$G7,$F7,0)),0)</f>
        <v/>
      </c>
      <c r="Z7" s="22">
        <f>IF(18&gt;=$C7,$B7/12*(1+'Assumptions'!$B$26)*(1+'Assumptions'!$B$27)^1*(1-IF(18&lt;=$G7,$F7,0)),0)</f>
        <v/>
      </c>
      <c r="AA7" s="22">
        <f>IF(19&gt;=$C7,$B7/12*(1+'Assumptions'!$B$26)*(1+'Assumptions'!$B$27)^1*(1-IF(19&lt;=$G7,$F7,0)),0)</f>
        <v/>
      </c>
      <c r="AB7" s="22">
        <f>IF(20&gt;=$C7,$B7/12*(1+'Assumptions'!$B$26)*(1+'Assumptions'!$B$27)^1*(1-IF(20&lt;=$G7,$F7,0)),0)</f>
        <v/>
      </c>
      <c r="AC7" s="22">
        <f>IF(21&gt;=$C7,$B7/12*(1+'Assumptions'!$B$26)*(1+'Assumptions'!$B$27)^1*(1-IF(21&lt;=$G7,$F7,0)),0)</f>
        <v/>
      </c>
      <c r="AD7" s="22">
        <f>IF(22&gt;=$C7,$B7/12*(1+'Assumptions'!$B$26)*(1+'Assumptions'!$B$27)^1*(1-IF(22&lt;=$G7,$F7,0)),0)</f>
        <v/>
      </c>
      <c r="AE7" s="22">
        <f>IF(23&gt;=$C7,$B7/12*(1+'Assumptions'!$B$26)*(1+'Assumptions'!$B$27)^1*(1-IF(23&lt;=$G7,$F7,0)),0)</f>
        <v/>
      </c>
      <c r="AF7" s="22">
        <f>IF(24&gt;=$C7,$B7/12*(1+'Assumptions'!$B$26)*(1+'Assumptions'!$B$27)^1*(1-IF(24&lt;=$G7,$F7,0)),0)</f>
        <v/>
      </c>
      <c r="AG7" s="22">
        <f>IF(25&gt;=$C7,$B7/12*(1+'Assumptions'!$B$26)*(1+'Assumptions'!$B$27)^2*(1-IF(25&lt;=$G7,$F7,0)),0)</f>
        <v/>
      </c>
      <c r="AH7" s="22">
        <f>IF(26&gt;=$C7,$B7/12*(1+'Assumptions'!$B$26)*(1+'Assumptions'!$B$27)^2*(1-IF(26&lt;=$G7,$F7,0)),0)</f>
        <v/>
      </c>
      <c r="AI7" s="22">
        <f>IF(27&gt;=$C7,$B7/12*(1+'Assumptions'!$B$26)*(1+'Assumptions'!$B$27)^2*(1-IF(27&lt;=$G7,$F7,0)),0)</f>
        <v/>
      </c>
      <c r="AJ7" s="22">
        <f>IF(28&gt;=$C7,$B7/12*(1+'Assumptions'!$B$26)*(1+'Assumptions'!$B$27)^2*(1-IF(28&lt;=$G7,$F7,0)),0)</f>
        <v/>
      </c>
      <c r="AK7" s="22">
        <f>IF(29&gt;=$C7,$B7/12*(1+'Assumptions'!$B$26)*(1+'Assumptions'!$B$27)^2*(1-IF(29&lt;=$G7,$F7,0)),0)</f>
        <v/>
      </c>
      <c r="AL7" s="22">
        <f>IF(30&gt;=$C7,$B7/12*(1+'Assumptions'!$B$26)*(1+'Assumptions'!$B$27)^2*(1-IF(30&lt;=$G7,$F7,0)),0)</f>
        <v/>
      </c>
      <c r="AM7" s="22">
        <f>IF(31&gt;=$C7,$B7/12*(1+'Assumptions'!$B$26)*(1+'Assumptions'!$B$27)^2*(1-IF(31&lt;=$G7,$F7,0)),0)</f>
        <v/>
      </c>
      <c r="AN7" s="22">
        <f>IF(32&gt;=$C7,$B7/12*(1+'Assumptions'!$B$26)*(1+'Assumptions'!$B$27)^2*(1-IF(32&lt;=$G7,$F7,0)),0)</f>
        <v/>
      </c>
      <c r="AO7" s="22">
        <f>IF(33&gt;=$C7,$B7/12*(1+'Assumptions'!$B$26)*(1+'Assumptions'!$B$27)^2*(1-IF(33&lt;=$G7,$F7,0)),0)</f>
        <v/>
      </c>
      <c r="AP7" s="22">
        <f>IF(34&gt;=$C7,$B7/12*(1+'Assumptions'!$B$26)*(1+'Assumptions'!$B$27)^2*(1-IF(34&lt;=$G7,$F7,0)),0)</f>
        <v/>
      </c>
      <c r="AQ7" s="22">
        <f>IF(35&gt;=$C7,$B7/12*(1+'Assumptions'!$B$26)*(1+'Assumptions'!$B$27)^2*(1-IF(35&lt;=$G7,$F7,0)),0)</f>
        <v/>
      </c>
      <c r="AR7" s="22">
        <f>IF(36&gt;=$C7,$B7/12*(1+'Assumptions'!$B$26)*(1+'Assumptions'!$B$27)^2*(1-IF(36&lt;=$G7,$F7,0)),0)</f>
        <v/>
      </c>
    </row>
    <row r="8">
      <c r="A8" s="4" t="inlineStr">
        <is>
          <t>Tanisha Robison - CNA / Hospice Aide</t>
        </is>
      </c>
      <c r="B8" s="11" t="n">
        <v>46511</v>
      </c>
      <c r="C8" s="8" t="n">
        <v>1</v>
      </c>
      <c r="D8" s="25" t="inlineStr">
        <is>
          <t>D</t>
        </is>
      </c>
      <c r="E8" s="8" t="n">
        <v>3</v>
      </c>
      <c r="F8" s="26">
        <f>IF(0,'Assumptions'!$B$28,0)</f>
        <v/>
      </c>
      <c r="G8" s="24">
        <f>'Assumptions'!$B$29</f>
        <v/>
      </c>
      <c r="I8" s="22">
        <f>IF(1&gt;=$C8,$B8/12*(1+'Assumptions'!$B$26)*(1+'Assumptions'!$B$27)^0*(1-IF(1&lt;=$G8,$F8,0)),0)</f>
        <v/>
      </c>
      <c r="J8" s="22">
        <f>IF(2&gt;=$C8,$B8/12*(1+'Assumptions'!$B$26)*(1+'Assumptions'!$B$27)^0*(1-IF(2&lt;=$G8,$F8,0)),0)</f>
        <v/>
      </c>
      <c r="K8" s="22">
        <f>IF(3&gt;=$C8,$B8/12*(1+'Assumptions'!$B$26)*(1+'Assumptions'!$B$27)^0*(1-IF(3&lt;=$G8,$F8,0)),0)</f>
        <v/>
      </c>
      <c r="L8" s="22">
        <f>IF(4&gt;=$C8,$B8/12*(1+'Assumptions'!$B$26)*(1+'Assumptions'!$B$27)^0*(1-IF(4&lt;=$G8,$F8,0)),0)</f>
        <v/>
      </c>
      <c r="M8" s="22">
        <f>IF(5&gt;=$C8,$B8/12*(1+'Assumptions'!$B$26)*(1+'Assumptions'!$B$27)^0*(1-IF(5&lt;=$G8,$F8,0)),0)</f>
        <v/>
      </c>
      <c r="N8" s="22">
        <f>IF(6&gt;=$C8,$B8/12*(1+'Assumptions'!$B$26)*(1+'Assumptions'!$B$27)^0*(1-IF(6&lt;=$G8,$F8,0)),0)</f>
        <v/>
      </c>
      <c r="O8" s="22">
        <f>IF(7&gt;=$C8,$B8/12*(1+'Assumptions'!$B$26)*(1+'Assumptions'!$B$27)^0*(1-IF(7&lt;=$G8,$F8,0)),0)</f>
        <v/>
      </c>
      <c r="P8" s="22">
        <f>IF(8&gt;=$C8,$B8/12*(1+'Assumptions'!$B$26)*(1+'Assumptions'!$B$27)^0*(1-IF(8&lt;=$G8,$F8,0)),0)</f>
        <v/>
      </c>
      <c r="Q8" s="22">
        <f>IF(9&gt;=$C8,$B8/12*(1+'Assumptions'!$B$26)*(1+'Assumptions'!$B$27)^0*(1-IF(9&lt;=$G8,$F8,0)),0)</f>
        <v/>
      </c>
      <c r="R8" s="22">
        <f>IF(10&gt;=$C8,$B8/12*(1+'Assumptions'!$B$26)*(1+'Assumptions'!$B$27)^0*(1-IF(10&lt;=$G8,$F8,0)),0)</f>
        <v/>
      </c>
      <c r="S8" s="22">
        <f>IF(11&gt;=$C8,$B8/12*(1+'Assumptions'!$B$26)*(1+'Assumptions'!$B$27)^0*(1-IF(11&lt;=$G8,$F8,0)),0)</f>
        <v/>
      </c>
      <c r="T8" s="22">
        <f>IF(12&gt;=$C8,$B8/12*(1+'Assumptions'!$B$26)*(1+'Assumptions'!$B$27)^0*(1-IF(12&lt;=$G8,$F8,0)),0)</f>
        <v/>
      </c>
      <c r="U8" s="22">
        <f>IF(13&gt;=$C8,$B8/12*(1+'Assumptions'!$B$26)*(1+'Assumptions'!$B$27)^1*(1-IF(13&lt;=$G8,$F8,0)),0)</f>
        <v/>
      </c>
      <c r="V8" s="22">
        <f>IF(14&gt;=$C8,$B8/12*(1+'Assumptions'!$B$26)*(1+'Assumptions'!$B$27)^1*(1-IF(14&lt;=$G8,$F8,0)),0)</f>
        <v/>
      </c>
      <c r="W8" s="22">
        <f>IF(15&gt;=$C8,$B8/12*(1+'Assumptions'!$B$26)*(1+'Assumptions'!$B$27)^1*(1-IF(15&lt;=$G8,$F8,0)),0)</f>
        <v/>
      </c>
      <c r="X8" s="22">
        <f>IF(16&gt;=$C8,$B8/12*(1+'Assumptions'!$B$26)*(1+'Assumptions'!$B$27)^1*(1-IF(16&lt;=$G8,$F8,0)),0)</f>
        <v/>
      </c>
      <c r="Y8" s="22">
        <f>IF(17&gt;=$C8,$B8/12*(1+'Assumptions'!$B$26)*(1+'Assumptions'!$B$27)^1*(1-IF(17&lt;=$G8,$F8,0)),0)</f>
        <v/>
      </c>
      <c r="Z8" s="22">
        <f>IF(18&gt;=$C8,$B8/12*(1+'Assumptions'!$B$26)*(1+'Assumptions'!$B$27)^1*(1-IF(18&lt;=$G8,$F8,0)),0)</f>
        <v/>
      </c>
      <c r="AA8" s="22">
        <f>IF(19&gt;=$C8,$B8/12*(1+'Assumptions'!$B$26)*(1+'Assumptions'!$B$27)^1*(1-IF(19&lt;=$G8,$F8,0)),0)</f>
        <v/>
      </c>
      <c r="AB8" s="22">
        <f>IF(20&gt;=$C8,$B8/12*(1+'Assumptions'!$B$26)*(1+'Assumptions'!$B$27)^1*(1-IF(20&lt;=$G8,$F8,0)),0)</f>
        <v/>
      </c>
      <c r="AC8" s="22">
        <f>IF(21&gt;=$C8,$B8/12*(1+'Assumptions'!$B$26)*(1+'Assumptions'!$B$27)^1*(1-IF(21&lt;=$G8,$F8,0)),0)</f>
        <v/>
      </c>
      <c r="AD8" s="22">
        <f>IF(22&gt;=$C8,$B8/12*(1+'Assumptions'!$B$26)*(1+'Assumptions'!$B$27)^1*(1-IF(22&lt;=$G8,$F8,0)),0)</f>
        <v/>
      </c>
      <c r="AE8" s="22">
        <f>IF(23&gt;=$C8,$B8/12*(1+'Assumptions'!$B$26)*(1+'Assumptions'!$B$27)^1*(1-IF(23&lt;=$G8,$F8,0)),0)</f>
        <v/>
      </c>
      <c r="AF8" s="22">
        <f>IF(24&gt;=$C8,$B8/12*(1+'Assumptions'!$B$26)*(1+'Assumptions'!$B$27)^1*(1-IF(24&lt;=$G8,$F8,0)),0)</f>
        <v/>
      </c>
      <c r="AG8" s="22">
        <f>IF(25&gt;=$C8,$B8/12*(1+'Assumptions'!$B$26)*(1+'Assumptions'!$B$27)^2*(1-IF(25&lt;=$G8,$F8,0)),0)</f>
        <v/>
      </c>
      <c r="AH8" s="22">
        <f>IF(26&gt;=$C8,$B8/12*(1+'Assumptions'!$B$26)*(1+'Assumptions'!$B$27)^2*(1-IF(26&lt;=$G8,$F8,0)),0)</f>
        <v/>
      </c>
      <c r="AI8" s="22">
        <f>IF(27&gt;=$C8,$B8/12*(1+'Assumptions'!$B$26)*(1+'Assumptions'!$B$27)^2*(1-IF(27&lt;=$G8,$F8,0)),0)</f>
        <v/>
      </c>
      <c r="AJ8" s="22">
        <f>IF(28&gt;=$C8,$B8/12*(1+'Assumptions'!$B$26)*(1+'Assumptions'!$B$27)^2*(1-IF(28&lt;=$G8,$F8,0)),0)</f>
        <v/>
      </c>
      <c r="AK8" s="22">
        <f>IF(29&gt;=$C8,$B8/12*(1+'Assumptions'!$B$26)*(1+'Assumptions'!$B$27)^2*(1-IF(29&lt;=$G8,$F8,0)),0)</f>
        <v/>
      </c>
      <c r="AL8" s="22">
        <f>IF(30&gt;=$C8,$B8/12*(1+'Assumptions'!$B$26)*(1+'Assumptions'!$B$27)^2*(1-IF(30&lt;=$G8,$F8,0)),0)</f>
        <v/>
      </c>
      <c r="AM8" s="22">
        <f>IF(31&gt;=$C8,$B8/12*(1+'Assumptions'!$B$26)*(1+'Assumptions'!$B$27)^2*(1-IF(31&lt;=$G8,$F8,0)),0)</f>
        <v/>
      </c>
      <c r="AN8" s="22">
        <f>IF(32&gt;=$C8,$B8/12*(1+'Assumptions'!$B$26)*(1+'Assumptions'!$B$27)^2*(1-IF(32&lt;=$G8,$F8,0)),0)</f>
        <v/>
      </c>
      <c r="AO8" s="22">
        <f>IF(33&gt;=$C8,$B8/12*(1+'Assumptions'!$B$26)*(1+'Assumptions'!$B$27)^2*(1-IF(33&lt;=$G8,$F8,0)),0)</f>
        <v/>
      </c>
      <c r="AP8" s="22">
        <f>IF(34&gt;=$C8,$B8/12*(1+'Assumptions'!$B$26)*(1+'Assumptions'!$B$27)^2*(1-IF(34&lt;=$G8,$F8,0)),0)</f>
        <v/>
      </c>
      <c r="AQ8" s="22">
        <f>IF(35&gt;=$C8,$B8/12*(1+'Assumptions'!$B$26)*(1+'Assumptions'!$B$27)^2*(1-IF(35&lt;=$G8,$F8,0)),0)</f>
        <v/>
      </c>
      <c r="AR8" s="22">
        <f>IF(36&gt;=$C8,$B8/12*(1+'Assumptions'!$B$26)*(1+'Assumptions'!$B$27)^2*(1-IF(36&lt;=$G8,$F8,0)),0)</f>
        <v/>
      </c>
    </row>
    <row r="9">
      <c r="A9" s="4" t="inlineStr">
        <is>
          <t>Dana Davenport - Director of Clinical Services</t>
        </is>
      </c>
      <c r="B9" s="11" t="n">
        <v>110000</v>
      </c>
      <c r="C9" s="8" t="n">
        <v>2</v>
      </c>
      <c r="D9" s="25" t="inlineStr">
        <is>
          <t>I</t>
        </is>
      </c>
      <c r="E9" s="8" t="n">
        <v>3</v>
      </c>
      <c r="F9" s="26">
        <f>IF(1,'Assumptions'!$B$28,0)</f>
        <v/>
      </c>
      <c r="G9" s="24">
        <f>'Assumptions'!$B$29</f>
        <v/>
      </c>
      <c r="I9" s="22">
        <f>IF(1&gt;=$C9,$B9/12*(1+'Assumptions'!$B$26)*(1+'Assumptions'!$B$27)^0*(1-IF(1&lt;=$G9,$F9,0)),0)</f>
        <v/>
      </c>
      <c r="J9" s="22">
        <f>IF(2&gt;=$C9,$B9/12*(1+'Assumptions'!$B$26)*(1+'Assumptions'!$B$27)^0*(1-IF(2&lt;=$G9,$F9,0)),0)</f>
        <v/>
      </c>
      <c r="K9" s="22">
        <f>IF(3&gt;=$C9,$B9/12*(1+'Assumptions'!$B$26)*(1+'Assumptions'!$B$27)^0*(1-IF(3&lt;=$G9,$F9,0)),0)</f>
        <v/>
      </c>
      <c r="L9" s="22">
        <f>IF(4&gt;=$C9,$B9/12*(1+'Assumptions'!$B$26)*(1+'Assumptions'!$B$27)^0*(1-IF(4&lt;=$G9,$F9,0)),0)</f>
        <v/>
      </c>
      <c r="M9" s="22">
        <f>IF(5&gt;=$C9,$B9/12*(1+'Assumptions'!$B$26)*(1+'Assumptions'!$B$27)^0*(1-IF(5&lt;=$G9,$F9,0)),0)</f>
        <v/>
      </c>
      <c r="N9" s="22">
        <f>IF(6&gt;=$C9,$B9/12*(1+'Assumptions'!$B$26)*(1+'Assumptions'!$B$27)^0*(1-IF(6&lt;=$G9,$F9,0)),0)</f>
        <v/>
      </c>
      <c r="O9" s="22">
        <f>IF(7&gt;=$C9,$B9/12*(1+'Assumptions'!$B$26)*(1+'Assumptions'!$B$27)^0*(1-IF(7&lt;=$G9,$F9,0)),0)</f>
        <v/>
      </c>
      <c r="P9" s="22">
        <f>IF(8&gt;=$C9,$B9/12*(1+'Assumptions'!$B$26)*(1+'Assumptions'!$B$27)^0*(1-IF(8&lt;=$G9,$F9,0)),0)</f>
        <v/>
      </c>
      <c r="Q9" s="22">
        <f>IF(9&gt;=$C9,$B9/12*(1+'Assumptions'!$B$26)*(1+'Assumptions'!$B$27)^0*(1-IF(9&lt;=$G9,$F9,0)),0)</f>
        <v/>
      </c>
      <c r="R9" s="22">
        <f>IF(10&gt;=$C9,$B9/12*(1+'Assumptions'!$B$26)*(1+'Assumptions'!$B$27)^0*(1-IF(10&lt;=$G9,$F9,0)),0)</f>
        <v/>
      </c>
      <c r="S9" s="22">
        <f>IF(11&gt;=$C9,$B9/12*(1+'Assumptions'!$B$26)*(1+'Assumptions'!$B$27)^0*(1-IF(11&lt;=$G9,$F9,0)),0)</f>
        <v/>
      </c>
      <c r="T9" s="22">
        <f>IF(12&gt;=$C9,$B9/12*(1+'Assumptions'!$B$26)*(1+'Assumptions'!$B$27)^0*(1-IF(12&lt;=$G9,$F9,0)),0)</f>
        <v/>
      </c>
      <c r="U9" s="22">
        <f>IF(13&gt;=$C9,$B9/12*(1+'Assumptions'!$B$26)*(1+'Assumptions'!$B$27)^1*(1-IF(13&lt;=$G9,$F9,0)),0)</f>
        <v/>
      </c>
      <c r="V9" s="22">
        <f>IF(14&gt;=$C9,$B9/12*(1+'Assumptions'!$B$26)*(1+'Assumptions'!$B$27)^1*(1-IF(14&lt;=$G9,$F9,0)),0)</f>
        <v/>
      </c>
      <c r="W9" s="22">
        <f>IF(15&gt;=$C9,$B9/12*(1+'Assumptions'!$B$26)*(1+'Assumptions'!$B$27)^1*(1-IF(15&lt;=$G9,$F9,0)),0)</f>
        <v/>
      </c>
      <c r="X9" s="22">
        <f>IF(16&gt;=$C9,$B9/12*(1+'Assumptions'!$B$26)*(1+'Assumptions'!$B$27)^1*(1-IF(16&lt;=$G9,$F9,0)),0)</f>
        <v/>
      </c>
      <c r="Y9" s="22">
        <f>IF(17&gt;=$C9,$B9/12*(1+'Assumptions'!$B$26)*(1+'Assumptions'!$B$27)^1*(1-IF(17&lt;=$G9,$F9,0)),0)</f>
        <v/>
      </c>
      <c r="Z9" s="22">
        <f>IF(18&gt;=$C9,$B9/12*(1+'Assumptions'!$B$26)*(1+'Assumptions'!$B$27)^1*(1-IF(18&lt;=$G9,$F9,0)),0)</f>
        <v/>
      </c>
      <c r="AA9" s="22">
        <f>IF(19&gt;=$C9,$B9/12*(1+'Assumptions'!$B$26)*(1+'Assumptions'!$B$27)^1*(1-IF(19&lt;=$G9,$F9,0)),0)</f>
        <v/>
      </c>
      <c r="AB9" s="22">
        <f>IF(20&gt;=$C9,$B9/12*(1+'Assumptions'!$B$26)*(1+'Assumptions'!$B$27)^1*(1-IF(20&lt;=$G9,$F9,0)),0)</f>
        <v/>
      </c>
      <c r="AC9" s="22">
        <f>IF(21&gt;=$C9,$B9/12*(1+'Assumptions'!$B$26)*(1+'Assumptions'!$B$27)^1*(1-IF(21&lt;=$G9,$F9,0)),0)</f>
        <v/>
      </c>
      <c r="AD9" s="22">
        <f>IF(22&gt;=$C9,$B9/12*(1+'Assumptions'!$B$26)*(1+'Assumptions'!$B$27)^1*(1-IF(22&lt;=$G9,$F9,0)),0)</f>
        <v/>
      </c>
      <c r="AE9" s="22">
        <f>IF(23&gt;=$C9,$B9/12*(1+'Assumptions'!$B$26)*(1+'Assumptions'!$B$27)^1*(1-IF(23&lt;=$G9,$F9,0)),0)</f>
        <v/>
      </c>
      <c r="AF9" s="22">
        <f>IF(24&gt;=$C9,$B9/12*(1+'Assumptions'!$B$26)*(1+'Assumptions'!$B$27)^1*(1-IF(24&lt;=$G9,$F9,0)),0)</f>
        <v/>
      </c>
      <c r="AG9" s="22">
        <f>IF(25&gt;=$C9,$B9/12*(1+'Assumptions'!$B$26)*(1+'Assumptions'!$B$27)^2*(1-IF(25&lt;=$G9,$F9,0)),0)</f>
        <v/>
      </c>
      <c r="AH9" s="22">
        <f>IF(26&gt;=$C9,$B9/12*(1+'Assumptions'!$B$26)*(1+'Assumptions'!$B$27)^2*(1-IF(26&lt;=$G9,$F9,0)),0)</f>
        <v/>
      </c>
      <c r="AI9" s="22">
        <f>IF(27&gt;=$C9,$B9/12*(1+'Assumptions'!$B$26)*(1+'Assumptions'!$B$27)^2*(1-IF(27&lt;=$G9,$F9,0)),0)</f>
        <v/>
      </c>
      <c r="AJ9" s="22">
        <f>IF(28&gt;=$C9,$B9/12*(1+'Assumptions'!$B$26)*(1+'Assumptions'!$B$27)^2*(1-IF(28&lt;=$G9,$F9,0)),0)</f>
        <v/>
      </c>
      <c r="AK9" s="22">
        <f>IF(29&gt;=$C9,$B9/12*(1+'Assumptions'!$B$26)*(1+'Assumptions'!$B$27)^2*(1-IF(29&lt;=$G9,$F9,0)),0)</f>
        <v/>
      </c>
      <c r="AL9" s="22">
        <f>IF(30&gt;=$C9,$B9/12*(1+'Assumptions'!$B$26)*(1+'Assumptions'!$B$27)^2*(1-IF(30&lt;=$G9,$F9,0)),0)</f>
        <v/>
      </c>
      <c r="AM9" s="22">
        <f>IF(31&gt;=$C9,$B9/12*(1+'Assumptions'!$B$26)*(1+'Assumptions'!$B$27)^2*(1-IF(31&lt;=$G9,$F9,0)),0)</f>
        <v/>
      </c>
      <c r="AN9" s="22">
        <f>IF(32&gt;=$C9,$B9/12*(1+'Assumptions'!$B$26)*(1+'Assumptions'!$B$27)^2*(1-IF(32&lt;=$G9,$F9,0)),0)</f>
        <v/>
      </c>
      <c r="AO9" s="22">
        <f>IF(33&gt;=$C9,$B9/12*(1+'Assumptions'!$B$26)*(1+'Assumptions'!$B$27)^2*(1-IF(33&lt;=$G9,$F9,0)),0)</f>
        <v/>
      </c>
      <c r="AP9" s="22">
        <f>IF(34&gt;=$C9,$B9/12*(1+'Assumptions'!$B$26)*(1+'Assumptions'!$B$27)^2*(1-IF(34&lt;=$G9,$F9,0)),0)</f>
        <v/>
      </c>
      <c r="AQ9" s="22">
        <f>IF(35&gt;=$C9,$B9/12*(1+'Assumptions'!$B$26)*(1+'Assumptions'!$B$27)^2*(1-IF(35&lt;=$G9,$F9,0)),0)</f>
        <v/>
      </c>
      <c r="AR9" s="22">
        <f>IF(36&gt;=$C9,$B9/12*(1+'Assumptions'!$B$26)*(1+'Assumptions'!$B$27)^2*(1-IF(36&lt;=$G9,$F9,0)),0)</f>
        <v/>
      </c>
    </row>
    <row r="10">
      <c r="A10" s="4" t="inlineStr">
        <is>
          <t>Silas Shelton - Administrator</t>
        </is>
      </c>
      <c r="B10" s="11" t="n">
        <v>130000</v>
      </c>
      <c r="C10" s="8" t="n">
        <v>3</v>
      </c>
      <c r="D10" s="25" t="inlineStr">
        <is>
          <t>I</t>
        </is>
      </c>
      <c r="E10" s="8" t="n">
        <v>3</v>
      </c>
      <c r="F10" s="26">
        <f>IF(1,'Assumptions'!$B$28,0)</f>
        <v/>
      </c>
      <c r="G10" s="24">
        <f>'Assumptions'!$B$29</f>
        <v/>
      </c>
      <c r="I10" s="22">
        <f>IF(1&gt;=$C10,$B10/12*(1+'Assumptions'!$B$26)*(1+'Assumptions'!$B$27)^0*(1-IF(1&lt;=$G10,$F10,0)),0)</f>
        <v/>
      </c>
      <c r="J10" s="22">
        <f>IF(2&gt;=$C10,$B10/12*(1+'Assumptions'!$B$26)*(1+'Assumptions'!$B$27)^0*(1-IF(2&lt;=$G10,$F10,0)),0)</f>
        <v/>
      </c>
      <c r="K10" s="22">
        <f>IF(3&gt;=$C10,$B10/12*(1+'Assumptions'!$B$26)*(1+'Assumptions'!$B$27)^0*(1-IF(3&lt;=$G10,$F10,0)),0)</f>
        <v/>
      </c>
      <c r="L10" s="22">
        <f>IF(4&gt;=$C10,$B10/12*(1+'Assumptions'!$B$26)*(1+'Assumptions'!$B$27)^0*(1-IF(4&lt;=$G10,$F10,0)),0)</f>
        <v/>
      </c>
      <c r="M10" s="22">
        <f>IF(5&gt;=$C10,$B10/12*(1+'Assumptions'!$B$26)*(1+'Assumptions'!$B$27)^0*(1-IF(5&lt;=$G10,$F10,0)),0)</f>
        <v/>
      </c>
      <c r="N10" s="22">
        <f>IF(6&gt;=$C10,$B10/12*(1+'Assumptions'!$B$26)*(1+'Assumptions'!$B$27)^0*(1-IF(6&lt;=$G10,$F10,0)),0)</f>
        <v/>
      </c>
      <c r="O10" s="22">
        <f>IF(7&gt;=$C10,$B10/12*(1+'Assumptions'!$B$26)*(1+'Assumptions'!$B$27)^0*(1-IF(7&lt;=$G10,$F10,0)),0)</f>
        <v/>
      </c>
      <c r="P10" s="22">
        <f>IF(8&gt;=$C10,$B10/12*(1+'Assumptions'!$B$26)*(1+'Assumptions'!$B$27)^0*(1-IF(8&lt;=$G10,$F10,0)),0)</f>
        <v/>
      </c>
      <c r="Q10" s="22">
        <f>IF(9&gt;=$C10,$B10/12*(1+'Assumptions'!$B$26)*(1+'Assumptions'!$B$27)^0*(1-IF(9&lt;=$G10,$F10,0)),0)</f>
        <v/>
      </c>
      <c r="R10" s="22">
        <f>IF(10&gt;=$C10,$B10/12*(1+'Assumptions'!$B$26)*(1+'Assumptions'!$B$27)^0*(1-IF(10&lt;=$G10,$F10,0)),0)</f>
        <v/>
      </c>
      <c r="S10" s="22">
        <f>IF(11&gt;=$C10,$B10/12*(1+'Assumptions'!$B$26)*(1+'Assumptions'!$B$27)^0*(1-IF(11&lt;=$G10,$F10,0)),0)</f>
        <v/>
      </c>
      <c r="T10" s="22">
        <f>IF(12&gt;=$C10,$B10/12*(1+'Assumptions'!$B$26)*(1+'Assumptions'!$B$27)^0*(1-IF(12&lt;=$G10,$F10,0)),0)</f>
        <v/>
      </c>
      <c r="U10" s="22">
        <f>IF(13&gt;=$C10,$B10/12*(1+'Assumptions'!$B$26)*(1+'Assumptions'!$B$27)^1*(1-IF(13&lt;=$G10,$F10,0)),0)</f>
        <v/>
      </c>
      <c r="V10" s="22">
        <f>IF(14&gt;=$C10,$B10/12*(1+'Assumptions'!$B$26)*(1+'Assumptions'!$B$27)^1*(1-IF(14&lt;=$G10,$F10,0)),0)</f>
        <v/>
      </c>
      <c r="W10" s="22">
        <f>IF(15&gt;=$C10,$B10/12*(1+'Assumptions'!$B$26)*(1+'Assumptions'!$B$27)^1*(1-IF(15&lt;=$G10,$F10,0)),0)</f>
        <v/>
      </c>
      <c r="X10" s="22">
        <f>IF(16&gt;=$C10,$B10/12*(1+'Assumptions'!$B$26)*(1+'Assumptions'!$B$27)^1*(1-IF(16&lt;=$G10,$F10,0)),0)</f>
        <v/>
      </c>
      <c r="Y10" s="22">
        <f>IF(17&gt;=$C10,$B10/12*(1+'Assumptions'!$B$26)*(1+'Assumptions'!$B$27)^1*(1-IF(17&lt;=$G10,$F10,0)),0)</f>
        <v/>
      </c>
      <c r="Z10" s="22">
        <f>IF(18&gt;=$C10,$B10/12*(1+'Assumptions'!$B$26)*(1+'Assumptions'!$B$27)^1*(1-IF(18&lt;=$G10,$F10,0)),0)</f>
        <v/>
      </c>
      <c r="AA10" s="22">
        <f>IF(19&gt;=$C10,$B10/12*(1+'Assumptions'!$B$26)*(1+'Assumptions'!$B$27)^1*(1-IF(19&lt;=$G10,$F10,0)),0)</f>
        <v/>
      </c>
      <c r="AB10" s="22">
        <f>IF(20&gt;=$C10,$B10/12*(1+'Assumptions'!$B$26)*(1+'Assumptions'!$B$27)^1*(1-IF(20&lt;=$G10,$F10,0)),0)</f>
        <v/>
      </c>
      <c r="AC10" s="22">
        <f>IF(21&gt;=$C10,$B10/12*(1+'Assumptions'!$B$26)*(1+'Assumptions'!$B$27)^1*(1-IF(21&lt;=$G10,$F10,0)),0)</f>
        <v/>
      </c>
      <c r="AD10" s="22">
        <f>IF(22&gt;=$C10,$B10/12*(1+'Assumptions'!$B$26)*(1+'Assumptions'!$B$27)^1*(1-IF(22&lt;=$G10,$F10,0)),0)</f>
        <v/>
      </c>
      <c r="AE10" s="22">
        <f>IF(23&gt;=$C10,$B10/12*(1+'Assumptions'!$B$26)*(1+'Assumptions'!$B$27)^1*(1-IF(23&lt;=$G10,$F10,0)),0)</f>
        <v/>
      </c>
      <c r="AF10" s="22">
        <f>IF(24&gt;=$C10,$B10/12*(1+'Assumptions'!$B$26)*(1+'Assumptions'!$B$27)^1*(1-IF(24&lt;=$G10,$F10,0)),0)</f>
        <v/>
      </c>
      <c r="AG10" s="22">
        <f>IF(25&gt;=$C10,$B10/12*(1+'Assumptions'!$B$26)*(1+'Assumptions'!$B$27)^2*(1-IF(25&lt;=$G10,$F10,0)),0)</f>
        <v/>
      </c>
      <c r="AH10" s="22">
        <f>IF(26&gt;=$C10,$B10/12*(1+'Assumptions'!$B$26)*(1+'Assumptions'!$B$27)^2*(1-IF(26&lt;=$G10,$F10,0)),0)</f>
        <v/>
      </c>
      <c r="AI10" s="22">
        <f>IF(27&gt;=$C10,$B10/12*(1+'Assumptions'!$B$26)*(1+'Assumptions'!$B$27)^2*(1-IF(27&lt;=$G10,$F10,0)),0)</f>
        <v/>
      </c>
      <c r="AJ10" s="22">
        <f>IF(28&gt;=$C10,$B10/12*(1+'Assumptions'!$B$26)*(1+'Assumptions'!$B$27)^2*(1-IF(28&lt;=$G10,$F10,0)),0)</f>
        <v/>
      </c>
      <c r="AK10" s="22">
        <f>IF(29&gt;=$C10,$B10/12*(1+'Assumptions'!$B$26)*(1+'Assumptions'!$B$27)^2*(1-IF(29&lt;=$G10,$F10,0)),0)</f>
        <v/>
      </c>
      <c r="AL10" s="22">
        <f>IF(30&gt;=$C10,$B10/12*(1+'Assumptions'!$B$26)*(1+'Assumptions'!$B$27)^2*(1-IF(30&lt;=$G10,$F10,0)),0)</f>
        <v/>
      </c>
      <c r="AM10" s="22">
        <f>IF(31&gt;=$C10,$B10/12*(1+'Assumptions'!$B$26)*(1+'Assumptions'!$B$27)^2*(1-IF(31&lt;=$G10,$F10,0)),0)</f>
        <v/>
      </c>
      <c r="AN10" s="22">
        <f>IF(32&gt;=$C10,$B10/12*(1+'Assumptions'!$B$26)*(1+'Assumptions'!$B$27)^2*(1-IF(32&lt;=$G10,$F10,0)),0)</f>
        <v/>
      </c>
      <c r="AO10" s="22">
        <f>IF(33&gt;=$C10,$B10/12*(1+'Assumptions'!$B$26)*(1+'Assumptions'!$B$27)^2*(1-IF(33&lt;=$G10,$F10,0)),0)</f>
        <v/>
      </c>
      <c r="AP10" s="22">
        <f>IF(34&gt;=$C10,$B10/12*(1+'Assumptions'!$B$26)*(1+'Assumptions'!$B$27)^2*(1-IF(34&lt;=$G10,$F10,0)),0)</f>
        <v/>
      </c>
      <c r="AQ10" s="22">
        <f>IF(35&gt;=$C10,$B10/12*(1+'Assumptions'!$B$26)*(1+'Assumptions'!$B$27)^2*(1-IF(35&lt;=$G10,$F10,0)),0)</f>
        <v/>
      </c>
      <c r="AR10" s="22">
        <f>IF(36&gt;=$C10,$B10/12*(1+'Assumptions'!$B$26)*(1+'Assumptions'!$B$27)^2*(1-IF(36&lt;=$G10,$F10,0)),0)</f>
        <v/>
      </c>
    </row>
    <row r="11">
      <c r="A11" s="4" t="inlineStr">
        <is>
          <t>Jodi McCollum - RN Case Manager (2nd seat)</t>
        </is>
      </c>
      <c r="B11" s="11" t="n">
        <v>75008</v>
      </c>
      <c r="C11" s="8" t="n">
        <v>4</v>
      </c>
      <c r="D11" s="25" t="inlineStr">
        <is>
          <t>D</t>
        </is>
      </c>
      <c r="E11" s="8" t="n">
        <v>3</v>
      </c>
      <c r="F11" s="26">
        <f>IF(0,'Assumptions'!$B$28,0)</f>
        <v/>
      </c>
      <c r="G11" s="24">
        <f>'Assumptions'!$B$29</f>
        <v/>
      </c>
      <c r="I11" s="22">
        <f>IF(1&gt;=$C11,$B11/12*(1+'Assumptions'!$B$26)*(1+'Assumptions'!$B$27)^0*(1-IF(1&lt;=$G11,$F11,0)),0)</f>
        <v/>
      </c>
      <c r="J11" s="22">
        <f>IF(2&gt;=$C11,$B11/12*(1+'Assumptions'!$B$26)*(1+'Assumptions'!$B$27)^0*(1-IF(2&lt;=$G11,$F11,0)),0)</f>
        <v/>
      </c>
      <c r="K11" s="22">
        <f>IF(3&gt;=$C11,$B11/12*(1+'Assumptions'!$B$26)*(1+'Assumptions'!$B$27)^0*(1-IF(3&lt;=$G11,$F11,0)),0)</f>
        <v/>
      </c>
      <c r="L11" s="22">
        <f>IF(4&gt;=$C11,$B11/12*(1+'Assumptions'!$B$26)*(1+'Assumptions'!$B$27)^0*(1-IF(4&lt;=$G11,$F11,0)),0)</f>
        <v/>
      </c>
      <c r="M11" s="22">
        <f>IF(5&gt;=$C11,$B11/12*(1+'Assumptions'!$B$26)*(1+'Assumptions'!$B$27)^0*(1-IF(5&lt;=$G11,$F11,0)),0)</f>
        <v/>
      </c>
      <c r="N11" s="22">
        <f>IF(6&gt;=$C11,$B11/12*(1+'Assumptions'!$B$26)*(1+'Assumptions'!$B$27)^0*(1-IF(6&lt;=$G11,$F11,0)),0)</f>
        <v/>
      </c>
      <c r="O11" s="22">
        <f>IF(7&gt;=$C11,$B11/12*(1+'Assumptions'!$B$26)*(1+'Assumptions'!$B$27)^0*(1-IF(7&lt;=$G11,$F11,0)),0)</f>
        <v/>
      </c>
      <c r="P11" s="22">
        <f>IF(8&gt;=$C11,$B11/12*(1+'Assumptions'!$B$26)*(1+'Assumptions'!$B$27)^0*(1-IF(8&lt;=$G11,$F11,0)),0)</f>
        <v/>
      </c>
      <c r="Q11" s="22">
        <f>IF(9&gt;=$C11,$B11/12*(1+'Assumptions'!$B$26)*(1+'Assumptions'!$B$27)^0*(1-IF(9&lt;=$G11,$F11,0)),0)</f>
        <v/>
      </c>
      <c r="R11" s="22">
        <f>IF(10&gt;=$C11,$B11/12*(1+'Assumptions'!$B$26)*(1+'Assumptions'!$B$27)^0*(1-IF(10&lt;=$G11,$F11,0)),0)</f>
        <v/>
      </c>
      <c r="S11" s="22">
        <f>IF(11&gt;=$C11,$B11/12*(1+'Assumptions'!$B$26)*(1+'Assumptions'!$B$27)^0*(1-IF(11&lt;=$G11,$F11,0)),0)</f>
        <v/>
      </c>
      <c r="T11" s="22">
        <f>IF(12&gt;=$C11,$B11/12*(1+'Assumptions'!$B$26)*(1+'Assumptions'!$B$27)^0*(1-IF(12&lt;=$G11,$F11,0)),0)</f>
        <v/>
      </c>
      <c r="U11" s="22">
        <f>IF(13&gt;=$C11,$B11/12*(1+'Assumptions'!$B$26)*(1+'Assumptions'!$B$27)^1*(1-IF(13&lt;=$G11,$F11,0)),0)</f>
        <v/>
      </c>
      <c r="V11" s="22">
        <f>IF(14&gt;=$C11,$B11/12*(1+'Assumptions'!$B$26)*(1+'Assumptions'!$B$27)^1*(1-IF(14&lt;=$G11,$F11,0)),0)</f>
        <v/>
      </c>
      <c r="W11" s="22">
        <f>IF(15&gt;=$C11,$B11/12*(1+'Assumptions'!$B$26)*(1+'Assumptions'!$B$27)^1*(1-IF(15&lt;=$G11,$F11,0)),0)</f>
        <v/>
      </c>
      <c r="X11" s="22">
        <f>IF(16&gt;=$C11,$B11/12*(1+'Assumptions'!$B$26)*(1+'Assumptions'!$B$27)^1*(1-IF(16&lt;=$G11,$F11,0)),0)</f>
        <v/>
      </c>
      <c r="Y11" s="22">
        <f>IF(17&gt;=$C11,$B11/12*(1+'Assumptions'!$B$26)*(1+'Assumptions'!$B$27)^1*(1-IF(17&lt;=$G11,$F11,0)),0)</f>
        <v/>
      </c>
      <c r="Z11" s="22">
        <f>IF(18&gt;=$C11,$B11/12*(1+'Assumptions'!$B$26)*(1+'Assumptions'!$B$27)^1*(1-IF(18&lt;=$G11,$F11,0)),0)</f>
        <v/>
      </c>
      <c r="AA11" s="22">
        <f>IF(19&gt;=$C11,$B11/12*(1+'Assumptions'!$B$26)*(1+'Assumptions'!$B$27)^1*(1-IF(19&lt;=$G11,$F11,0)),0)</f>
        <v/>
      </c>
      <c r="AB11" s="22">
        <f>IF(20&gt;=$C11,$B11/12*(1+'Assumptions'!$B$26)*(1+'Assumptions'!$B$27)^1*(1-IF(20&lt;=$G11,$F11,0)),0)</f>
        <v/>
      </c>
      <c r="AC11" s="22">
        <f>IF(21&gt;=$C11,$B11/12*(1+'Assumptions'!$B$26)*(1+'Assumptions'!$B$27)^1*(1-IF(21&lt;=$G11,$F11,0)),0)</f>
        <v/>
      </c>
      <c r="AD11" s="22">
        <f>IF(22&gt;=$C11,$B11/12*(1+'Assumptions'!$B$26)*(1+'Assumptions'!$B$27)^1*(1-IF(22&lt;=$G11,$F11,0)),0)</f>
        <v/>
      </c>
      <c r="AE11" s="22">
        <f>IF(23&gt;=$C11,$B11/12*(1+'Assumptions'!$B$26)*(1+'Assumptions'!$B$27)^1*(1-IF(23&lt;=$G11,$F11,0)),0)</f>
        <v/>
      </c>
      <c r="AF11" s="22">
        <f>IF(24&gt;=$C11,$B11/12*(1+'Assumptions'!$B$26)*(1+'Assumptions'!$B$27)^1*(1-IF(24&lt;=$G11,$F11,0)),0)</f>
        <v/>
      </c>
      <c r="AG11" s="22">
        <f>IF(25&gt;=$C11,$B11/12*(1+'Assumptions'!$B$26)*(1+'Assumptions'!$B$27)^2*(1-IF(25&lt;=$G11,$F11,0)),0)</f>
        <v/>
      </c>
      <c r="AH11" s="22">
        <f>IF(26&gt;=$C11,$B11/12*(1+'Assumptions'!$B$26)*(1+'Assumptions'!$B$27)^2*(1-IF(26&lt;=$G11,$F11,0)),0)</f>
        <v/>
      </c>
      <c r="AI11" s="22">
        <f>IF(27&gt;=$C11,$B11/12*(1+'Assumptions'!$B$26)*(1+'Assumptions'!$B$27)^2*(1-IF(27&lt;=$G11,$F11,0)),0)</f>
        <v/>
      </c>
      <c r="AJ11" s="22">
        <f>IF(28&gt;=$C11,$B11/12*(1+'Assumptions'!$B$26)*(1+'Assumptions'!$B$27)^2*(1-IF(28&lt;=$G11,$F11,0)),0)</f>
        <v/>
      </c>
      <c r="AK11" s="22">
        <f>IF(29&gt;=$C11,$B11/12*(1+'Assumptions'!$B$26)*(1+'Assumptions'!$B$27)^2*(1-IF(29&lt;=$G11,$F11,0)),0)</f>
        <v/>
      </c>
      <c r="AL11" s="22">
        <f>IF(30&gt;=$C11,$B11/12*(1+'Assumptions'!$B$26)*(1+'Assumptions'!$B$27)^2*(1-IF(30&lt;=$G11,$F11,0)),0)</f>
        <v/>
      </c>
      <c r="AM11" s="22">
        <f>IF(31&gt;=$C11,$B11/12*(1+'Assumptions'!$B$26)*(1+'Assumptions'!$B$27)^2*(1-IF(31&lt;=$G11,$F11,0)),0)</f>
        <v/>
      </c>
      <c r="AN11" s="22">
        <f>IF(32&gt;=$C11,$B11/12*(1+'Assumptions'!$B$26)*(1+'Assumptions'!$B$27)^2*(1-IF(32&lt;=$G11,$F11,0)),0)</f>
        <v/>
      </c>
      <c r="AO11" s="22">
        <f>IF(33&gt;=$C11,$B11/12*(1+'Assumptions'!$B$26)*(1+'Assumptions'!$B$27)^2*(1-IF(33&lt;=$G11,$F11,0)),0)</f>
        <v/>
      </c>
      <c r="AP11" s="22">
        <f>IF(34&gt;=$C11,$B11/12*(1+'Assumptions'!$B$26)*(1+'Assumptions'!$B$27)^2*(1-IF(34&lt;=$G11,$F11,0)),0)</f>
        <v/>
      </c>
      <c r="AQ11" s="22">
        <f>IF(35&gt;=$C11,$B11/12*(1+'Assumptions'!$B$26)*(1+'Assumptions'!$B$27)^2*(1-IF(35&lt;=$G11,$F11,0)),0)</f>
        <v/>
      </c>
      <c r="AR11" s="22">
        <f>IF(36&gt;=$C11,$B11/12*(1+'Assumptions'!$B$26)*(1+'Assumptions'!$B$27)^2*(1-IF(36&lt;=$G11,$F11,0)),0)</f>
        <v/>
      </c>
    </row>
    <row r="12">
      <c r="A12" s="4" t="inlineStr">
        <is>
          <t>Director of Business Development - Sales / referrals (growth driv</t>
        </is>
      </c>
      <c r="B12" s="11" t="n">
        <v>95000</v>
      </c>
      <c r="C12" s="8" t="n">
        <v>6</v>
      </c>
      <c r="D12" s="25" t="inlineStr">
        <is>
          <t>I</t>
        </is>
      </c>
      <c r="E12" s="8" t="n">
        <v>3</v>
      </c>
      <c r="F12" s="26">
        <f>IF(0,'Assumptions'!$B$28,0)</f>
        <v/>
      </c>
      <c r="G12" s="24">
        <f>'Assumptions'!$B$29</f>
        <v/>
      </c>
      <c r="I12" s="22">
        <f>IF(1&gt;=$C12,$B12/12*(1+'Assumptions'!$B$26)*(1+'Assumptions'!$B$27)^0*(1-IF(1&lt;=$G12,$F12,0)),0)</f>
        <v/>
      </c>
      <c r="J12" s="22">
        <f>IF(2&gt;=$C12,$B12/12*(1+'Assumptions'!$B$26)*(1+'Assumptions'!$B$27)^0*(1-IF(2&lt;=$G12,$F12,0)),0)</f>
        <v/>
      </c>
      <c r="K12" s="22">
        <f>IF(3&gt;=$C12,$B12/12*(1+'Assumptions'!$B$26)*(1+'Assumptions'!$B$27)^0*(1-IF(3&lt;=$G12,$F12,0)),0)</f>
        <v/>
      </c>
      <c r="L12" s="22">
        <f>IF(4&gt;=$C12,$B12/12*(1+'Assumptions'!$B$26)*(1+'Assumptions'!$B$27)^0*(1-IF(4&lt;=$G12,$F12,0)),0)</f>
        <v/>
      </c>
      <c r="M12" s="22">
        <f>IF(5&gt;=$C12,$B12/12*(1+'Assumptions'!$B$26)*(1+'Assumptions'!$B$27)^0*(1-IF(5&lt;=$G12,$F12,0)),0)</f>
        <v/>
      </c>
      <c r="N12" s="22">
        <f>IF(6&gt;=$C12,$B12/12*(1+'Assumptions'!$B$26)*(1+'Assumptions'!$B$27)^0*(1-IF(6&lt;=$G12,$F12,0)),0)</f>
        <v/>
      </c>
      <c r="O12" s="22">
        <f>IF(7&gt;=$C12,$B12/12*(1+'Assumptions'!$B$26)*(1+'Assumptions'!$B$27)^0*(1-IF(7&lt;=$G12,$F12,0)),0)</f>
        <v/>
      </c>
      <c r="P12" s="22">
        <f>IF(8&gt;=$C12,$B12/12*(1+'Assumptions'!$B$26)*(1+'Assumptions'!$B$27)^0*(1-IF(8&lt;=$G12,$F12,0)),0)</f>
        <v/>
      </c>
      <c r="Q12" s="22">
        <f>IF(9&gt;=$C12,$B12/12*(1+'Assumptions'!$B$26)*(1+'Assumptions'!$B$27)^0*(1-IF(9&lt;=$G12,$F12,0)),0)</f>
        <v/>
      </c>
      <c r="R12" s="22">
        <f>IF(10&gt;=$C12,$B12/12*(1+'Assumptions'!$B$26)*(1+'Assumptions'!$B$27)^0*(1-IF(10&lt;=$G12,$F12,0)),0)</f>
        <v/>
      </c>
      <c r="S12" s="22">
        <f>IF(11&gt;=$C12,$B12/12*(1+'Assumptions'!$B$26)*(1+'Assumptions'!$B$27)^0*(1-IF(11&lt;=$G12,$F12,0)),0)</f>
        <v/>
      </c>
      <c r="T12" s="22">
        <f>IF(12&gt;=$C12,$B12/12*(1+'Assumptions'!$B$26)*(1+'Assumptions'!$B$27)^0*(1-IF(12&lt;=$G12,$F12,0)),0)</f>
        <v/>
      </c>
      <c r="U12" s="22">
        <f>IF(13&gt;=$C12,$B12/12*(1+'Assumptions'!$B$26)*(1+'Assumptions'!$B$27)^1*(1-IF(13&lt;=$G12,$F12,0)),0)</f>
        <v/>
      </c>
      <c r="V12" s="22">
        <f>IF(14&gt;=$C12,$B12/12*(1+'Assumptions'!$B$26)*(1+'Assumptions'!$B$27)^1*(1-IF(14&lt;=$G12,$F12,0)),0)</f>
        <v/>
      </c>
      <c r="W12" s="22">
        <f>IF(15&gt;=$C12,$B12/12*(1+'Assumptions'!$B$26)*(1+'Assumptions'!$B$27)^1*(1-IF(15&lt;=$G12,$F12,0)),0)</f>
        <v/>
      </c>
      <c r="X12" s="22">
        <f>IF(16&gt;=$C12,$B12/12*(1+'Assumptions'!$B$26)*(1+'Assumptions'!$B$27)^1*(1-IF(16&lt;=$G12,$F12,0)),0)</f>
        <v/>
      </c>
      <c r="Y12" s="22">
        <f>IF(17&gt;=$C12,$B12/12*(1+'Assumptions'!$B$26)*(1+'Assumptions'!$B$27)^1*(1-IF(17&lt;=$G12,$F12,0)),0)</f>
        <v/>
      </c>
      <c r="Z12" s="22">
        <f>IF(18&gt;=$C12,$B12/12*(1+'Assumptions'!$B$26)*(1+'Assumptions'!$B$27)^1*(1-IF(18&lt;=$G12,$F12,0)),0)</f>
        <v/>
      </c>
      <c r="AA12" s="22">
        <f>IF(19&gt;=$C12,$B12/12*(1+'Assumptions'!$B$26)*(1+'Assumptions'!$B$27)^1*(1-IF(19&lt;=$G12,$F12,0)),0)</f>
        <v/>
      </c>
      <c r="AB12" s="22">
        <f>IF(20&gt;=$C12,$B12/12*(1+'Assumptions'!$B$26)*(1+'Assumptions'!$B$27)^1*(1-IF(20&lt;=$G12,$F12,0)),0)</f>
        <v/>
      </c>
      <c r="AC12" s="22">
        <f>IF(21&gt;=$C12,$B12/12*(1+'Assumptions'!$B$26)*(1+'Assumptions'!$B$27)^1*(1-IF(21&lt;=$G12,$F12,0)),0)</f>
        <v/>
      </c>
      <c r="AD12" s="22">
        <f>IF(22&gt;=$C12,$B12/12*(1+'Assumptions'!$B$26)*(1+'Assumptions'!$B$27)^1*(1-IF(22&lt;=$G12,$F12,0)),0)</f>
        <v/>
      </c>
      <c r="AE12" s="22">
        <f>IF(23&gt;=$C12,$B12/12*(1+'Assumptions'!$B$26)*(1+'Assumptions'!$B$27)^1*(1-IF(23&lt;=$G12,$F12,0)),0)</f>
        <v/>
      </c>
      <c r="AF12" s="22">
        <f>IF(24&gt;=$C12,$B12/12*(1+'Assumptions'!$B$26)*(1+'Assumptions'!$B$27)^1*(1-IF(24&lt;=$G12,$F12,0)),0)</f>
        <v/>
      </c>
      <c r="AG12" s="22">
        <f>IF(25&gt;=$C12,$B12/12*(1+'Assumptions'!$B$26)*(1+'Assumptions'!$B$27)^2*(1-IF(25&lt;=$G12,$F12,0)),0)</f>
        <v/>
      </c>
      <c r="AH12" s="22">
        <f>IF(26&gt;=$C12,$B12/12*(1+'Assumptions'!$B$26)*(1+'Assumptions'!$B$27)^2*(1-IF(26&lt;=$G12,$F12,0)),0)</f>
        <v/>
      </c>
      <c r="AI12" s="22">
        <f>IF(27&gt;=$C12,$B12/12*(1+'Assumptions'!$B$26)*(1+'Assumptions'!$B$27)^2*(1-IF(27&lt;=$G12,$F12,0)),0)</f>
        <v/>
      </c>
      <c r="AJ12" s="22">
        <f>IF(28&gt;=$C12,$B12/12*(1+'Assumptions'!$B$26)*(1+'Assumptions'!$B$27)^2*(1-IF(28&lt;=$G12,$F12,0)),0)</f>
        <v/>
      </c>
      <c r="AK12" s="22">
        <f>IF(29&gt;=$C12,$B12/12*(1+'Assumptions'!$B$26)*(1+'Assumptions'!$B$27)^2*(1-IF(29&lt;=$G12,$F12,0)),0)</f>
        <v/>
      </c>
      <c r="AL12" s="22">
        <f>IF(30&gt;=$C12,$B12/12*(1+'Assumptions'!$B$26)*(1+'Assumptions'!$B$27)^2*(1-IF(30&lt;=$G12,$F12,0)),0)</f>
        <v/>
      </c>
      <c r="AM12" s="22">
        <f>IF(31&gt;=$C12,$B12/12*(1+'Assumptions'!$B$26)*(1+'Assumptions'!$B$27)^2*(1-IF(31&lt;=$G12,$F12,0)),0)</f>
        <v/>
      </c>
      <c r="AN12" s="22">
        <f>IF(32&gt;=$C12,$B12/12*(1+'Assumptions'!$B$26)*(1+'Assumptions'!$B$27)^2*(1-IF(32&lt;=$G12,$F12,0)),0)</f>
        <v/>
      </c>
      <c r="AO12" s="22">
        <f>IF(33&gt;=$C12,$B12/12*(1+'Assumptions'!$B$26)*(1+'Assumptions'!$B$27)^2*(1-IF(33&lt;=$G12,$F12,0)),0)</f>
        <v/>
      </c>
      <c r="AP12" s="22">
        <f>IF(34&gt;=$C12,$B12/12*(1+'Assumptions'!$B$26)*(1+'Assumptions'!$B$27)^2*(1-IF(34&lt;=$G12,$F12,0)),0)</f>
        <v/>
      </c>
      <c r="AQ12" s="22">
        <f>IF(35&gt;=$C12,$B12/12*(1+'Assumptions'!$B$26)*(1+'Assumptions'!$B$27)^2*(1-IF(35&lt;=$G12,$F12,0)),0)</f>
        <v/>
      </c>
      <c r="AR12" s="22">
        <f>IF(36&gt;=$C12,$B12/12*(1+'Assumptions'!$B$26)*(1+'Assumptions'!$B$27)^2*(1-IF(36&lt;=$G12,$F12,0)),0)</f>
        <v/>
      </c>
    </row>
    <row r="13">
      <c r="A13" s="4" t="inlineStr">
        <is>
          <t>Capacity hire - 2nd CNA - CNA / Hospice Aide (capacity-d  [census-triggered - slip if ramp lags]</t>
        </is>
      </c>
      <c r="B13" s="11" t="n">
        <v>46511</v>
      </c>
      <c r="C13" s="8" t="n">
        <v>2</v>
      </c>
      <c r="D13" s="25" t="inlineStr">
        <is>
          <t>D</t>
        </is>
      </c>
      <c r="E13" s="8" t="n">
        <v>3</v>
      </c>
      <c r="F13" s="26">
        <f>IF(0,'Assumptions'!$B$28,0)</f>
        <v/>
      </c>
      <c r="G13" s="24">
        <f>'Assumptions'!$B$29</f>
        <v/>
      </c>
      <c r="I13" s="22">
        <f>IF(1&gt;=$C13,$B13/12*(1+'Assumptions'!$B$26)*(1+'Assumptions'!$B$27)^0*(1-IF(1&lt;=$G13,$F13,0)),0)</f>
        <v/>
      </c>
      <c r="J13" s="22">
        <f>IF(2&gt;=$C13,$B13/12*(1+'Assumptions'!$B$26)*(1+'Assumptions'!$B$27)^0*(1-IF(2&lt;=$G13,$F13,0)),0)</f>
        <v/>
      </c>
      <c r="K13" s="22">
        <f>IF(3&gt;=$C13,$B13/12*(1+'Assumptions'!$B$26)*(1+'Assumptions'!$B$27)^0*(1-IF(3&lt;=$G13,$F13,0)),0)</f>
        <v/>
      </c>
      <c r="L13" s="22">
        <f>IF(4&gt;=$C13,$B13/12*(1+'Assumptions'!$B$26)*(1+'Assumptions'!$B$27)^0*(1-IF(4&lt;=$G13,$F13,0)),0)</f>
        <v/>
      </c>
      <c r="M13" s="22">
        <f>IF(5&gt;=$C13,$B13/12*(1+'Assumptions'!$B$26)*(1+'Assumptions'!$B$27)^0*(1-IF(5&lt;=$G13,$F13,0)),0)</f>
        <v/>
      </c>
      <c r="N13" s="22">
        <f>IF(6&gt;=$C13,$B13/12*(1+'Assumptions'!$B$26)*(1+'Assumptions'!$B$27)^0*(1-IF(6&lt;=$G13,$F13,0)),0)</f>
        <v/>
      </c>
      <c r="O13" s="22">
        <f>IF(7&gt;=$C13,$B13/12*(1+'Assumptions'!$B$26)*(1+'Assumptions'!$B$27)^0*(1-IF(7&lt;=$G13,$F13,0)),0)</f>
        <v/>
      </c>
      <c r="P13" s="22">
        <f>IF(8&gt;=$C13,$B13/12*(1+'Assumptions'!$B$26)*(1+'Assumptions'!$B$27)^0*(1-IF(8&lt;=$G13,$F13,0)),0)</f>
        <v/>
      </c>
      <c r="Q13" s="22">
        <f>IF(9&gt;=$C13,$B13/12*(1+'Assumptions'!$B$26)*(1+'Assumptions'!$B$27)^0*(1-IF(9&lt;=$G13,$F13,0)),0)</f>
        <v/>
      </c>
      <c r="R13" s="22">
        <f>IF(10&gt;=$C13,$B13/12*(1+'Assumptions'!$B$26)*(1+'Assumptions'!$B$27)^0*(1-IF(10&lt;=$G13,$F13,0)),0)</f>
        <v/>
      </c>
      <c r="S13" s="22">
        <f>IF(11&gt;=$C13,$B13/12*(1+'Assumptions'!$B$26)*(1+'Assumptions'!$B$27)^0*(1-IF(11&lt;=$G13,$F13,0)),0)</f>
        <v/>
      </c>
      <c r="T13" s="22">
        <f>IF(12&gt;=$C13,$B13/12*(1+'Assumptions'!$B$26)*(1+'Assumptions'!$B$27)^0*(1-IF(12&lt;=$G13,$F13,0)),0)</f>
        <v/>
      </c>
      <c r="U13" s="22">
        <f>IF(13&gt;=$C13,$B13/12*(1+'Assumptions'!$B$26)*(1+'Assumptions'!$B$27)^1*(1-IF(13&lt;=$G13,$F13,0)),0)</f>
        <v/>
      </c>
      <c r="V13" s="22">
        <f>IF(14&gt;=$C13,$B13/12*(1+'Assumptions'!$B$26)*(1+'Assumptions'!$B$27)^1*(1-IF(14&lt;=$G13,$F13,0)),0)</f>
        <v/>
      </c>
      <c r="W13" s="22">
        <f>IF(15&gt;=$C13,$B13/12*(1+'Assumptions'!$B$26)*(1+'Assumptions'!$B$27)^1*(1-IF(15&lt;=$G13,$F13,0)),0)</f>
        <v/>
      </c>
      <c r="X13" s="22">
        <f>IF(16&gt;=$C13,$B13/12*(1+'Assumptions'!$B$26)*(1+'Assumptions'!$B$27)^1*(1-IF(16&lt;=$G13,$F13,0)),0)</f>
        <v/>
      </c>
      <c r="Y13" s="22">
        <f>IF(17&gt;=$C13,$B13/12*(1+'Assumptions'!$B$26)*(1+'Assumptions'!$B$27)^1*(1-IF(17&lt;=$G13,$F13,0)),0)</f>
        <v/>
      </c>
      <c r="Z13" s="22">
        <f>IF(18&gt;=$C13,$B13/12*(1+'Assumptions'!$B$26)*(1+'Assumptions'!$B$27)^1*(1-IF(18&lt;=$G13,$F13,0)),0)</f>
        <v/>
      </c>
      <c r="AA13" s="22">
        <f>IF(19&gt;=$C13,$B13/12*(1+'Assumptions'!$B$26)*(1+'Assumptions'!$B$27)^1*(1-IF(19&lt;=$G13,$F13,0)),0)</f>
        <v/>
      </c>
      <c r="AB13" s="22">
        <f>IF(20&gt;=$C13,$B13/12*(1+'Assumptions'!$B$26)*(1+'Assumptions'!$B$27)^1*(1-IF(20&lt;=$G13,$F13,0)),0)</f>
        <v/>
      </c>
      <c r="AC13" s="22">
        <f>IF(21&gt;=$C13,$B13/12*(1+'Assumptions'!$B$26)*(1+'Assumptions'!$B$27)^1*(1-IF(21&lt;=$G13,$F13,0)),0)</f>
        <v/>
      </c>
      <c r="AD13" s="22">
        <f>IF(22&gt;=$C13,$B13/12*(1+'Assumptions'!$B$26)*(1+'Assumptions'!$B$27)^1*(1-IF(22&lt;=$G13,$F13,0)),0)</f>
        <v/>
      </c>
      <c r="AE13" s="22">
        <f>IF(23&gt;=$C13,$B13/12*(1+'Assumptions'!$B$26)*(1+'Assumptions'!$B$27)^1*(1-IF(23&lt;=$G13,$F13,0)),0)</f>
        <v/>
      </c>
      <c r="AF13" s="22">
        <f>IF(24&gt;=$C13,$B13/12*(1+'Assumptions'!$B$26)*(1+'Assumptions'!$B$27)^1*(1-IF(24&lt;=$G13,$F13,0)),0)</f>
        <v/>
      </c>
      <c r="AG13" s="22">
        <f>IF(25&gt;=$C13,$B13/12*(1+'Assumptions'!$B$26)*(1+'Assumptions'!$B$27)^2*(1-IF(25&lt;=$G13,$F13,0)),0)</f>
        <v/>
      </c>
      <c r="AH13" s="22">
        <f>IF(26&gt;=$C13,$B13/12*(1+'Assumptions'!$B$26)*(1+'Assumptions'!$B$27)^2*(1-IF(26&lt;=$G13,$F13,0)),0)</f>
        <v/>
      </c>
      <c r="AI13" s="22">
        <f>IF(27&gt;=$C13,$B13/12*(1+'Assumptions'!$B$26)*(1+'Assumptions'!$B$27)^2*(1-IF(27&lt;=$G13,$F13,0)),0)</f>
        <v/>
      </c>
      <c r="AJ13" s="22">
        <f>IF(28&gt;=$C13,$B13/12*(1+'Assumptions'!$B$26)*(1+'Assumptions'!$B$27)^2*(1-IF(28&lt;=$G13,$F13,0)),0)</f>
        <v/>
      </c>
      <c r="AK13" s="22">
        <f>IF(29&gt;=$C13,$B13/12*(1+'Assumptions'!$B$26)*(1+'Assumptions'!$B$27)^2*(1-IF(29&lt;=$G13,$F13,0)),0)</f>
        <v/>
      </c>
      <c r="AL13" s="22">
        <f>IF(30&gt;=$C13,$B13/12*(1+'Assumptions'!$B$26)*(1+'Assumptions'!$B$27)^2*(1-IF(30&lt;=$G13,$F13,0)),0)</f>
        <v/>
      </c>
      <c r="AM13" s="22">
        <f>IF(31&gt;=$C13,$B13/12*(1+'Assumptions'!$B$26)*(1+'Assumptions'!$B$27)^2*(1-IF(31&lt;=$G13,$F13,0)),0)</f>
        <v/>
      </c>
      <c r="AN13" s="22">
        <f>IF(32&gt;=$C13,$B13/12*(1+'Assumptions'!$B$26)*(1+'Assumptions'!$B$27)^2*(1-IF(32&lt;=$G13,$F13,0)),0)</f>
        <v/>
      </c>
      <c r="AO13" s="22">
        <f>IF(33&gt;=$C13,$B13/12*(1+'Assumptions'!$B$26)*(1+'Assumptions'!$B$27)^2*(1-IF(33&lt;=$G13,$F13,0)),0)</f>
        <v/>
      </c>
      <c r="AP13" s="22">
        <f>IF(34&gt;=$C13,$B13/12*(1+'Assumptions'!$B$26)*(1+'Assumptions'!$B$27)^2*(1-IF(34&lt;=$G13,$F13,0)),0)</f>
        <v/>
      </c>
      <c r="AQ13" s="22">
        <f>IF(35&gt;=$C13,$B13/12*(1+'Assumptions'!$B$26)*(1+'Assumptions'!$B$27)^2*(1-IF(35&lt;=$G13,$F13,0)),0)</f>
        <v/>
      </c>
      <c r="AR13" s="22">
        <f>IF(36&gt;=$C13,$B13/12*(1+'Assumptions'!$B$26)*(1+'Assumptions'!$B$27)^2*(1-IF(36&lt;=$G13,$F13,0)),0)</f>
        <v/>
      </c>
    </row>
    <row r="14">
      <c r="A14" s="4" t="inlineStr">
        <is>
          <t xml:space="preserve">FT Social Worker (MSW) - Core IDG MSW (converts PRN SW </t>
        </is>
      </c>
      <c r="B14" s="11" t="n">
        <v>58000</v>
      </c>
      <c r="C14" s="8" t="n">
        <v>6</v>
      </c>
      <c r="D14" s="25" t="inlineStr">
        <is>
          <t>D</t>
        </is>
      </c>
      <c r="E14" s="8" t="n">
        <v>3</v>
      </c>
      <c r="F14" s="26">
        <f>IF(0,'Assumptions'!$B$28,0)</f>
        <v/>
      </c>
      <c r="G14" s="24">
        <f>'Assumptions'!$B$29</f>
        <v/>
      </c>
      <c r="I14" s="22">
        <f>IF(1&gt;=$C14,$B14/12*(1+'Assumptions'!$B$26)*(1+'Assumptions'!$B$27)^0*(1-IF(1&lt;=$G14,$F14,0)),0)</f>
        <v/>
      </c>
      <c r="J14" s="22">
        <f>IF(2&gt;=$C14,$B14/12*(1+'Assumptions'!$B$26)*(1+'Assumptions'!$B$27)^0*(1-IF(2&lt;=$G14,$F14,0)),0)</f>
        <v/>
      </c>
      <c r="K14" s="22">
        <f>IF(3&gt;=$C14,$B14/12*(1+'Assumptions'!$B$26)*(1+'Assumptions'!$B$27)^0*(1-IF(3&lt;=$G14,$F14,0)),0)</f>
        <v/>
      </c>
      <c r="L14" s="22">
        <f>IF(4&gt;=$C14,$B14/12*(1+'Assumptions'!$B$26)*(1+'Assumptions'!$B$27)^0*(1-IF(4&lt;=$G14,$F14,0)),0)</f>
        <v/>
      </c>
      <c r="M14" s="22">
        <f>IF(5&gt;=$C14,$B14/12*(1+'Assumptions'!$B$26)*(1+'Assumptions'!$B$27)^0*(1-IF(5&lt;=$G14,$F14,0)),0)</f>
        <v/>
      </c>
      <c r="N14" s="22">
        <f>IF(6&gt;=$C14,$B14/12*(1+'Assumptions'!$B$26)*(1+'Assumptions'!$B$27)^0*(1-IF(6&lt;=$G14,$F14,0)),0)</f>
        <v/>
      </c>
      <c r="O14" s="22">
        <f>IF(7&gt;=$C14,$B14/12*(1+'Assumptions'!$B$26)*(1+'Assumptions'!$B$27)^0*(1-IF(7&lt;=$G14,$F14,0)),0)</f>
        <v/>
      </c>
      <c r="P14" s="22">
        <f>IF(8&gt;=$C14,$B14/12*(1+'Assumptions'!$B$26)*(1+'Assumptions'!$B$27)^0*(1-IF(8&lt;=$G14,$F14,0)),0)</f>
        <v/>
      </c>
      <c r="Q14" s="22">
        <f>IF(9&gt;=$C14,$B14/12*(1+'Assumptions'!$B$26)*(1+'Assumptions'!$B$27)^0*(1-IF(9&lt;=$G14,$F14,0)),0)</f>
        <v/>
      </c>
      <c r="R14" s="22">
        <f>IF(10&gt;=$C14,$B14/12*(1+'Assumptions'!$B$26)*(1+'Assumptions'!$B$27)^0*(1-IF(10&lt;=$G14,$F14,0)),0)</f>
        <v/>
      </c>
      <c r="S14" s="22">
        <f>IF(11&gt;=$C14,$B14/12*(1+'Assumptions'!$B$26)*(1+'Assumptions'!$B$27)^0*(1-IF(11&lt;=$G14,$F14,0)),0)</f>
        <v/>
      </c>
      <c r="T14" s="22">
        <f>IF(12&gt;=$C14,$B14/12*(1+'Assumptions'!$B$26)*(1+'Assumptions'!$B$27)^0*(1-IF(12&lt;=$G14,$F14,0)),0)</f>
        <v/>
      </c>
      <c r="U14" s="22">
        <f>IF(13&gt;=$C14,$B14/12*(1+'Assumptions'!$B$26)*(1+'Assumptions'!$B$27)^1*(1-IF(13&lt;=$G14,$F14,0)),0)</f>
        <v/>
      </c>
      <c r="V14" s="22">
        <f>IF(14&gt;=$C14,$B14/12*(1+'Assumptions'!$B$26)*(1+'Assumptions'!$B$27)^1*(1-IF(14&lt;=$G14,$F14,0)),0)</f>
        <v/>
      </c>
      <c r="W14" s="22">
        <f>IF(15&gt;=$C14,$B14/12*(1+'Assumptions'!$B$26)*(1+'Assumptions'!$B$27)^1*(1-IF(15&lt;=$G14,$F14,0)),0)</f>
        <v/>
      </c>
      <c r="X14" s="22">
        <f>IF(16&gt;=$C14,$B14/12*(1+'Assumptions'!$B$26)*(1+'Assumptions'!$B$27)^1*(1-IF(16&lt;=$G14,$F14,0)),0)</f>
        <v/>
      </c>
      <c r="Y14" s="22">
        <f>IF(17&gt;=$C14,$B14/12*(1+'Assumptions'!$B$26)*(1+'Assumptions'!$B$27)^1*(1-IF(17&lt;=$G14,$F14,0)),0)</f>
        <v/>
      </c>
      <c r="Z14" s="22">
        <f>IF(18&gt;=$C14,$B14/12*(1+'Assumptions'!$B$26)*(1+'Assumptions'!$B$27)^1*(1-IF(18&lt;=$G14,$F14,0)),0)</f>
        <v/>
      </c>
      <c r="AA14" s="22">
        <f>IF(19&gt;=$C14,$B14/12*(1+'Assumptions'!$B$26)*(1+'Assumptions'!$B$27)^1*(1-IF(19&lt;=$G14,$F14,0)),0)</f>
        <v/>
      </c>
      <c r="AB14" s="22">
        <f>IF(20&gt;=$C14,$B14/12*(1+'Assumptions'!$B$26)*(1+'Assumptions'!$B$27)^1*(1-IF(20&lt;=$G14,$F14,0)),0)</f>
        <v/>
      </c>
      <c r="AC14" s="22">
        <f>IF(21&gt;=$C14,$B14/12*(1+'Assumptions'!$B$26)*(1+'Assumptions'!$B$27)^1*(1-IF(21&lt;=$G14,$F14,0)),0)</f>
        <v/>
      </c>
      <c r="AD14" s="22">
        <f>IF(22&gt;=$C14,$B14/12*(1+'Assumptions'!$B$26)*(1+'Assumptions'!$B$27)^1*(1-IF(22&lt;=$G14,$F14,0)),0)</f>
        <v/>
      </c>
      <c r="AE14" s="22">
        <f>IF(23&gt;=$C14,$B14/12*(1+'Assumptions'!$B$26)*(1+'Assumptions'!$B$27)^1*(1-IF(23&lt;=$G14,$F14,0)),0)</f>
        <v/>
      </c>
      <c r="AF14" s="22">
        <f>IF(24&gt;=$C14,$B14/12*(1+'Assumptions'!$B$26)*(1+'Assumptions'!$B$27)^1*(1-IF(24&lt;=$G14,$F14,0)),0)</f>
        <v/>
      </c>
      <c r="AG14" s="22">
        <f>IF(25&gt;=$C14,$B14/12*(1+'Assumptions'!$B$26)*(1+'Assumptions'!$B$27)^2*(1-IF(25&lt;=$G14,$F14,0)),0)</f>
        <v/>
      </c>
      <c r="AH14" s="22">
        <f>IF(26&gt;=$C14,$B14/12*(1+'Assumptions'!$B$26)*(1+'Assumptions'!$B$27)^2*(1-IF(26&lt;=$G14,$F14,0)),0)</f>
        <v/>
      </c>
      <c r="AI14" s="22">
        <f>IF(27&gt;=$C14,$B14/12*(1+'Assumptions'!$B$26)*(1+'Assumptions'!$B$27)^2*(1-IF(27&lt;=$G14,$F14,0)),0)</f>
        <v/>
      </c>
      <c r="AJ14" s="22">
        <f>IF(28&gt;=$C14,$B14/12*(1+'Assumptions'!$B$26)*(1+'Assumptions'!$B$27)^2*(1-IF(28&lt;=$G14,$F14,0)),0)</f>
        <v/>
      </c>
      <c r="AK14" s="22">
        <f>IF(29&gt;=$C14,$B14/12*(1+'Assumptions'!$B$26)*(1+'Assumptions'!$B$27)^2*(1-IF(29&lt;=$G14,$F14,0)),0)</f>
        <v/>
      </c>
      <c r="AL14" s="22">
        <f>IF(30&gt;=$C14,$B14/12*(1+'Assumptions'!$B$26)*(1+'Assumptions'!$B$27)^2*(1-IF(30&lt;=$G14,$F14,0)),0)</f>
        <v/>
      </c>
      <c r="AM14" s="22">
        <f>IF(31&gt;=$C14,$B14/12*(1+'Assumptions'!$B$26)*(1+'Assumptions'!$B$27)^2*(1-IF(31&lt;=$G14,$F14,0)),0)</f>
        <v/>
      </c>
      <c r="AN14" s="22">
        <f>IF(32&gt;=$C14,$B14/12*(1+'Assumptions'!$B$26)*(1+'Assumptions'!$B$27)^2*(1-IF(32&lt;=$G14,$F14,0)),0)</f>
        <v/>
      </c>
      <c r="AO14" s="22">
        <f>IF(33&gt;=$C14,$B14/12*(1+'Assumptions'!$B$26)*(1+'Assumptions'!$B$27)^2*(1-IF(33&lt;=$G14,$F14,0)),0)</f>
        <v/>
      </c>
      <c r="AP14" s="22">
        <f>IF(34&gt;=$C14,$B14/12*(1+'Assumptions'!$B$26)*(1+'Assumptions'!$B$27)^2*(1-IF(34&lt;=$G14,$F14,0)),0)</f>
        <v/>
      </c>
      <c r="AQ14" s="22">
        <f>IF(35&gt;=$C14,$B14/12*(1+'Assumptions'!$B$26)*(1+'Assumptions'!$B$27)^2*(1-IF(35&lt;=$G14,$F14,0)),0)</f>
        <v/>
      </c>
      <c r="AR14" s="22">
        <f>IF(36&gt;=$C14,$B14/12*(1+'Assumptions'!$B$26)*(1+'Assumptions'!$B$27)^2*(1-IF(36&lt;=$G14,$F14,0)),0)</f>
        <v/>
      </c>
    </row>
    <row r="15">
      <c r="A15" s="4" t="inlineStr">
        <is>
          <t>FT LVN - visits / on-call - Core IDG LVN (converts PRN LVN</t>
        </is>
      </c>
      <c r="B15" s="11" t="n">
        <v>52000</v>
      </c>
      <c r="C15" s="8" t="n">
        <v>8</v>
      </c>
      <c r="D15" s="25" t="inlineStr">
        <is>
          <t>D</t>
        </is>
      </c>
      <c r="E15" s="8" t="n">
        <v>3</v>
      </c>
      <c r="F15" s="26">
        <f>IF(0,'Assumptions'!$B$28,0)</f>
        <v/>
      </c>
      <c r="G15" s="24">
        <f>'Assumptions'!$B$29</f>
        <v/>
      </c>
      <c r="I15" s="22">
        <f>IF(1&gt;=$C15,$B15/12*(1+'Assumptions'!$B$26)*(1+'Assumptions'!$B$27)^0*(1-IF(1&lt;=$G15,$F15,0)),0)</f>
        <v/>
      </c>
      <c r="J15" s="22">
        <f>IF(2&gt;=$C15,$B15/12*(1+'Assumptions'!$B$26)*(1+'Assumptions'!$B$27)^0*(1-IF(2&lt;=$G15,$F15,0)),0)</f>
        <v/>
      </c>
      <c r="K15" s="22">
        <f>IF(3&gt;=$C15,$B15/12*(1+'Assumptions'!$B$26)*(1+'Assumptions'!$B$27)^0*(1-IF(3&lt;=$G15,$F15,0)),0)</f>
        <v/>
      </c>
      <c r="L15" s="22">
        <f>IF(4&gt;=$C15,$B15/12*(1+'Assumptions'!$B$26)*(1+'Assumptions'!$B$27)^0*(1-IF(4&lt;=$G15,$F15,0)),0)</f>
        <v/>
      </c>
      <c r="M15" s="22">
        <f>IF(5&gt;=$C15,$B15/12*(1+'Assumptions'!$B$26)*(1+'Assumptions'!$B$27)^0*(1-IF(5&lt;=$G15,$F15,0)),0)</f>
        <v/>
      </c>
      <c r="N15" s="22">
        <f>IF(6&gt;=$C15,$B15/12*(1+'Assumptions'!$B$26)*(1+'Assumptions'!$B$27)^0*(1-IF(6&lt;=$G15,$F15,0)),0)</f>
        <v/>
      </c>
      <c r="O15" s="22">
        <f>IF(7&gt;=$C15,$B15/12*(1+'Assumptions'!$B$26)*(1+'Assumptions'!$B$27)^0*(1-IF(7&lt;=$G15,$F15,0)),0)</f>
        <v/>
      </c>
      <c r="P15" s="22">
        <f>IF(8&gt;=$C15,$B15/12*(1+'Assumptions'!$B$26)*(1+'Assumptions'!$B$27)^0*(1-IF(8&lt;=$G15,$F15,0)),0)</f>
        <v/>
      </c>
      <c r="Q15" s="22">
        <f>IF(9&gt;=$C15,$B15/12*(1+'Assumptions'!$B$26)*(1+'Assumptions'!$B$27)^0*(1-IF(9&lt;=$G15,$F15,0)),0)</f>
        <v/>
      </c>
      <c r="R15" s="22">
        <f>IF(10&gt;=$C15,$B15/12*(1+'Assumptions'!$B$26)*(1+'Assumptions'!$B$27)^0*(1-IF(10&lt;=$G15,$F15,0)),0)</f>
        <v/>
      </c>
      <c r="S15" s="22">
        <f>IF(11&gt;=$C15,$B15/12*(1+'Assumptions'!$B$26)*(1+'Assumptions'!$B$27)^0*(1-IF(11&lt;=$G15,$F15,0)),0)</f>
        <v/>
      </c>
      <c r="T15" s="22">
        <f>IF(12&gt;=$C15,$B15/12*(1+'Assumptions'!$B$26)*(1+'Assumptions'!$B$27)^0*(1-IF(12&lt;=$G15,$F15,0)),0)</f>
        <v/>
      </c>
      <c r="U15" s="22">
        <f>IF(13&gt;=$C15,$B15/12*(1+'Assumptions'!$B$26)*(1+'Assumptions'!$B$27)^1*(1-IF(13&lt;=$G15,$F15,0)),0)</f>
        <v/>
      </c>
      <c r="V15" s="22">
        <f>IF(14&gt;=$C15,$B15/12*(1+'Assumptions'!$B$26)*(1+'Assumptions'!$B$27)^1*(1-IF(14&lt;=$G15,$F15,0)),0)</f>
        <v/>
      </c>
      <c r="W15" s="22">
        <f>IF(15&gt;=$C15,$B15/12*(1+'Assumptions'!$B$26)*(1+'Assumptions'!$B$27)^1*(1-IF(15&lt;=$G15,$F15,0)),0)</f>
        <v/>
      </c>
      <c r="X15" s="22">
        <f>IF(16&gt;=$C15,$B15/12*(1+'Assumptions'!$B$26)*(1+'Assumptions'!$B$27)^1*(1-IF(16&lt;=$G15,$F15,0)),0)</f>
        <v/>
      </c>
      <c r="Y15" s="22">
        <f>IF(17&gt;=$C15,$B15/12*(1+'Assumptions'!$B$26)*(1+'Assumptions'!$B$27)^1*(1-IF(17&lt;=$G15,$F15,0)),0)</f>
        <v/>
      </c>
      <c r="Z15" s="22">
        <f>IF(18&gt;=$C15,$B15/12*(1+'Assumptions'!$B$26)*(1+'Assumptions'!$B$27)^1*(1-IF(18&lt;=$G15,$F15,0)),0)</f>
        <v/>
      </c>
      <c r="AA15" s="22">
        <f>IF(19&gt;=$C15,$B15/12*(1+'Assumptions'!$B$26)*(1+'Assumptions'!$B$27)^1*(1-IF(19&lt;=$G15,$F15,0)),0)</f>
        <v/>
      </c>
      <c r="AB15" s="22">
        <f>IF(20&gt;=$C15,$B15/12*(1+'Assumptions'!$B$26)*(1+'Assumptions'!$B$27)^1*(1-IF(20&lt;=$G15,$F15,0)),0)</f>
        <v/>
      </c>
      <c r="AC15" s="22">
        <f>IF(21&gt;=$C15,$B15/12*(1+'Assumptions'!$B$26)*(1+'Assumptions'!$B$27)^1*(1-IF(21&lt;=$G15,$F15,0)),0)</f>
        <v/>
      </c>
      <c r="AD15" s="22">
        <f>IF(22&gt;=$C15,$B15/12*(1+'Assumptions'!$B$26)*(1+'Assumptions'!$B$27)^1*(1-IF(22&lt;=$G15,$F15,0)),0)</f>
        <v/>
      </c>
      <c r="AE15" s="22">
        <f>IF(23&gt;=$C15,$B15/12*(1+'Assumptions'!$B$26)*(1+'Assumptions'!$B$27)^1*(1-IF(23&lt;=$G15,$F15,0)),0)</f>
        <v/>
      </c>
      <c r="AF15" s="22">
        <f>IF(24&gt;=$C15,$B15/12*(1+'Assumptions'!$B$26)*(1+'Assumptions'!$B$27)^1*(1-IF(24&lt;=$G15,$F15,0)),0)</f>
        <v/>
      </c>
      <c r="AG15" s="22">
        <f>IF(25&gt;=$C15,$B15/12*(1+'Assumptions'!$B$26)*(1+'Assumptions'!$B$27)^2*(1-IF(25&lt;=$G15,$F15,0)),0)</f>
        <v/>
      </c>
      <c r="AH15" s="22">
        <f>IF(26&gt;=$C15,$B15/12*(1+'Assumptions'!$B$26)*(1+'Assumptions'!$B$27)^2*(1-IF(26&lt;=$G15,$F15,0)),0)</f>
        <v/>
      </c>
      <c r="AI15" s="22">
        <f>IF(27&gt;=$C15,$B15/12*(1+'Assumptions'!$B$26)*(1+'Assumptions'!$B$27)^2*(1-IF(27&lt;=$G15,$F15,0)),0)</f>
        <v/>
      </c>
      <c r="AJ15" s="22">
        <f>IF(28&gt;=$C15,$B15/12*(1+'Assumptions'!$B$26)*(1+'Assumptions'!$B$27)^2*(1-IF(28&lt;=$G15,$F15,0)),0)</f>
        <v/>
      </c>
      <c r="AK15" s="22">
        <f>IF(29&gt;=$C15,$B15/12*(1+'Assumptions'!$B$26)*(1+'Assumptions'!$B$27)^2*(1-IF(29&lt;=$G15,$F15,0)),0)</f>
        <v/>
      </c>
      <c r="AL15" s="22">
        <f>IF(30&gt;=$C15,$B15/12*(1+'Assumptions'!$B$26)*(1+'Assumptions'!$B$27)^2*(1-IF(30&lt;=$G15,$F15,0)),0)</f>
        <v/>
      </c>
      <c r="AM15" s="22">
        <f>IF(31&gt;=$C15,$B15/12*(1+'Assumptions'!$B$26)*(1+'Assumptions'!$B$27)^2*(1-IF(31&lt;=$G15,$F15,0)),0)</f>
        <v/>
      </c>
      <c r="AN15" s="22">
        <f>IF(32&gt;=$C15,$B15/12*(1+'Assumptions'!$B$26)*(1+'Assumptions'!$B$27)^2*(1-IF(32&lt;=$G15,$F15,0)),0)</f>
        <v/>
      </c>
      <c r="AO15" s="22">
        <f>IF(33&gt;=$C15,$B15/12*(1+'Assumptions'!$B$26)*(1+'Assumptions'!$B$27)^2*(1-IF(33&lt;=$G15,$F15,0)),0)</f>
        <v/>
      </c>
      <c r="AP15" s="22">
        <f>IF(34&gt;=$C15,$B15/12*(1+'Assumptions'!$B$26)*(1+'Assumptions'!$B$27)^2*(1-IF(34&lt;=$G15,$F15,0)),0)</f>
        <v/>
      </c>
      <c r="AQ15" s="22">
        <f>IF(35&gt;=$C15,$B15/12*(1+'Assumptions'!$B$26)*(1+'Assumptions'!$B$27)^2*(1-IF(35&lt;=$G15,$F15,0)),0)</f>
        <v/>
      </c>
      <c r="AR15" s="22">
        <f>IF(36&gt;=$C15,$B15/12*(1+'Assumptions'!$B$26)*(1+'Assumptions'!$B$27)^2*(1-IF(36&lt;=$G15,$F15,0)),0)</f>
        <v/>
      </c>
    </row>
    <row r="16">
      <c r="A16" s="4" t="inlineStr">
        <is>
          <t>FT Chaplain - Core IDG spiritual care (conve</t>
        </is>
      </c>
      <c r="B16" s="11" t="n">
        <v>55000</v>
      </c>
      <c r="C16" s="8" t="n">
        <v>10</v>
      </c>
      <c r="D16" s="25" t="inlineStr">
        <is>
          <t>D</t>
        </is>
      </c>
      <c r="E16" s="8" t="n">
        <v>3</v>
      </c>
      <c r="F16" s="26">
        <f>IF(0,'Assumptions'!$B$28,0)</f>
        <v/>
      </c>
      <c r="G16" s="24">
        <f>'Assumptions'!$B$29</f>
        <v/>
      </c>
      <c r="I16" s="22">
        <f>IF(1&gt;=$C16,$B16/12*(1+'Assumptions'!$B$26)*(1+'Assumptions'!$B$27)^0*(1-IF(1&lt;=$G16,$F16,0)),0)</f>
        <v/>
      </c>
      <c r="J16" s="22">
        <f>IF(2&gt;=$C16,$B16/12*(1+'Assumptions'!$B$26)*(1+'Assumptions'!$B$27)^0*(1-IF(2&lt;=$G16,$F16,0)),0)</f>
        <v/>
      </c>
      <c r="K16" s="22">
        <f>IF(3&gt;=$C16,$B16/12*(1+'Assumptions'!$B$26)*(1+'Assumptions'!$B$27)^0*(1-IF(3&lt;=$G16,$F16,0)),0)</f>
        <v/>
      </c>
      <c r="L16" s="22">
        <f>IF(4&gt;=$C16,$B16/12*(1+'Assumptions'!$B$26)*(1+'Assumptions'!$B$27)^0*(1-IF(4&lt;=$G16,$F16,0)),0)</f>
        <v/>
      </c>
      <c r="M16" s="22">
        <f>IF(5&gt;=$C16,$B16/12*(1+'Assumptions'!$B$26)*(1+'Assumptions'!$B$27)^0*(1-IF(5&lt;=$G16,$F16,0)),0)</f>
        <v/>
      </c>
      <c r="N16" s="22">
        <f>IF(6&gt;=$C16,$B16/12*(1+'Assumptions'!$B$26)*(1+'Assumptions'!$B$27)^0*(1-IF(6&lt;=$G16,$F16,0)),0)</f>
        <v/>
      </c>
      <c r="O16" s="22">
        <f>IF(7&gt;=$C16,$B16/12*(1+'Assumptions'!$B$26)*(1+'Assumptions'!$B$27)^0*(1-IF(7&lt;=$G16,$F16,0)),0)</f>
        <v/>
      </c>
      <c r="P16" s="22">
        <f>IF(8&gt;=$C16,$B16/12*(1+'Assumptions'!$B$26)*(1+'Assumptions'!$B$27)^0*(1-IF(8&lt;=$G16,$F16,0)),0)</f>
        <v/>
      </c>
      <c r="Q16" s="22">
        <f>IF(9&gt;=$C16,$B16/12*(1+'Assumptions'!$B$26)*(1+'Assumptions'!$B$27)^0*(1-IF(9&lt;=$G16,$F16,0)),0)</f>
        <v/>
      </c>
      <c r="R16" s="22">
        <f>IF(10&gt;=$C16,$B16/12*(1+'Assumptions'!$B$26)*(1+'Assumptions'!$B$27)^0*(1-IF(10&lt;=$G16,$F16,0)),0)</f>
        <v/>
      </c>
      <c r="S16" s="22">
        <f>IF(11&gt;=$C16,$B16/12*(1+'Assumptions'!$B$26)*(1+'Assumptions'!$B$27)^0*(1-IF(11&lt;=$G16,$F16,0)),0)</f>
        <v/>
      </c>
      <c r="T16" s="22">
        <f>IF(12&gt;=$C16,$B16/12*(1+'Assumptions'!$B$26)*(1+'Assumptions'!$B$27)^0*(1-IF(12&lt;=$G16,$F16,0)),0)</f>
        <v/>
      </c>
      <c r="U16" s="22">
        <f>IF(13&gt;=$C16,$B16/12*(1+'Assumptions'!$B$26)*(1+'Assumptions'!$B$27)^1*(1-IF(13&lt;=$G16,$F16,0)),0)</f>
        <v/>
      </c>
      <c r="V16" s="22">
        <f>IF(14&gt;=$C16,$B16/12*(1+'Assumptions'!$B$26)*(1+'Assumptions'!$B$27)^1*(1-IF(14&lt;=$G16,$F16,0)),0)</f>
        <v/>
      </c>
      <c r="W16" s="22">
        <f>IF(15&gt;=$C16,$B16/12*(1+'Assumptions'!$B$26)*(1+'Assumptions'!$B$27)^1*(1-IF(15&lt;=$G16,$F16,0)),0)</f>
        <v/>
      </c>
      <c r="X16" s="22">
        <f>IF(16&gt;=$C16,$B16/12*(1+'Assumptions'!$B$26)*(1+'Assumptions'!$B$27)^1*(1-IF(16&lt;=$G16,$F16,0)),0)</f>
        <v/>
      </c>
      <c r="Y16" s="22">
        <f>IF(17&gt;=$C16,$B16/12*(1+'Assumptions'!$B$26)*(1+'Assumptions'!$B$27)^1*(1-IF(17&lt;=$G16,$F16,0)),0)</f>
        <v/>
      </c>
      <c r="Z16" s="22">
        <f>IF(18&gt;=$C16,$B16/12*(1+'Assumptions'!$B$26)*(1+'Assumptions'!$B$27)^1*(1-IF(18&lt;=$G16,$F16,0)),0)</f>
        <v/>
      </c>
      <c r="AA16" s="22">
        <f>IF(19&gt;=$C16,$B16/12*(1+'Assumptions'!$B$26)*(1+'Assumptions'!$B$27)^1*(1-IF(19&lt;=$G16,$F16,0)),0)</f>
        <v/>
      </c>
      <c r="AB16" s="22">
        <f>IF(20&gt;=$C16,$B16/12*(1+'Assumptions'!$B$26)*(1+'Assumptions'!$B$27)^1*(1-IF(20&lt;=$G16,$F16,0)),0)</f>
        <v/>
      </c>
      <c r="AC16" s="22">
        <f>IF(21&gt;=$C16,$B16/12*(1+'Assumptions'!$B$26)*(1+'Assumptions'!$B$27)^1*(1-IF(21&lt;=$G16,$F16,0)),0)</f>
        <v/>
      </c>
      <c r="AD16" s="22">
        <f>IF(22&gt;=$C16,$B16/12*(1+'Assumptions'!$B$26)*(1+'Assumptions'!$B$27)^1*(1-IF(22&lt;=$G16,$F16,0)),0)</f>
        <v/>
      </c>
      <c r="AE16" s="22">
        <f>IF(23&gt;=$C16,$B16/12*(1+'Assumptions'!$B$26)*(1+'Assumptions'!$B$27)^1*(1-IF(23&lt;=$G16,$F16,0)),0)</f>
        <v/>
      </c>
      <c r="AF16" s="22">
        <f>IF(24&gt;=$C16,$B16/12*(1+'Assumptions'!$B$26)*(1+'Assumptions'!$B$27)^1*(1-IF(24&lt;=$G16,$F16,0)),0)</f>
        <v/>
      </c>
      <c r="AG16" s="22">
        <f>IF(25&gt;=$C16,$B16/12*(1+'Assumptions'!$B$26)*(1+'Assumptions'!$B$27)^2*(1-IF(25&lt;=$G16,$F16,0)),0)</f>
        <v/>
      </c>
      <c r="AH16" s="22">
        <f>IF(26&gt;=$C16,$B16/12*(1+'Assumptions'!$B$26)*(1+'Assumptions'!$B$27)^2*(1-IF(26&lt;=$G16,$F16,0)),0)</f>
        <v/>
      </c>
      <c r="AI16" s="22">
        <f>IF(27&gt;=$C16,$B16/12*(1+'Assumptions'!$B$26)*(1+'Assumptions'!$B$27)^2*(1-IF(27&lt;=$G16,$F16,0)),0)</f>
        <v/>
      </c>
      <c r="AJ16" s="22">
        <f>IF(28&gt;=$C16,$B16/12*(1+'Assumptions'!$B$26)*(1+'Assumptions'!$B$27)^2*(1-IF(28&lt;=$G16,$F16,0)),0)</f>
        <v/>
      </c>
      <c r="AK16" s="22">
        <f>IF(29&gt;=$C16,$B16/12*(1+'Assumptions'!$B$26)*(1+'Assumptions'!$B$27)^2*(1-IF(29&lt;=$G16,$F16,0)),0)</f>
        <v/>
      </c>
      <c r="AL16" s="22">
        <f>IF(30&gt;=$C16,$B16/12*(1+'Assumptions'!$B$26)*(1+'Assumptions'!$B$27)^2*(1-IF(30&lt;=$G16,$F16,0)),0)</f>
        <v/>
      </c>
      <c r="AM16" s="22">
        <f>IF(31&gt;=$C16,$B16/12*(1+'Assumptions'!$B$26)*(1+'Assumptions'!$B$27)^2*(1-IF(31&lt;=$G16,$F16,0)),0)</f>
        <v/>
      </c>
      <c r="AN16" s="22">
        <f>IF(32&gt;=$C16,$B16/12*(1+'Assumptions'!$B$26)*(1+'Assumptions'!$B$27)^2*(1-IF(32&lt;=$G16,$F16,0)),0)</f>
        <v/>
      </c>
      <c r="AO16" s="22">
        <f>IF(33&gt;=$C16,$B16/12*(1+'Assumptions'!$B$26)*(1+'Assumptions'!$B$27)^2*(1-IF(33&lt;=$G16,$F16,0)),0)</f>
        <v/>
      </c>
      <c r="AP16" s="22">
        <f>IF(34&gt;=$C16,$B16/12*(1+'Assumptions'!$B$26)*(1+'Assumptions'!$B$27)^2*(1-IF(34&lt;=$G16,$F16,0)),0)</f>
        <v/>
      </c>
      <c r="AQ16" s="22">
        <f>IF(35&gt;=$C16,$B16/12*(1+'Assumptions'!$B$26)*(1+'Assumptions'!$B$27)^2*(1-IF(35&lt;=$G16,$F16,0)),0)</f>
        <v/>
      </c>
      <c r="AR16" s="22">
        <f>IF(36&gt;=$C16,$B16/12*(1+'Assumptions'!$B$26)*(1+'Assumptions'!$B$27)^2*(1-IF(36&lt;=$G16,$F16,0)),0)</f>
        <v/>
      </c>
    </row>
    <row r="17">
      <c r="A17" s="4" t="inlineStr">
        <is>
          <t>Capacity hire - 3rd RN - RN Case Manager (capacity-driv  [census-triggered - slip if ramp lags]</t>
        </is>
      </c>
      <c r="B17" s="11" t="n">
        <v>76256</v>
      </c>
      <c r="C17" s="8" t="n">
        <v>4</v>
      </c>
      <c r="D17" s="25" t="inlineStr">
        <is>
          <t>D</t>
        </is>
      </c>
      <c r="E17" s="8" t="n">
        <v>3</v>
      </c>
      <c r="F17" s="26">
        <f>IF(0,'Assumptions'!$B$28,0)</f>
        <v/>
      </c>
      <c r="G17" s="24">
        <f>'Assumptions'!$B$29</f>
        <v/>
      </c>
      <c r="I17" s="22">
        <f>IF(1&gt;=$C17,$B17/12*(1+'Assumptions'!$B$26)*(1+'Assumptions'!$B$27)^0*(1-IF(1&lt;=$G17,$F17,0)),0)</f>
        <v/>
      </c>
      <c r="J17" s="22">
        <f>IF(2&gt;=$C17,$B17/12*(1+'Assumptions'!$B$26)*(1+'Assumptions'!$B$27)^0*(1-IF(2&lt;=$G17,$F17,0)),0)</f>
        <v/>
      </c>
      <c r="K17" s="22">
        <f>IF(3&gt;=$C17,$B17/12*(1+'Assumptions'!$B$26)*(1+'Assumptions'!$B$27)^0*(1-IF(3&lt;=$G17,$F17,0)),0)</f>
        <v/>
      </c>
      <c r="L17" s="22">
        <f>IF(4&gt;=$C17,$B17/12*(1+'Assumptions'!$B$26)*(1+'Assumptions'!$B$27)^0*(1-IF(4&lt;=$G17,$F17,0)),0)</f>
        <v/>
      </c>
      <c r="M17" s="22">
        <f>IF(5&gt;=$C17,$B17/12*(1+'Assumptions'!$B$26)*(1+'Assumptions'!$B$27)^0*(1-IF(5&lt;=$G17,$F17,0)),0)</f>
        <v/>
      </c>
      <c r="N17" s="22">
        <f>IF(6&gt;=$C17,$B17/12*(1+'Assumptions'!$B$26)*(1+'Assumptions'!$B$27)^0*(1-IF(6&lt;=$G17,$F17,0)),0)</f>
        <v/>
      </c>
      <c r="O17" s="22">
        <f>IF(7&gt;=$C17,$B17/12*(1+'Assumptions'!$B$26)*(1+'Assumptions'!$B$27)^0*(1-IF(7&lt;=$G17,$F17,0)),0)</f>
        <v/>
      </c>
      <c r="P17" s="22">
        <f>IF(8&gt;=$C17,$B17/12*(1+'Assumptions'!$B$26)*(1+'Assumptions'!$B$27)^0*(1-IF(8&lt;=$G17,$F17,0)),0)</f>
        <v/>
      </c>
      <c r="Q17" s="22">
        <f>IF(9&gt;=$C17,$B17/12*(1+'Assumptions'!$B$26)*(1+'Assumptions'!$B$27)^0*(1-IF(9&lt;=$G17,$F17,0)),0)</f>
        <v/>
      </c>
      <c r="R17" s="22">
        <f>IF(10&gt;=$C17,$B17/12*(1+'Assumptions'!$B$26)*(1+'Assumptions'!$B$27)^0*(1-IF(10&lt;=$G17,$F17,0)),0)</f>
        <v/>
      </c>
      <c r="S17" s="22">
        <f>IF(11&gt;=$C17,$B17/12*(1+'Assumptions'!$B$26)*(1+'Assumptions'!$B$27)^0*(1-IF(11&lt;=$G17,$F17,0)),0)</f>
        <v/>
      </c>
      <c r="T17" s="22">
        <f>IF(12&gt;=$C17,$B17/12*(1+'Assumptions'!$B$26)*(1+'Assumptions'!$B$27)^0*(1-IF(12&lt;=$G17,$F17,0)),0)</f>
        <v/>
      </c>
      <c r="U17" s="22">
        <f>IF(13&gt;=$C17,$B17/12*(1+'Assumptions'!$B$26)*(1+'Assumptions'!$B$27)^1*(1-IF(13&lt;=$G17,$F17,0)),0)</f>
        <v/>
      </c>
      <c r="V17" s="22">
        <f>IF(14&gt;=$C17,$B17/12*(1+'Assumptions'!$B$26)*(1+'Assumptions'!$B$27)^1*(1-IF(14&lt;=$G17,$F17,0)),0)</f>
        <v/>
      </c>
      <c r="W17" s="22">
        <f>IF(15&gt;=$C17,$B17/12*(1+'Assumptions'!$B$26)*(1+'Assumptions'!$B$27)^1*(1-IF(15&lt;=$G17,$F17,0)),0)</f>
        <v/>
      </c>
      <c r="X17" s="22">
        <f>IF(16&gt;=$C17,$B17/12*(1+'Assumptions'!$B$26)*(1+'Assumptions'!$B$27)^1*(1-IF(16&lt;=$G17,$F17,0)),0)</f>
        <v/>
      </c>
      <c r="Y17" s="22">
        <f>IF(17&gt;=$C17,$B17/12*(1+'Assumptions'!$B$26)*(1+'Assumptions'!$B$27)^1*(1-IF(17&lt;=$G17,$F17,0)),0)</f>
        <v/>
      </c>
      <c r="Z17" s="22">
        <f>IF(18&gt;=$C17,$B17/12*(1+'Assumptions'!$B$26)*(1+'Assumptions'!$B$27)^1*(1-IF(18&lt;=$G17,$F17,0)),0)</f>
        <v/>
      </c>
      <c r="AA17" s="22">
        <f>IF(19&gt;=$C17,$B17/12*(1+'Assumptions'!$B$26)*(1+'Assumptions'!$B$27)^1*(1-IF(19&lt;=$G17,$F17,0)),0)</f>
        <v/>
      </c>
      <c r="AB17" s="22">
        <f>IF(20&gt;=$C17,$B17/12*(1+'Assumptions'!$B$26)*(1+'Assumptions'!$B$27)^1*(1-IF(20&lt;=$G17,$F17,0)),0)</f>
        <v/>
      </c>
      <c r="AC17" s="22">
        <f>IF(21&gt;=$C17,$B17/12*(1+'Assumptions'!$B$26)*(1+'Assumptions'!$B$27)^1*(1-IF(21&lt;=$G17,$F17,0)),0)</f>
        <v/>
      </c>
      <c r="AD17" s="22">
        <f>IF(22&gt;=$C17,$B17/12*(1+'Assumptions'!$B$26)*(1+'Assumptions'!$B$27)^1*(1-IF(22&lt;=$G17,$F17,0)),0)</f>
        <v/>
      </c>
      <c r="AE17" s="22">
        <f>IF(23&gt;=$C17,$B17/12*(1+'Assumptions'!$B$26)*(1+'Assumptions'!$B$27)^1*(1-IF(23&lt;=$G17,$F17,0)),0)</f>
        <v/>
      </c>
      <c r="AF17" s="22">
        <f>IF(24&gt;=$C17,$B17/12*(1+'Assumptions'!$B$26)*(1+'Assumptions'!$B$27)^1*(1-IF(24&lt;=$G17,$F17,0)),0)</f>
        <v/>
      </c>
      <c r="AG17" s="22">
        <f>IF(25&gt;=$C17,$B17/12*(1+'Assumptions'!$B$26)*(1+'Assumptions'!$B$27)^2*(1-IF(25&lt;=$G17,$F17,0)),0)</f>
        <v/>
      </c>
      <c r="AH17" s="22">
        <f>IF(26&gt;=$C17,$B17/12*(1+'Assumptions'!$B$26)*(1+'Assumptions'!$B$27)^2*(1-IF(26&lt;=$G17,$F17,0)),0)</f>
        <v/>
      </c>
      <c r="AI17" s="22">
        <f>IF(27&gt;=$C17,$B17/12*(1+'Assumptions'!$B$26)*(1+'Assumptions'!$B$27)^2*(1-IF(27&lt;=$G17,$F17,0)),0)</f>
        <v/>
      </c>
      <c r="AJ17" s="22">
        <f>IF(28&gt;=$C17,$B17/12*(1+'Assumptions'!$B$26)*(1+'Assumptions'!$B$27)^2*(1-IF(28&lt;=$G17,$F17,0)),0)</f>
        <v/>
      </c>
      <c r="AK17" s="22">
        <f>IF(29&gt;=$C17,$B17/12*(1+'Assumptions'!$B$26)*(1+'Assumptions'!$B$27)^2*(1-IF(29&lt;=$G17,$F17,0)),0)</f>
        <v/>
      </c>
      <c r="AL17" s="22">
        <f>IF(30&gt;=$C17,$B17/12*(1+'Assumptions'!$B$26)*(1+'Assumptions'!$B$27)^2*(1-IF(30&lt;=$G17,$F17,0)),0)</f>
        <v/>
      </c>
      <c r="AM17" s="22">
        <f>IF(31&gt;=$C17,$B17/12*(1+'Assumptions'!$B$26)*(1+'Assumptions'!$B$27)^2*(1-IF(31&lt;=$G17,$F17,0)),0)</f>
        <v/>
      </c>
      <c r="AN17" s="22">
        <f>IF(32&gt;=$C17,$B17/12*(1+'Assumptions'!$B$26)*(1+'Assumptions'!$B$27)^2*(1-IF(32&lt;=$G17,$F17,0)),0)</f>
        <v/>
      </c>
      <c r="AO17" s="22">
        <f>IF(33&gt;=$C17,$B17/12*(1+'Assumptions'!$B$26)*(1+'Assumptions'!$B$27)^2*(1-IF(33&lt;=$G17,$F17,0)),0)</f>
        <v/>
      </c>
      <c r="AP17" s="22">
        <f>IF(34&gt;=$C17,$B17/12*(1+'Assumptions'!$B$26)*(1+'Assumptions'!$B$27)^2*(1-IF(34&lt;=$G17,$F17,0)),0)</f>
        <v/>
      </c>
      <c r="AQ17" s="22">
        <f>IF(35&gt;=$C17,$B17/12*(1+'Assumptions'!$B$26)*(1+'Assumptions'!$B$27)^2*(1-IF(35&lt;=$G17,$F17,0)),0)</f>
        <v/>
      </c>
      <c r="AR17" s="22">
        <f>IF(36&gt;=$C17,$B17/12*(1+'Assumptions'!$B$26)*(1+'Assumptions'!$B$27)^2*(1-IF(36&lt;=$G17,$F17,0)),0)</f>
        <v/>
      </c>
    </row>
    <row r="18">
      <c r="A18" s="4" t="inlineStr">
        <is>
          <t>Capacity hire - 3rd CNA - CNA / Hospice Aide (capacity-d  [census-triggered - slip if ramp lags]</t>
        </is>
      </c>
      <c r="B18" s="11" t="n">
        <v>46511</v>
      </c>
      <c r="C18" s="8" t="n">
        <v>5</v>
      </c>
      <c r="D18" s="25" t="inlineStr">
        <is>
          <t>D</t>
        </is>
      </c>
      <c r="E18" s="8" t="n">
        <v>3</v>
      </c>
      <c r="F18" s="26">
        <f>IF(0,'Assumptions'!$B$28,0)</f>
        <v/>
      </c>
      <c r="G18" s="24">
        <f>'Assumptions'!$B$29</f>
        <v/>
      </c>
      <c r="I18" s="22">
        <f>IF(1&gt;=$C18,$B18/12*(1+'Assumptions'!$B$26)*(1+'Assumptions'!$B$27)^0*(1-IF(1&lt;=$G18,$F18,0)),0)</f>
        <v/>
      </c>
      <c r="J18" s="22">
        <f>IF(2&gt;=$C18,$B18/12*(1+'Assumptions'!$B$26)*(1+'Assumptions'!$B$27)^0*(1-IF(2&lt;=$G18,$F18,0)),0)</f>
        <v/>
      </c>
      <c r="K18" s="22">
        <f>IF(3&gt;=$C18,$B18/12*(1+'Assumptions'!$B$26)*(1+'Assumptions'!$B$27)^0*(1-IF(3&lt;=$G18,$F18,0)),0)</f>
        <v/>
      </c>
      <c r="L18" s="22">
        <f>IF(4&gt;=$C18,$B18/12*(1+'Assumptions'!$B$26)*(1+'Assumptions'!$B$27)^0*(1-IF(4&lt;=$G18,$F18,0)),0)</f>
        <v/>
      </c>
      <c r="M18" s="22">
        <f>IF(5&gt;=$C18,$B18/12*(1+'Assumptions'!$B$26)*(1+'Assumptions'!$B$27)^0*(1-IF(5&lt;=$G18,$F18,0)),0)</f>
        <v/>
      </c>
      <c r="N18" s="22">
        <f>IF(6&gt;=$C18,$B18/12*(1+'Assumptions'!$B$26)*(1+'Assumptions'!$B$27)^0*(1-IF(6&lt;=$G18,$F18,0)),0)</f>
        <v/>
      </c>
      <c r="O18" s="22">
        <f>IF(7&gt;=$C18,$B18/12*(1+'Assumptions'!$B$26)*(1+'Assumptions'!$B$27)^0*(1-IF(7&lt;=$G18,$F18,0)),0)</f>
        <v/>
      </c>
      <c r="P18" s="22">
        <f>IF(8&gt;=$C18,$B18/12*(1+'Assumptions'!$B$26)*(1+'Assumptions'!$B$27)^0*(1-IF(8&lt;=$G18,$F18,0)),0)</f>
        <v/>
      </c>
      <c r="Q18" s="22">
        <f>IF(9&gt;=$C18,$B18/12*(1+'Assumptions'!$B$26)*(1+'Assumptions'!$B$27)^0*(1-IF(9&lt;=$G18,$F18,0)),0)</f>
        <v/>
      </c>
      <c r="R18" s="22">
        <f>IF(10&gt;=$C18,$B18/12*(1+'Assumptions'!$B$26)*(1+'Assumptions'!$B$27)^0*(1-IF(10&lt;=$G18,$F18,0)),0)</f>
        <v/>
      </c>
      <c r="S18" s="22">
        <f>IF(11&gt;=$C18,$B18/12*(1+'Assumptions'!$B$26)*(1+'Assumptions'!$B$27)^0*(1-IF(11&lt;=$G18,$F18,0)),0)</f>
        <v/>
      </c>
      <c r="T18" s="22">
        <f>IF(12&gt;=$C18,$B18/12*(1+'Assumptions'!$B$26)*(1+'Assumptions'!$B$27)^0*(1-IF(12&lt;=$G18,$F18,0)),0)</f>
        <v/>
      </c>
      <c r="U18" s="22">
        <f>IF(13&gt;=$C18,$B18/12*(1+'Assumptions'!$B$26)*(1+'Assumptions'!$B$27)^1*(1-IF(13&lt;=$G18,$F18,0)),0)</f>
        <v/>
      </c>
      <c r="V18" s="22">
        <f>IF(14&gt;=$C18,$B18/12*(1+'Assumptions'!$B$26)*(1+'Assumptions'!$B$27)^1*(1-IF(14&lt;=$G18,$F18,0)),0)</f>
        <v/>
      </c>
      <c r="W18" s="22">
        <f>IF(15&gt;=$C18,$B18/12*(1+'Assumptions'!$B$26)*(1+'Assumptions'!$B$27)^1*(1-IF(15&lt;=$G18,$F18,0)),0)</f>
        <v/>
      </c>
      <c r="X18" s="22">
        <f>IF(16&gt;=$C18,$B18/12*(1+'Assumptions'!$B$26)*(1+'Assumptions'!$B$27)^1*(1-IF(16&lt;=$G18,$F18,0)),0)</f>
        <v/>
      </c>
      <c r="Y18" s="22">
        <f>IF(17&gt;=$C18,$B18/12*(1+'Assumptions'!$B$26)*(1+'Assumptions'!$B$27)^1*(1-IF(17&lt;=$G18,$F18,0)),0)</f>
        <v/>
      </c>
      <c r="Z18" s="22">
        <f>IF(18&gt;=$C18,$B18/12*(1+'Assumptions'!$B$26)*(1+'Assumptions'!$B$27)^1*(1-IF(18&lt;=$G18,$F18,0)),0)</f>
        <v/>
      </c>
      <c r="AA18" s="22">
        <f>IF(19&gt;=$C18,$B18/12*(1+'Assumptions'!$B$26)*(1+'Assumptions'!$B$27)^1*(1-IF(19&lt;=$G18,$F18,0)),0)</f>
        <v/>
      </c>
      <c r="AB18" s="22">
        <f>IF(20&gt;=$C18,$B18/12*(1+'Assumptions'!$B$26)*(1+'Assumptions'!$B$27)^1*(1-IF(20&lt;=$G18,$F18,0)),0)</f>
        <v/>
      </c>
      <c r="AC18" s="22">
        <f>IF(21&gt;=$C18,$B18/12*(1+'Assumptions'!$B$26)*(1+'Assumptions'!$B$27)^1*(1-IF(21&lt;=$G18,$F18,0)),0)</f>
        <v/>
      </c>
      <c r="AD18" s="22">
        <f>IF(22&gt;=$C18,$B18/12*(1+'Assumptions'!$B$26)*(1+'Assumptions'!$B$27)^1*(1-IF(22&lt;=$G18,$F18,0)),0)</f>
        <v/>
      </c>
      <c r="AE18" s="22">
        <f>IF(23&gt;=$C18,$B18/12*(1+'Assumptions'!$B$26)*(1+'Assumptions'!$B$27)^1*(1-IF(23&lt;=$G18,$F18,0)),0)</f>
        <v/>
      </c>
      <c r="AF18" s="22">
        <f>IF(24&gt;=$C18,$B18/12*(1+'Assumptions'!$B$26)*(1+'Assumptions'!$B$27)^1*(1-IF(24&lt;=$G18,$F18,0)),0)</f>
        <v/>
      </c>
      <c r="AG18" s="22">
        <f>IF(25&gt;=$C18,$B18/12*(1+'Assumptions'!$B$26)*(1+'Assumptions'!$B$27)^2*(1-IF(25&lt;=$G18,$F18,0)),0)</f>
        <v/>
      </c>
      <c r="AH18" s="22">
        <f>IF(26&gt;=$C18,$B18/12*(1+'Assumptions'!$B$26)*(1+'Assumptions'!$B$27)^2*(1-IF(26&lt;=$G18,$F18,0)),0)</f>
        <v/>
      </c>
      <c r="AI18" s="22">
        <f>IF(27&gt;=$C18,$B18/12*(1+'Assumptions'!$B$26)*(1+'Assumptions'!$B$27)^2*(1-IF(27&lt;=$G18,$F18,0)),0)</f>
        <v/>
      </c>
      <c r="AJ18" s="22">
        <f>IF(28&gt;=$C18,$B18/12*(1+'Assumptions'!$B$26)*(1+'Assumptions'!$B$27)^2*(1-IF(28&lt;=$G18,$F18,0)),0)</f>
        <v/>
      </c>
      <c r="AK18" s="22">
        <f>IF(29&gt;=$C18,$B18/12*(1+'Assumptions'!$B$26)*(1+'Assumptions'!$B$27)^2*(1-IF(29&lt;=$G18,$F18,0)),0)</f>
        <v/>
      </c>
      <c r="AL18" s="22">
        <f>IF(30&gt;=$C18,$B18/12*(1+'Assumptions'!$B$26)*(1+'Assumptions'!$B$27)^2*(1-IF(30&lt;=$G18,$F18,0)),0)</f>
        <v/>
      </c>
      <c r="AM18" s="22">
        <f>IF(31&gt;=$C18,$B18/12*(1+'Assumptions'!$B$26)*(1+'Assumptions'!$B$27)^2*(1-IF(31&lt;=$G18,$F18,0)),0)</f>
        <v/>
      </c>
      <c r="AN18" s="22">
        <f>IF(32&gt;=$C18,$B18/12*(1+'Assumptions'!$B$26)*(1+'Assumptions'!$B$27)^2*(1-IF(32&lt;=$G18,$F18,0)),0)</f>
        <v/>
      </c>
      <c r="AO18" s="22">
        <f>IF(33&gt;=$C18,$B18/12*(1+'Assumptions'!$B$26)*(1+'Assumptions'!$B$27)^2*(1-IF(33&lt;=$G18,$F18,0)),0)</f>
        <v/>
      </c>
      <c r="AP18" s="22">
        <f>IF(34&gt;=$C18,$B18/12*(1+'Assumptions'!$B$26)*(1+'Assumptions'!$B$27)^2*(1-IF(34&lt;=$G18,$F18,0)),0)</f>
        <v/>
      </c>
      <c r="AQ18" s="22">
        <f>IF(35&gt;=$C18,$B18/12*(1+'Assumptions'!$B$26)*(1+'Assumptions'!$B$27)^2*(1-IF(35&lt;=$G18,$F18,0)),0)</f>
        <v/>
      </c>
      <c r="AR18" s="22">
        <f>IF(36&gt;=$C18,$B18/12*(1+'Assumptions'!$B$26)*(1+'Assumptions'!$B$27)^2*(1-IF(36&lt;=$G18,$F18,0)),0)</f>
        <v/>
      </c>
    </row>
    <row r="19">
      <c r="A19" s="4" t="inlineStr">
        <is>
          <t>Capacity hire - 4th RN - RN Case Manager (capacity-driv  [census-triggered - slip if ramp lags]</t>
        </is>
      </c>
      <c r="B19" s="11" t="n">
        <v>76256</v>
      </c>
      <c r="C19" s="8" t="n">
        <v>11</v>
      </c>
      <c r="D19" s="25" t="inlineStr">
        <is>
          <t>D</t>
        </is>
      </c>
      <c r="E19" s="8" t="n">
        <v>3</v>
      </c>
      <c r="F19" s="26">
        <f>IF(0,'Assumptions'!$B$28,0)</f>
        <v/>
      </c>
      <c r="G19" s="24">
        <f>'Assumptions'!$B$29</f>
        <v/>
      </c>
      <c r="I19" s="22">
        <f>IF(1&gt;=$C19,$B19/12*(1+'Assumptions'!$B$26)*(1+'Assumptions'!$B$27)^0*(1-IF(1&lt;=$G19,$F19,0)),0)</f>
        <v/>
      </c>
      <c r="J19" s="22">
        <f>IF(2&gt;=$C19,$B19/12*(1+'Assumptions'!$B$26)*(1+'Assumptions'!$B$27)^0*(1-IF(2&lt;=$G19,$F19,0)),0)</f>
        <v/>
      </c>
      <c r="K19" s="22">
        <f>IF(3&gt;=$C19,$B19/12*(1+'Assumptions'!$B$26)*(1+'Assumptions'!$B$27)^0*(1-IF(3&lt;=$G19,$F19,0)),0)</f>
        <v/>
      </c>
      <c r="L19" s="22">
        <f>IF(4&gt;=$C19,$B19/12*(1+'Assumptions'!$B$26)*(1+'Assumptions'!$B$27)^0*(1-IF(4&lt;=$G19,$F19,0)),0)</f>
        <v/>
      </c>
      <c r="M19" s="22">
        <f>IF(5&gt;=$C19,$B19/12*(1+'Assumptions'!$B$26)*(1+'Assumptions'!$B$27)^0*(1-IF(5&lt;=$G19,$F19,0)),0)</f>
        <v/>
      </c>
      <c r="N19" s="22">
        <f>IF(6&gt;=$C19,$B19/12*(1+'Assumptions'!$B$26)*(1+'Assumptions'!$B$27)^0*(1-IF(6&lt;=$G19,$F19,0)),0)</f>
        <v/>
      </c>
      <c r="O19" s="22">
        <f>IF(7&gt;=$C19,$B19/12*(1+'Assumptions'!$B$26)*(1+'Assumptions'!$B$27)^0*(1-IF(7&lt;=$G19,$F19,0)),0)</f>
        <v/>
      </c>
      <c r="P19" s="22">
        <f>IF(8&gt;=$C19,$B19/12*(1+'Assumptions'!$B$26)*(1+'Assumptions'!$B$27)^0*(1-IF(8&lt;=$G19,$F19,0)),0)</f>
        <v/>
      </c>
      <c r="Q19" s="22">
        <f>IF(9&gt;=$C19,$B19/12*(1+'Assumptions'!$B$26)*(1+'Assumptions'!$B$27)^0*(1-IF(9&lt;=$G19,$F19,0)),0)</f>
        <v/>
      </c>
      <c r="R19" s="22">
        <f>IF(10&gt;=$C19,$B19/12*(1+'Assumptions'!$B$26)*(1+'Assumptions'!$B$27)^0*(1-IF(10&lt;=$G19,$F19,0)),0)</f>
        <v/>
      </c>
      <c r="S19" s="22">
        <f>IF(11&gt;=$C19,$B19/12*(1+'Assumptions'!$B$26)*(1+'Assumptions'!$B$27)^0*(1-IF(11&lt;=$G19,$F19,0)),0)</f>
        <v/>
      </c>
      <c r="T19" s="22">
        <f>IF(12&gt;=$C19,$B19/12*(1+'Assumptions'!$B$26)*(1+'Assumptions'!$B$27)^0*(1-IF(12&lt;=$G19,$F19,0)),0)</f>
        <v/>
      </c>
      <c r="U19" s="22">
        <f>IF(13&gt;=$C19,$B19/12*(1+'Assumptions'!$B$26)*(1+'Assumptions'!$B$27)^1*(1-IF(13&lt;=$G19,$F19,0)),0)</f>
        <v/>
      </c>
      <c r="V19" s="22">
        <f>IF(14&gt;=$C19,$B19/12*(1+'Assumptions'!$B$26)*(1+'Assumptions'!$B$27)^1*(1-IF(14&lt;=$G19,$F19,0)),0)</f>
        <v/>
      </c>
      <c r="W19" s="22">
        <f>IF(15&gt;=$C19,$B19/12*(1+'Assumptions'!$B$26)*(1+'Assumptions'!$B$27)^1*(1-IF(15&lt;=$G19,$F19,0)),0)</f>
        <v/>
      </c>
      <c r="X19" s="22">
        <f>IF(16&gt;=$C19,$B19/12*(1+'Assumptions'!$B$26)*(1+'Assumptions'!$B$27)^1*(1-IF(16&lt;=$G19,$F19,0)),0)</f>
        <v/>
      </c>
      <c r="Y19" s="22">
        <f>IF(17&gt;=$C19,$B19/12*(1+'Assumptions'!$B$26)*(1+'Assumptions'!$B$27)^1*(1-IF(17&lt;=$G19,$F19,0)),0)</f>
        <v/>
      </c>
      <c r="Z19" s="22">
        <f>IF(18&gt;=$C19,$B19/12*(1+'Assumptions'!$B$26)*(1+'Assumptions'!$B$27)^1*(1-IF(18&lt;=$G19,$F19,0)),0)</f>
        <v/>
      </c>
      <c r="AA19" s="22">
        <f>IF(19&gt;=$C19,$B19/12*(1+'Assumptions'!$B$26)*(1+'Assumptions'!$B$27)^1*(1-IF(19&lt;=$G19,$F19,0)),0)</f>
        <v/>
      </c>
      <c r="AB19" s="22">
        <f>IF(20&gt;=$C19,$B19/12*(1+'Assumptions'!$B$26)*(1+'Assumptions'!$B$27)^1*(1-IF(20&lt;=$G19,$F19,0)),0)</f>
        <v/>
      </c>
      <c r="AC19" s="22">
        <f>IF(21&gt;=$C19,$B19/12*(1+'Assumptions'!$B$26)*(1+'Assumptions'!$B$27)^1*(1-IF(21&lt;=$G19,$F19,0)),0)</f>
        <v/>
      </c>
      <c r="AD19" s="22">
        <f>IF(22&gt;=$C19,$B19/12*(1+'Assumptions'!$B$26)*(1+'Assumptions'!$B$27)^1*(1-IF(22&lt;=$G19,$F19,0)),0)</f>
        <v/>
      </c>
      <c r="AE19" s="22">
        <f>IF(23&gt;=$C19,$B19/12*(1+'Assumptions'!$B$26)*(1+'Assumptions'!$B$27)^1*(1-IF(23&lt;=$G19,$F19,0)),0)</f>
        <v/>
      </c>
      <c r="AF19" s="22">
        <f>IF(24&gt;=$C19,$B19/12*(1+'Assumptions'!$B$26)*(1+'Assumptions'!$B$27)^1*(1-IF(24&lt;=$G19,$F19,0)),0)</f>
        <v/>
      </c>
      <c r="AG19" s="22">
        <f>IF(25&gt;=$C19,$B19/12*(1+'Assumptions'!$B$26)*(1+'Assumptions'!$B$27)^2*(1-IF(25&lt;=$G19,$F19,0)),0)</f>
        <v/>
      </c>
      <c r="AH19" s="22">
        <f>IF(26&gt;=$C19,$B19/12*(1+'Assumptions'!$B$26)*(1+'Assumptions'!$B$27)^2*(1-IF(26&lt;=$G19,$F19,0)),0)</f>
        <v/>
      </c>
      <c r="AI19" s="22">
        <f>IF(27&gt;=$C19,$B19/12*(1+'Assumptions'!$B$26)*(1+'Assumptions'!$B$27)^2*(1-IF(27&lt;=$G19,$F19,0)),0)</f>
        <v/>
      </c>
      <c r="AJ19" s="22">
        <f>IF(28&gt;=$C19,$B19/12*(1+'Assumptions'!$B$26)*(1+'Assumptions'!$B$27)^2*(1-IF(28&lt;=$G19,$F19,0)),0)</f>
        <v/>
      </c>
      <c r="AK19" s="22">
        <f>IF(29&gt;=$C19,$B19/12*(1+'Assumptions'!$B$26)*(1+'Assumptions'!$B$27)^2*(1-IF(29&lt;=$G19,$F19,0)),0)</f>
        <v/>
      </c>
      <c r="AL19" s="22">
        <f>IF(30&gt;=$C19,$B19/12*(1+'Assumptions'!$B$26)*(1+'Assumptions'!$B$27)^2*(1-IF(30&lt;=$G19,$F19,0)),0)</f>
        <v/>
      </c>
      <c r="AM19" s="22">
        <f>IF(31&gt;=$C19,$B19/12*(1+'Assumptions'!$B$26)*(1+'Assumptions'!$B$27)^2*(1-IF(31&lt;=$G19,$F19,0)),0)</f>
        <v/>
      </c>
      <c r="AN19" s="22">
        <f>IF(32&gt;=$C19,$B19/12*(1+'Assumptions'!$B$26)*(1+'Assumptions'!$B$27)^2*(1-IF(32&lt;=$G19,$F19,0)),0)</f>
        <v/>
      </c>
      <c r="AO19" s="22">
        <f>IF(33&gt;=$C19,$B19/12*(1+'Assumptions'!$B$26)*(1+'Assumptions'!$B$27)^2*(1-IF(33&lt;=$G19,$F19,0)),0)</f>
        <v/>
      </c>
      <c r="AP19" s="22">
        <f>IF(34&gt;=$C19,$B19/12*(1+'Assumptions'!$B$26)*(1+'Assumptions'!$B$27)^2*(1-IF(34&lt;=$G19,$F19,0)),0)</f>
        <v/>
      </c>
      <c r="AQ19" s="22">
        <f>IF(35&gt;=$C19,$B19/12*(1+'Assumptions'!$B$26)*(1+'Assumptions'!$B$27)^2*(1-IF(35&lt;=$G19,$F19,0)),0)</f>
        <v/>
      </c>
      <c r="AR19" s="22">
        <f>IF(36&gt;=$C19,$B19/12*(1+'Assumptions'!$B$26)*(1+'Assumptions'!$B$27)^2*(1-IF(36&lt;=$G19,$F19,0)),0)</f>
        <v/>
      </c>
    </row>
    <row r="20">
      <c r="A20" s="4" t="inlineStr">
        <is>
          <t>Capacity hire - 4th CNA - CNA / Hospice Aide (capacity-d  [census-triggered - slip if ramp lags]</t>
        </is>
      </c>
      <c r="B20" s="11" t="n">
        <v>46511</v>
      </c>
      <c r="C20" s="8" t="n">
        <v>13</v>
      </c>
      <c r="D20" s="25" t="inlineStr">
        <is>
          <t>D</t>
        </is>
      </c>
      <c r="E20" s="8" t="n">
        <v>3</v>
      </c>
      <c r="F20" s="26">
        <f>IF(0,'Assumptions'!$B$28,0)</f>
        <v/>
      </c>
      <c r="G20" s="24">
        <f>'Assumptions'!$B$29</f>
        <v/>
      </c>
      <c r="I20" s="22">
        <f>IF(1&gt;=$C20,$B20/12*(1+'Assumptions'!$B$26)*(1+'Assumptions'!$B$27)^0*(1-IF(1&lt;=$G20,$F20,0)),0)</f>
        <v/>
      </c>
      <c r="J20" s="22">
        <f>IF(2&gt;=$C20,$B20/12*(1+'Assumptions'!$B$26)*(1+'Assumptions'!$B$27)^0*(1-IF(2&lt;=$G20,$F20,0)),0)</f>
        <v/>
      </c>
      <c r="K20" s="22">
        <f>IF(3&gt;=$C20,$B20/12*(1+'Assumptions'!$B$26)*(1+'Assumptions'!$B$27)^0*(1-IF(3&lt;=$G20,$F20,0)),0)</f>
        <v/>
      </c>
      <c r="L20" s="22">
        <f>IF(4&gt;=$C20,$B20/12*(1+'Assumptions'!$B$26)*(1+'Assumptions'!$B$27)^0*(1-IF(4&lt;=$G20,$F20,0)),0)</f>
        <v/>
      </c>
      <c r="M20" s="22">
        <f>IF(5&gt;=$C20,$B20/12*(1+'Assumptions'!$B$26)*(1+'Assumptions'!$B$27)^0*(1-IF(5&lt;=$G20,$F20,0)),0)</f>
        <v/>
      </c>
      <c r="N20" s="22">
        <f>IF(6&gt;=$C20,$B20/12*(1+'Assumptions'!$B$26)*(1+'Assumptions'!$B$27)^0*(1-IF(6&lt;=$G20,$F20,0)),0)</f>
        <v/>
      </c>
      <c r="O20" s="22">
        <f>IF(7&gt;=$C20,$B20/12*(1+'Assumptions'!$B$26)*(1+'Assumptions'!$B$27)^0*(1-IF(7&lt;=$G20,$F20,0)),0)</f>
        <v/>
      </c>
      <c r="P20" s="22">
        <f>IF(8&gt;=$C20,$B20/12*(1+'Assumptions'!$B$26)*(1+'Assumptions'!$B$27)^0*(1-IF(8&lt;=$G20,$F20,0)),0)</f>
        <v/>
      </c>
      <c r="Q20" s="22">
        <f>IF(9&gt;=$C20,$B20/12*(1+'Assumptions'!$B$26)*(1+'Assumptions'!$B$27)^0*(1-IF(9&lt;=$G20,$F20,0)),0)</f>
        <v/>
      </c>
      <c r="R20" s="22">
        <f>IF(10&gt;=$C20,$B20/12*(1+'Assumptions'!$B$26)*(1+'Assumptions'!$B$27)^0*(1-IF(10&lt;=$G20,$F20,0)),0)</f>
        <v/>
      </c>
      <c r="S20" s="22">
        <f>IF(11&gt;=$C20,$B20/12*(1+'Assumptions'!$B$26)*(1+'Assumptions'!$B$27)^0*(1-IF(11&lt;=$G20,$F20,0)),0)</f>
        <v/>
      </c>
      <c r="T20" s="22">
        <f>IF(12&gt;=$C20,$B20/12*(1+'Assumptions'!$B$26)*(1+'Assumptions'!$B$27)^0*(1-IF(12&lt;=$G20,$F20,0)),0)</f>
        <v/>
      </c>
      <c r="U20" s="22">
        <f>IF(13&gt;=$C20,$B20/12*(1+'Assumptions'!$B$26)*(1+'Assumptions'!$B$27)^1*(1-IF(13&lt;=$G20,$F20,0)),0)</f>
        <v/>
      </c>
      <c r="V20" s="22">
        <f>IF(14&gt;=$C20,$B20/12*(1+'Assumptions'!$B$26)*(1+'Assumptions'!$B$27)^1*(1-IF(14&lt;=$G20,$F20,0)),0)</f>
        <v/>
      </c>
      <c r="W20" s="22">
        <f>IF(15&gt;=$C20,$B20/12*(1+'Assumptions'!$B$26)*(1+'Assumptions'!$B$27)^1*(1-IF(15&lt;=$G20,$F20,0)),0)</f>
        <v/>
      </c>
      <c r="X20" s="22">
        <f>IF(16&gt;=$C20,$B20/12*(1+'Assumptions'!$B$26)*(1+'Assumptions'!$B$27)^1*(1-IF(16&lt;=$G20,$F20,0)),0)</f>
        <v/>
      </c>
      <c r="Y20" s="22">
        <f>IF(17&gt;=$C20,$B20/12*(1+'Assumptions'!$B$26)*(1+'Assumptions'!$B$27)^1*(1-IF(17&lt;=$G20,$F20,0)),0)</f>
        <v/>
      </c>
      <c r="Z20" s="22">
        <f>IF(18&gt;=$C20,$B20/12*(1+'Assumptions'!$B$26)*(1+'Assumptions'!$B$27)^1*(1-IF(18&lt;=$G20,$F20,0)),0)</f>
        <v/>
      </c>
      <c r="AA20" s="22">
        <f>IF(19&gt;=$C20,$B20/12*(1+'Assumptions'!$B$26)*(1+'Assumptions'!$B$27)^1*(1-IF(19&lt;=$G20,$F20,0)),0)</f>
        <v/>
      </c>
      <c r="AB20" s="22">
        <f>IF(20&gt;=$C20,$B20/12*(1+'Assumptions'!$B$26)*(1+'Assumptions'!$B$27)^1*(1-IF(20&lt;=$G20,$F20,0)),0)</f>
        <v/>
      </c>
      <c r="AC20" s="22">
        <f>IF(21&gt;=$C20,$B20/12*(1+'Assumptions'!$B$26)*(1+'Assumptions'!$B$27)^1*(1-IF(21&lt;=$G20,$F20,0)),0)</f>
        <v/>
      </c>
      <c r="AD20" s="22">
        <f>IF(22&gt;=$C20,$B20/12*(1+'Assumptions'!$B$26)*(1+'Assumptions'!$B$27)^1*(1-IF(22&lt;=$G20,$F20,0)),0)</f>
        <v/>
      </c>
      <c r="AE20" s="22">
        <f>IF(23&gt;=$C20,$B20/12*(1+'Assumptions'!$B$26)*(1+'Assumptions'!$B$27)^1*(1-IF(23&lt;=$G20,$F20,0)),0)</f>
        <v/>
      </c>
      <c r="AF20" s="22">
        <f>IF(24&gt;=$C20,$B20/12*(1+'Assumptions'!$B$26)*(1+'Assumptions'!$B$27)^1*(1-IF(24&lt;=$G20,$F20,0)),0)</f>
        <v/>
      </c>
      <c r="AG20" s="22">
        <f>IF(25&gt;=$C20,$B20/12*(1+'Assumptions'!$B$26)*(1+'Assumptions'!$B$27)^2*(1-IF(25&lt;=$G20,$F20,0)),0)</f>
        <v/>
      </c>
      <c r="AH20" s="22">
        <f>IF(26&gt;=$C20,$B20/12*(1+'Assumptions'!$B$26)*(1+'Assumptions'!$B$27)^2*(1-IF(26&lt;=$G20,$F20,0)),0)</f>
        <v/>
      </c>
      <c r="AI20" s="22">
        <f>IF(27&gt;=$C20,$B20/12*(1+'Assumptions'!$B$26)*(1+'Assumptions'!$B$27)^2*(1-IF(27&lt;=$G20,$F20,0)),0)</f>
        <v/>
      </c>
      <c r="AJ20" s="22">
        <f>IF(28&gt;=$C20,$B20/12*(1+'Assumptions'!$B$26)*(1+'Assumptions'!$B$27)^2*(1-IF(28&lt;=$G20,$F20,0)),0)</f>
        <v/>
      </c>
      <c r="AK20" s="22">
        <f>IF(29&gt;=$C20,$B20/12*(1+'Assumptions'!$B$26)*(1+'Assumptions'!$B$27)^2*(1-IF(29&lt;=$G20,$F20,0)),0)</f>
        <v/>
      </c>
      <c r="AL20" s="22">
        <f>IF(30&gt;=$C20,$B20/12*(1+'Assumptions'!$B$26)*(1+'Assumptions'!$B$27)^2*(1-IF(30&lt;=$G20,$F20,0)),0)</f>
        <v/>
      </c>
      <c r="AM20" s="22">
        <f>IF(31&gt;=$C20,$B20/12*(1+'Assumptions'!$B$26)*(1+'Assumptions'!$B$27)^2*(1-IF(31&lt;=$G20,$F20,0)),0)</f>
        <v/>
      </c>
      <c r="AN20" s="22">
        <f>IF(32&gt;=$C20,$B20/12*(1+'Assumptions'!$B$26)*(1+'Assumptions'!$B$27)^2*(1-IF(32&lt;=$G20,$F20,0)),0)</f>
        <v/>
      </c>
      <c r="AO20" s="22">
        <f>IF(33&gt;=$C20,$B20/12*(1+'Assumptions'!$B$26)*(1+'Assumptions'!$B$27)^2*(1-IF(33&lt;=$G20,$F20,0)),0)</f>
        <v/>
      </c>
      <c r="AP20" s="22">
        <f>IF(34&gt;=$C20,$B20/12*(1+'Assumptions'!$B$26)*(1+'Assumptions'!$B$27)^2*(1-IF(34&lt;=$G20,$F20,0)),0)</f>
        <v/>
      </c>
      <c r="AQ20" s="22">
        <f>IF(35&gt;=$C20,$B20/12*(1+'Assumptions'!$B$26)*(1+'Assumptions'!$B$27)^2*(1-IF(35&lt;=$G20,$F20,0)),0)</f>
        <v/>
      </c>
      <c r="AR20" s="22">
        <f>IF(36&gt;=$C20,$B20/12*(1+'Assumptions'!$B$26)*(1+'Assumptions'!$B$27)^2*(1-IF(36&lt;=$G20,$F20,0)),0)</f>
        <v/>
      </c>
    </row>
    <row r="21">
      <c r="A21" s="4" t="inlineStr">
        <is>
          <t>Capacity hire - 5th RN - RN Case Manager (capacity-driv  [census-triggered - slip if ramp lags]</t>
        </is>
      </c>
      <c r="B21" s="11" t="n">
        <v>76256</v>
      </c>
      <c r="C21" s="8" t="n">
        <v>23</v>
      </c>
      <c r="D21" s="25" t="inlineStr">
        <is>
          <t>D</t>
        </is>
      </c>
      <c r="E21" s="8" t="n">
        <v>3</v>
      </c>
      <c r="F21" s="26">
        <f>IF(0,'Assumptions'!$B$28,0)</f>
        <v/>
      </c>
      <c r="G21" s="24">
        <f>'Assumptions'!$B$29</f>
        <v/>
      </c>
      <c r="I21" s="22">
        <f>IF(1&gt;=$C21,$B21/12*(1+'Assumptions'!$B$26)*(1+'Assumptions'!$B$27)^0*(1-IF(1&lt;=$G21,$F21,0)),0)</f>
        <v/>
      </c>
      <c r="J21" s="22">
        <f>IF(2&gt;=$C21,$B21/12*(1+'Assumptions'!$B$26)*(1+'Assumptions'!$B$27)^0*(1-IF(2&lt;=$G21,$F21,0)),0)</f>
        <v/>
      </c>
      <c r="K21" s="22">
        <f>IF(3&gt;=$C21,$B21/12*(1+'Assumptions'!$B$26)*(1+'Assumptions'!$B$27)^0*(1-IF(3&lt;=$G21,$F21,0)),0)</f>
        <v/>
      </c>
      <c r="L21" s="22">
        <f>IF(4&gt;=$C21,$B21/12*(1+'Assumptions'!$B$26)*(1+'Assumptions'!$B$27)^0*(1-IF(4&lt;=$G21,$F21,0)),0)</f>
        <v/>
      </c>
      <c r="M21" s="22">
        <f>IF(5&gt;=$C21,$B21/12*(1+'Assumptions'!$B$26)*(1+'Assumptions'!$B$27)^0*(1-IF(5&lt;=$G21,$F21,0)),0)</f>
        <v/>
      </c>
      <c r="N21" s="22">
        <f>IF(6&gt;=$C21,$B21/12*(1+'Assumptions'!$B$26)*(1+'Assumptions'!$B$27)^0*(1-IF(6&lt;=$G21,$F21,0)),0)</f>
        <v/>
      </c>
      <c r="O21" s="22">
        <f>IF(7&gt;=$C21,$B21/12*(1+'Assumptions'!$B$26)*(1+'Assumptions'!$B$27)^0*(1-IF(7&lt;=$G21,$F21,0)),0)</f>
        <v/>
      </c>
      <c r="P21" s="22">
        <f>IF(8&gt;=$C21,$B21/12*(1+'Assumptions'!$B$26)*(1+'Assumptions'!$B$27)^0*(1-IF(8&lt;=$G21,$F21,0)),0)</f>
        <v/>
      </c>
      <c r="Q21" s="22">
        <f>IF(9&gt;=$C21,$B21/12*(1+'Assumptions'!$B$26)*(1+'Assumptions'!$B$27)^0*(1-IF(9&lt;=$G21,$F21,0)),0)</f>
        <v/>
      </c>
      <c r="R21" s="22">
        <f>IF(10&gt;=$C21,$B21/12*(1+'Assumptions'!$B$26)*(1+'Assumptions'!$B$27)^0*(1-IF(10&lt;=$G21,$F21,0)),0)</f>
        <v/>
      </c>
      <c r="S21" s="22">
        <f>IF(11&gt;=$C21,$B21/12*(1+'Assumptions'!$B$26)*(1+'Assumptions'!$B$27)^0*(1-IF(11&lt;=$G21,$F21,0)),0)</f>
        <v/>
      </c>
      <c r="T21" s="22">
        <f>IF(12&gt;=$C21,$B21/12*(1+'Assumptions'!$B$26)*(1+'Assumptions'!$B$27)^0*(1-IF(12&lt;=$G21,$F21,0)),0)</f>
        <v/>
      </c>
      <c r="U21" s="22">
        <f>IF(13&gt;=$C21,$B21/12*(1+'Assumptions'!$B$26)*(1+'Assumptions'!$B$27)^1*(1-IF(13&lt;=$G21,$F21,0)),0)</f>
        <v/>
      </c>
      <c r="V21" s="22">
        <f>IF(14&gt;=$C21,$B21/12*(1+'Assumptions'!$B$26)*(1+'Assumptions'!$B$27)^1*(1-IF(14&lt;=$G21,$F21,0)),0)</f>
        <v/>
      </c>
      <c r="W21" s="22">
        <f>IF(15&gt;=$C21,$B21/12*(1+'Assumptions'!$B$26)*(1+'Assumptions'!$B$27)^1*(1-IF(15&lt;=$G21,$F21,0)),0)</f>
        <v/>
      </c>
      <c r="X21" s="22">
        <f>IF(16&gt;=$C21,$B21/12*(1+'Assumptions'!$B$26)*(1+'Assumptions'!$B$27)^1*(1-IF(16&lt;=$G21,$F21,0)),0)</f>
        <v/>
      </c>
      <c r="Y21" s="22">
        <f>IF(17&gt;=$C21,$B21/12*(1+'Assumptions'!$B$26)*(1+'Assumptions'!$B$27)^1*(1-IF(17&lt;=$G21,$F21,0)),0)</f>
        <v/>
      </c>
      <c r="Z21" s="22">
        <f>IF(18&gt;=$C21,$B21/12*(1+'Assumptions'!$B$26)*(1+'Assumptions'!$B$27)^1*(1-IF(18&lt;=$G21,$F21,0)),0)</f>
        <v/>
      </c>
      <c r="AA21" s="22">
        <f>IF(19&gt;=$C21,$B21/12*(1+'Assumptions'!$B$26)*(1+'Assumptions'!$B$27)^1*(1-IF(19&lt;=$G21,$F21,0)),0)</f>
        <v/>
      </c>
      <c r="AB21" s="22">
        <f>IF(20&gt;=$C21,$B21/12*(1+'Assumptions'!$B$26)*(1+'Assumptions'!$B$27)^1*(1-IF(20&lt;=$G21,$F21,0)),0)</f>
        <v/>
      </c>
      <c r="AC21" s="22">
        <f>IF(21&gt;=$C21,$B21/12*(1+'Assumptions'!$B$26)*(1+'Assumptions'!$B$27)^1*(1-IF(21&lt;=$G21,$F21,0)),0)</f>
        <v/>
      </c>
      <c r="AD21" s="22">
        <f>IF(22&gt;=$C21,$B21/12*(1+'Assumptions'!$B$26)*(1+'Assumptions'!$B$27)^1*(1-IF(22&lt;=$G21,$F21,0)),0)</f>
        <v/>
      </c>
      <c r="AE21" s="22">
        <f>IF(23&gt;=$C21,$B21/12*(1+'Assumptions'!$B$26)*(1+'Assumptions'!$B$27)^1*(1-IF(23&lt;=$G21,$F21,0)),0)</f>
        <v/>
      </c>
      <c r="AF21" s="22">
        <f>IF(24&gt;=$C21,$B21/12*(1+'Assumptions'!$B$26)*(1+'Assumptions'!$B$27)^1*(1-IF(24&lt;=$G21,$F21,0)),0)</f>
        <v/>
      </c>
      <c r="AG21" s="22">
        <f>IF(25&gt;=$C21,$B21/12*(1+'Assumptions'!$B$26)*(1+'Assumptions'!$B$27)^2*(1-IF(25&lt;=$G21,$F21,0)),0)</f>
        <v/>
      </c>
      <c r="AH21" s="22">
        <f>IF(26&gt;=$C21,$B21/12*(1+'Assumptions'!$B$26)*(1+'Assumptions'!$B$27)^2*(1-IF(26&lt;=$G21,$F21,0)),0)</f>
        <v/>
      </c>
      <c r="AI21" s="22">
        <f>IF(27&gt;=$C21,$B21/12*(1+'Assumptions'!$B$26)*(1+'Assumptions'!$B$27)^2*(1-IF(27&lt;=$G21,$F21,0)),0)</f>
        <v/>
      </c>
      <c r="AJ21" s="22">
        <f>IF(28&gt;=$C21,$B21/12*(1+'Assumptions'!$B$26)*(1+'Assumptions'!$B$27)^2*(1-IF(28&lt;=$G21,$F21,0)),0)</f>
        <v/>
      </c>
      <c r="AK21" s="22">
        <f>IF(29&gt;=$C21,$B21/12*(1+'Assumptions'!$B$26)*(1+'Assumptions'!$B$27)^2*(1-IF(29&lt;=$G21,$F21,0)),0)</f>
        <v/>
      </c>
      <c r="AL21" s="22">
        <f>IF(30&gt;=$C21,$B21/12*(1+'Assumptions'!$B$26)*(1+'Assumptions'!$B$27)^2*(1-IF(30&lt;=$G21,$F21,0)),0)</f>
        <v/>
      </c>
      <c r="AM21" s="22">
        <f>IF(31&gt;=$C21,$B21/12*(1+'Assumptions'!$B$26)*(1+'Assumptions'!$B$27)^2*(1-IF(31&lt;=$G21,$F21,0)),0)</f>
        <v/>
      </c>
      <c r="AN21" s="22">
        <f>IF(32&gt;=$C21,$B21/12*(1+'Assumptions'!$B$26)*(1+'Assumptions'!$B$27)^2*(1-IF(32&lt;=$G21,$F21,0)),0)</f>
        <v/>
      </c>
      <c r="AO21" s="22">
        <f>IF(33&gt;=$C21,$B21/12*(1+'Assumptions'!$B$26)*(1+'Assumptions'!$B$27)^2*(1-IF(33&lt;=$G21,$F21,0)),0)</f>
        <v/>
      </c>
      <c r="AP21" s="22">
        <f>IF(34&gt;=$C21,$B21/12*(1+'Assumptions'!$B$26)*(1+'Assumptions'!$B$27)^2*(1-IF(34&lt;=$G21,$F21,0)),0)</f>
        <v/>
      </c>
      <c r="AQ21" s="22">
        <f>IF(35&gt;=$C21,$B21/12*(1+'Assumptions'!$B$26)*(1+'Assumptions'!$B$27)^2*(1-IF(35&lt;=$G21,$F21,0)),0)</f>
        <v/>
      </c>
      <c r="AR21" s="22">
        <f>IF(36&gt;=$C21,$B21/12*(1+'Assumptions'!$B$26)*(1+'Assumptions'!$B$27)^2*(1-IF(36&lt;=$G21,$F21,0)),0)</f>
        <v/>
      </c>
    </row>
    <row r="22">
      <c r="A22" s="4" t="inlineStr">
        <is>
          <t>Capacity hire - 5th CNA - CNA / Hospice Aide (capacity-d  [census-triggered - slip if ramp lags]</t>
        </is>
      </c>
      <c r="B22" s="11" t="n">
        <v>46511</v>
      </c>
      <c r="C22" s="8" t="n">
        <v>25</v>
      </c>
      <c r="D22" s="25" t="inlineStr">
        <is>
          <t>D</t>
        </is>
      </c>
      <c r="E22" s="8" t="n">
        <v>3</v>
      </c>
      <c r="F22" s="26">
        <f>IF(0,'Assumptions'!$B$28,0)</f>
        <v/>
      </c>
      <c r="G22" s="24">
        <f>'Assumptions'!$B$29</f>
        <v/>
      </c>
      <c r="I22" s="22">
        <f>IF(1&gt;=$C22,$B22/12*(1+'Assumptions'!$B$26)*(1+'Assumptions'!$B$27)^0*(1-IF(1&lt;=$G22,$F22,0)),0)</f>
        <v/>
      </c>
      <c r="J22" s="22">
        <f>IF(2&gt;=$C22,$B22/12*(1+'Assumptions'!$B$26)*(1+'Assumptions'!$B$27)^0*(1-IF(2&lt;=$G22,$F22,0)),0)</f>
        <v/>
      </c>
      <c r="K22" s="22">
        <f>IF(3&gt;=$C22,$B22/12*(1+'Assumptions'!$B$26)*(1+'Assumptions'!$B$27)^0*(1-IF(3&lt;=$G22,$F22,0)),0)</f>
        <v/>
      </c>
      <c r="L22" s="22">
        <f>IF(4&gt;=$C22,$B22/12*(1+'Assumptions'!$B$26)*(1+'Assumptions'!$B$27)^0*(1-IF(4&lt;=$G22,$F22,0)),0)</f>
        <v/>
      </c>
      <c r="M22" s="22">
        <f>IF(5&gt;=$C22,$B22/12*(1+'Assumptions'!$B$26)*(1+'Assumptions'!$B$27)^0*(1-IF(5&lt;=$G22,$F22,0)),0)</f>
        <v/>
      </c>
      <c r="N22" s="22">
        <f>IF(6&gt;=$C22,$B22/12*(1+'Assumptions'!$B$26)*(1+'Assumptions'!$B$27)^0*(1-IF(6&lt;=$G22,$F22,0)),0)</f>
        <v/>
      </c>
      <c r="O22" s="22">
        <f>IF(7&gt;=$C22,$B22/12*(1+'Assumptions'!$B$26)*(1+'Assumptions'!$B$27)^0*(1-IF(7&lt;=$G22,$F22,0)),0)</f>
        <v/>
      </c>
      <c r="P22" s="22">
        <f>IF(8&gt;=$C22,$B22/12*(1+'Assumptions'!$B$26)*(1+'Assumptions'!$B$27)^0*(1-IF(8&lt;=$G22,$F22,0)),0)</f>
        <v/>
      </c>
      <c r="Q22" s="22">
        <f>IF(9&gt;=$C22,$B22/12*(1+'Assumptions'!$B$26)*(1+'Assumptions'!$B$27)^0*(1-IF(9&lt;=$G22,$F22,0)),0)</f>
        <v/>
      </c>
      <c r="R22" s="22">
        <f>IF(10&gt;=$C22,$B22/12*(1+'Assumptions'!$B$26)*(1+'Assumptions'!$B$27)^0*(1-IF(10&lt;=$G22,$F22,0)),0)</f>
        <v/>
      </c>
      <c r="S22" s="22">
        <f>IF(11&gt;=$C22,$B22/12*(1+'Assumptions'!$B$26)*(1+'Assumptions'!$B$27)^0*(1-IF(11&lt;=$G22,$F22,0)),0)</f>
        <v/>
      </c>
      <c r="T22" s="22">
        <f>IF(12&gt;=$C22,$B22/12*(1+'Assumptions'!$B$26)*(1+'Assumptions'!$B$27)^0*(1-IF(12&lt;=$G22,$F22,0)),0)</f>
        <v/>
      </c>
      <c r="U22" s="22">
        <f>IF(13&gt;=$C22,$B22/12*(1+'Assumptions'!$B$26)*(1+'Assumptions'!$B$27)^1*(1-IF(13&lt;=$G22,$F22,0)),0)</f>
        <v/>
      </c>
      <c r="V22" s="22">
        <f>IF(14&gt;=$C22,$B22/12*(1+'Assumptions'!$B$26)*(1+'Assumptions'!$B$27)^1*(1-IF(14&lt;=$G22,$F22,0)),0)</f>
        <v/>
      </c>
      <c r="W22" s="22">
        <f>IF(15&gt;=$C22,$B22/12*(1+'Assumptions'!$B$26)*(1+'Assumptions'!$B$27)^1*(1-IF(15&lt;=$G22,$F22,0)),0)</f>
        <v/>
      </c>
      <c r="X22" s="22">
        <f>IF(16&gt;=$C22,$B22/12*(1+'Assumptions'!$B$26)*(1+'Assumptions'!$B$27)^1*(1-IF(16&lt;=$G22,$F22,0)),0)</f>
        <v/>
      </c>
      <c r="Y22" s="22">
        <f>IF(17&gt;=$C22,$B22/12*(1+'Assumptions'!$B$26)*(1+'Assumptions'!$B$27)^1*(1-IF(17&lt;=$G22,$F22,0)),0)</f>
        <v/>
      </c>
      <c r="Z22" s="22">
        <f>IF(18&gt;=$C22,$B22/12*(1+'Assumptions'!$B$26)*(1+'Assumptions'!$B$27)^1*(1-IF(18&lt;=$G22,$F22,0)),0)</f>
        <v/>
      </c>
      <c r="AA22" s="22">
        <f>IF(19&gt;=$C22,$B22/12*(1+'Assumptions'!$B$26)*(1+'Assumptions'!$B$27)^1*(1-IF(19&lt;=$G22,$F22,0)),0)</f>
        <v/>
      </c>
      <c r="AB22" s="22">
        <f>IF(20&gt;=$C22,$B22/12*(1+'Assumptions'!$B$26)*(1+'Assumptions'!$B$27)^1*(1-IF(20&lt;=$G22,$F22,0)),0)</f>
        <v/>
      </c>
      <c r="AC22" s="22">
        <f>IF(21&gt;=$C22,$B22/12*(1+'Assumptions'!$B$26)*(1+'Assumptions'!$B$27)^1*(1-IF(21&lt;=$G22,$F22,0)),0)</f>
        <v/>
      </c>
      <c r="AD22" s="22">
        <f>IF(22&gt;=$C22,$B22/12*(1+'Assumptions'!$B$26)*(1+'Assumptions'!$B$27)^1*(1-IF(22&lt;=$G22,$F22,0)),0)</f>
        <v/>
      </c>
      <c r="AE22" s="22">
        <f>IF(23&gt;=$C22,$B22/12*(1+'Assumptions'!$B$26)*(1+'Assumptions'!$B$27)^1*(1-IF(23&lt;=$G22,$F22,0)),0)</f>
        <v/>
      </c>
      <c r="AF22" s="22">
        <f>IF(24&gt;=$C22,$B22/12*(1+'Assumptions'!$B$26)*(1+'Assumptions'!$B$27)^1*(1-IF(24&lt;=$G22,$F22,0)),0)</f>
        <v/>
      </c>
      <c r="AG22" s="22">
        <f>IF(25&gt;=$C22,$B22/12*(1+'Assumptions'!$B$26)*(1+'Assumptions'!$B$27)^2*(1-IF(25&lt;=$G22,$F22,0)),0)</f>
        <v/>
      </c>
      <c r="AH22" s="22">
        <f>IF(26&gt;=$C22,$B22/12*(1+'Assumptions'!$B$26)*(1+'Assumptions'!$B$27)^2*(1-IF(26&lt;=$G22,$F22,0)),0)</f>
        <v/>
      </c>
      <c r="AI22" s="22">
        <f>IF(27&gt;=$C22,$B22/12*(1+'Assumptions'!$B$26)*(1+'Assumptions'!$B$27)^2*(1-IF(27&lt;=$G22,$F22,0)),0)</f>
        <v/>
      </c>
      <c r="AJ22" s="22">
        <f>IF(28&gt;=$C22,$B22/12*(1+'Assumptions'!$B$26)*(1+'Assumptions'!$B$27)^2*(1-IF(28&lt;=$G22,$F22,0)),0)</f>
        <v/>
      </c>
      <c r="AK22" s="22">
        <f>IF(29&gt;=$C22,$B22/12*(1+'Assumptions'!$B$26)*(1+'Assumptions'!$B$27)^2*(1-IF(29&lt;=$G22,$F22,0)),0)</f>
        <v/>
      </c>
      <c r="AL22" s="22">
        <f>IF(30&gt;=$C22,$B22/12*(1+'Assumptions'!$B$26)*(1+'Assumptions'!$B$27)^2*(1-IF(30&lt;=$G22,$F22,0)),0)</f>
        <v/>
      </c>
      <c r="AM22" s="22">
        <f>IF(31&gt;=$C22,$B22/12*(1+'Assumptions'!$B$26)*(1+'Assumptions'!$B$27)^2*(1-IF(31&lt;=$G22,$F22,0)),0)</f>
        <v/>
      </c>
      <c r="AN22" s="22">
        <f>IF(32&gt;=$C22,$B22/12*(1+'Assumptions'!$B$26)*(1+'Assumptions'!$B$27)^2*(1-IF(32&lt;=$G22,$F22,0)),0)</f>
        <v/>
      </c>
      <c r="AO22" s="22">
        <f>IF(33&gt;=$C22,$B22/12*(1+'Assumptions'!$B$26)*(1+'Assumptions'!$B$27)^2*(1-IF(33&lt;=$G22,$F22,0)),0)</f>
        <v/>
      </c>
      <c r="AP22" s="22">
        <f>IF(34&gt;=$C22,$B22/12*(1+'Assumptions'!$B$26)*(1+'Assumptions'!$B$27)^2*(1-IF(34&lt;=$G22,$F22,0)),0)</f>
        <v/>
      </c>
      <c r="AQ22" s="22">
        <f>IF(35&gt;=$C22,$B22/12*(1+'Assumptions'!$B$26)*(1+'Assumptions'!$B$27)^2*(1-IF(35&lt;=$G22,$F22,0)),0)</f>
        <v/>
      </c>
      <c r="AR22" s="22">
        <f>IF(36&gt;=$C22,$B22/12*(1+'Assumptions'!$B$26)*(1+'Assumptions'!$B$27)^2*(1-IF(36&lt;=$G22,$F22,0)),0)</f>
        <v/>
      </c>
    </row>
    <row r="23">
      <c r="A23" s="4" t="inlineStr">
        <is>
          <t>Capacity hire - 6th CNA - CNA / Hospice Aide (capacity-d  [census-triggered - slip if ramp lags]</t>
        </is>
      </c>
      <c r="B23" s="11" t="n">
        <v>46511</v>
      </c>
      <c r="C23" s="8" t="n">
        <v>33</v>
      </c>
      <c r="D23" s="25" t="inlineStr">
        <is>
          <t>D</t>
        </is>
      </c>
      <c r="E23" s="8" t="n">
        <v>3</v>
      </c>
      <c r="F23" s="26">
        <f>IF(0,'Assumptions'!$B$28,0)</f>
        <v/>
      </c>
      <c r="G23" s="24">
        <f>'Assumptions'!$B$29</f>
        <v/>
      </c>
      <c r="I23" s="22">
        <f>IF(1&gt;=$C23,$B23/12*(1+'Assumptions'!$B$26)*(1+'Assumptions'!$B$27)^0*(1-IF(1&lt;=$G23,$F23,0)),0)</f>
        <v/>
      </c>
      <c r="J23" s="22">
        <f>IF(2&gt;=$C23,$B23/12*(1+'Assumptions'!$B$26)*(1+'Assumptions'!$B$27)^0*(1-IF(2&lt;=$G23,$F23,0)),0)</f>
        <v/>
      </c>
      <c r="K23" s="22">
        <f>IF(3&gt;=$C23,$B23/12*(1+'Assumptions'!$B$26)*(1+'Assumptions'!$B$27)^0*(1-IF(3&lt;=$G23,$F23,0)),0)</f>
        <v/>
      </c>
      <c r="L23" s="22">
        <f>IF(4&gt;=$C23,$B23/12*(1+'Assumptions'!$B$26)*(1+'Assumptions'!$B$27)^0*(1-IF(4&lt;=$G23,$F23,0)),0)</f>
        <v/>
      </c>
      <c r="M23" s="22">
        <f>IF(5&gt;=$C23,$B23/12*(1+'Assumptions'!$B$26)*(1+'Assumptions'!$B$27)^0*(1-IF(5&lt;=$G23,$F23,0)),0)</f>
        <v/>
      </c>
      <c r="N23" s="22">
        <f>IF(6&gt;=$C23,$B23/12*(1+'Assumptions'!$B$26)*(1+'Assumptions'!$B$27)^0*(1-IF(6&lt;=$G23,$F23,0)),0)</f>
        <v/>
      </c>
      <c r="O23" s="22">
        <f>IF(7&gt;=$C23,$B23/12*(1+'Assumptions'!$B$26)*(1+'Assumptions'!$B$27)^0*(1-IF(7&lt;=$G23,$F23,0)),0)</f>
        <v/>
      </c>
      <c r="P23" s="22">
        <f>IF(8&gt;=$C23,$B23/12*(1+'Assumptions'!$B$26)*(1+'Assumptions'!$B$27)^0*(1-IF(8&lt;=$G23,$F23,0)),0)</f>
        <v/>
      </c>
      <c r="Q23" s="22">
        <f>IF(9&gt;=$C23,$B23/12*(1+'Assumptions'!$B$26)*(1+'Assumptions'!$B$27)^0*(1-IF(9&lt;=$G23,$F23,0)),0)</f>
        <v/>
      </c>
      <c r="R23" s="22">
        <f>IF(10&gt;=$C23,$B23/12*(1+'Assumptions'!$B$26)*(1+'Assumptions'!$B$27)^0*(1-IF(10&lt;=$G23,$F23,0)),0)</f>
        <v/>
      </c>
      <c r="S23" s="22">
        <f>IF(11&gt;=$C23,$B23/12*(1+'Assumptions'!$B$26)*(1+'Assumptions'!$B$27)^0*(1-IF(11&lt;=$G23,$F23,0)),0)</f>
        <v/>
      </c>
      <c r="T23" s="22">
        <f>IF(12&gt;=$C23,$B23/12*(1+'Assumptions'!$B$26)*(1+'Assumptions'!$B$27)^0*(1-IF(12&lt;=$G23,$F23,0)),0)</f>
        <v/>
      </c>
      <c r="U23" s="22">
        <f>IF(13&gt;=$C23,$B23/12*(1+'Assumptions'!$B$26)*(1+'Assumptions'!$B$27)^1*(1-IF(13&lt;=$G23,$F23,0)),0)</f>
        <v/>
      </c>
      <c r="V23" s="22">
        <f>IF(14&gt;=$C23,$B23/12*(1+'Assumptions'!$B$26)*(1+'Assumptions'!$B$27)^1*(1-IF(14&lt;=$G23,$F23,0)),0)</f>
        <v/>
      </c>
      <c r="W23" s="22">
        <f>IF(15&gt;=$C23,$B23/12*(1+'Assumptions'!$B$26)*(1+'Assumptions'!$B$27)^1*(1-IF(15&lt;=$G23,$F23,0)),0)</f>
        <v/>
      </c>
      <c r="X23" s="22">
        <f>IF(16&gt;=$C23,$B23/12*(1+'Assumptions'!$B$26)*(1+'Assumptions'!$B$27)^1*(1-IF(16&lt;=$G23,$F23,0)),0)</f>
        <v/>
      </c>
      <c r="Y23" s="22">
        <f>IF(17&gt;=$C23,$B23/12*(1+'Assumptions'!$B$26)*(1+'Assumptions'!$B$27)^1*(1-IF(17&lt;=$G23,$F23,0)),0)</f>
        <v/>
      </c>
      <c r="Z23" s="22">
        <f>IF(18&gt;=$C23,$B23/12*(1+'Assumptions'!$B$26)*(1+'Assumptions'!$B$27)^1*(1-IF(18&lt;=$G23,$F23,0)),0)</f>
        <v/>
      </c>
      <c r="AA23" s="22">
        <f>IF(19&gt;=$C23,$B23/12*(1+'Assumptions'!$B$26)*(1+'Assumptions'!$B$27)^1*(1-IF(19&lt;=$G23,$F23,0)),0)</f>
        <v/>
      </c>
      <c r="AB23" s="22">
        <f>IF(20&gt;=$C23,$B23/12*(1+'Assumptions'!$B$26)*(1+'Assumptions'!$B$27)^1*(1-IF(20&lt;=$G23,$F23,0)),0)</f>
        <v/>
      </c>
      <c r="AC23" s="22">
        <f>IF(21&gt;=$C23,$B23/12*(1+'Assumptions'!$B$26)*(1+'Assumptions'!$B$27)^1*(1-IF(21&lt;=$G23,$F23,0)),0)</f>
        <v/>
      </c>
      <c r="AD23" s="22">
        <f>IF(22&gt;=$C23,$B23/12*(1+'Assumptions'!$B$26)*(1+'Assumptions'!$B$27)^1*(1-IF(22&lt;=$G23,$F23,0)),0)</f>
        <v/>
      </c>
      <c r="AE23" s="22">
        <f>IF(23&gt;=$C23,$B23/12*(1+'Assumptions'!$B$26)*(1+'Assumptions'!$B$27)^1*(1-IF(23&lt;=$G23,$F23,0)),0)</f>
        <v/>
      </c>
      <c r="AF23" s="22">
        <f>IF(24&gt;=$C23,$B23/12*(1+'Assumptions'!$B$26)*(1+'Assumptions'!$B$27)^1*(1-IF(24&lt;=$G23,$F23,0)),0)</f>
        <v/>
      </c>
      <c r="AG23" s="22">
        <f>IF(25&gt;=$C23,$B23/12*(1+'Assumptions'!$B$26)*(1+'Assumptions'!$B$27)^2*(1-IF(25&lt;=$G23,$F23,0)),0)</f>
        <v/>
      </c>
      <c r="AH23" s="22">
        <f>IF(26&gt;=$C23,$B23/12*(1+'Assumptions'!$B$26)*(1+'Assumptions'!$B$27)^2*(1-IF(26&lt;=$G23,$F23,0)),0)</f>
        <v/>
      </c>
      <c r="AI23" s="22">
        <f>IF(27&gt;=$C23,$B23/12*(1+'Assumptions'!$B$26)*(1+'Assumptions'!$B$27)^2*(1-IF(27&lt;=$G23,$F23,0)),0)</f>
        <v/>
      </c>
      <c r="AJ23" s="22">
        <f>IF(28&gt;=$C23,$B23/12*(1+'Assumptions'!$B$26)*(1+'Assumptions'!$B$27)^2*(1-IF(28&lt;=$G23,$F23,0)),0)</f>
        <v/>
      </c>
      <c r="AK23" s="22">
        <f>IF(29&gt;=$C23,$B23/12*(1+'Assumptions'!$B$26)*(1+'Assumptions'!$B$27)^2*(1-IF(29&lt;=$G23,$F23,0)),0)</f>
        <v/>
      </c>
      <c r="AL23" s="22">
        <f>IF(30&gt;=$C23,$B23/12*(1+'Assumptions'!$B$26)*(1+'Assumptions'!$B$27)^2*(1-IF(30&lt;=$G23,$F23,0)),0)</f>
        <v/>
      </c>
      <c r="AM23" s="22">
        <f>IF(31&gt;=$C23,$B23/12*(1+'Assumptions'!$B$26)*(1+'Assumptions'!$B$27)^2*(1-IF(31&lt;=$G23,$F23,0)),0)</f>
        <v/>
      </c>
      <c r="AN23" s="22">
        <f>IF(32&gt;=$C23,$B23/12*(1+'Assumptions'!$B$26)*(1+'Assumptions'!$B$27)^2*(1-IF(32&lt;=$G23,$F23,0)),0)</f>
        <v/>
      </c>
      <c r="AO23" s="22">
        <f>IF(33&gt;=$C23,$B23/12*(1+'Assumptions'!$B$26)*(1+'Assumptions'!$B$27)^2*(1-IF(33&lt;=$G23,$F23,0)),0)</f>
        <v/>
      </c>
      <c r="AP23" s="22">
        <f>IF(34&gt;=$C23,$B23/12*(1+'Assumptions'!$B$26)*(1+'Assumptions'!$B$27)^2*(1-IF(34&lt;=$G23,$F23,0)),0)</f>
        <v/>
      </c>
      <c r="AQ23" s="22">
        <f>IF(35&gt;=$C23,$B23/12*(1+'Assumptions'!$B$26)*(1+'Assumptions'!$B$27)^2*(1-IF(35&lt;=$G23,$F23,0)),0)</f>
        <v/>
      </c>
      <c r="AR23" s="22">
        <f>IF(36&gt;=$C23,$B23/12*(1+'Assumptions'!$B$26)*(1+'Assumptions'!$B$27)^2*(1-IF(36&lt;=$G23,$F23,0)),0)</f>
        <v/>
      </c>
    </row>
    <row r="24">
      <c r="A24" s="4" t="inlineStr">
        <is>
          <t>Capacity hire - 6th RN - RN Case Manager (capacity-driv  [census-triggered - slip if ramp lags]</t>
        </is>
      </c>
      <c r="B24" s="11" t="n">
        <v>76256</v>
      </c>
      <c r="C24" s="8" t="n">
        <v>35</v>
      </c>
      <c r="D24" s="25" t="inlineStr">
        <is>
          <t>D</t>
        </is>
      </c>
      <c r="E24" s="8" t="n">
        <v>3</v>
      </c>
      <c r="F24" s="26">
        <f>IF(0,'Assumptions'!$B$28,0)</f>
        <v/>
      </c>
      <c r="G24" s="24">
        <f>'Assumptions'!$B$29</f>
        <v/>
      </c>
      <c r="I24" s="22">
        <f>IF(1&gt;=$C24,$B24/12*(1+'Assumptions'!$B$26)*(1+'Assumptions'!$B$27)^0*(1-IF(1&lt;=$G24,$F24,0)),0)</f>
        <v/>
      </c>
      <c r="J24" s="22">
        <f>IF(2&gt;=$C24,$B24/12*(1+'Assumptions'!$B$26)*(1+'Assumptions'!$B$27)^0*(1-IF(2&lt;=$G24,$F24,0)),0)</f>
        <v/>
      </c>
      <c r="K24" s="22">
        <f>IF(3&gt;=$C24,$B24/12*(1+'Assumptions'!$B$26)*(1+'Assumptions'!$B$27)^0*(1-IF(3&lt;=$G24,$F24,0)),0)</f>
        <v/>
      </c>
      <c r="L24" s="22">
        <f>IF(4&gt;=$C24,$B24/12*(1+'Assumptions'!$B$26)*(1+'Assumptions'!$B$27)^0*(1-IF(4&lt;=$G24,$F24,0)),0)</f>
        <v/>
      </c>
      <c r="M24" s="22">
        <f>IF(5&gt;=$C24,$B24/12*(1+'Assumptions'!$B$26)*(1+'Assumptions'!$B$27)^0*(1-IF(5&lt;=$G24,$F24,0)),0)</f>
        <v/>
      </c>
      <c r="N24" s="22">
        <f>IF(6&gt;=$C24,$B24/12*(1+'Assumptions'!$B$26)*(1+'Assumptions'!$B$27)^0*(1-IF(6&lt;=$G24,$F24,0)),0)</f>
        <v/>
      </c>
      <c r="O24" s="22">
        <f>IF(7&gt;=$C24,$B24/12*(1+'Assumptions'!$B$26)*(1+'Assumptions'!$B$27)^0*(1-IF(7&lt;=$G24,$F24,0)),0)</f>
        <v/>
      </c>
      <c r="P24" s="22">
        <f>IF(8&gt;=$C24,$B24/12*(1+'Assumptions'!$B$26)*(1+'Assumptions'!$B$27)^0*(1-IF(8&lt;=$G24,$F24,0)),0)</f>
        <v/>
      </c>
      <c r="Q24" s="22">
        <f>IF(9&gt;=$C24,$B24/12*(1+'Assumptions'!$B$26)*(1+'Assumptions'!$B$27)^0*(1-IF(9&lt;=$G24,$F24,0)),0)</f>
        <v/>
      </c>
      <c r="R24" s="22">
        <f>IF(10&gt;=$C24,$B24/12*(1+'Assumptions'!$B$26)*(1+'Assumptions'!$B$27)^0*(1-IF(10&lt;=$G24,$F24,0)),0)</f>
        <v/>
      </c>
      <c r="S24" s="22">
        <f>IF(11&gt;=$C24,$B24/12*(1+'Assumptions'!$B$26)*(1+'Assumptions'!$B$27)^0*(1-IF(11&lt;=$G24,$F24,0)),0)</f>
        <v/>
      </c>
      <c r="T24" s="22">
        <f>IF(12&gt;=$C24,$B24/12*(1+'Assumptions'!$B$26)*(1+'Assumptions'!$B$27)^0*(1-IF(12&lt;=$G24,$F24,0)),0)</f>
        <v/>
      </c>
      <c r="U24" s="22">
        <f>IF(13&gt;=$C24,$B24/12*(1+'Assumptions'!$B$26)*(1+'Assumptions'!$B$27)^1*(1-IF(13&lt;=$G24,$F24,0)),0)</f>
        <v/>
      </c>
      <c r="V24" s="22">
        <f>IF(14&gt;=$C24,$B24/12*(1+'Assumptions'!$B$26)*(1+'Assumptions'!$B$27)^1*(1-IF(14&lt;=$G24,$F24,0)),0)</f>
        <v/>
      </c>
      <c r="W24" s="22">
        <f>IF(15&gt;=$C24,$B24/12*(1+'Assumptions'!$B$26)*(1+'Assumptions'!$B$27)^1*(1-IF(15&lt;=$G24,$F24,0)),0)</f>
        <v/>
      </c>
      <c r="X24" s="22">
        <f>IF(16&gt;=$C24,$B24/12*(1+'Assumptions'!$B$26)*(1+'Assumptions'!$B$27)^1*(1-IF(16&lt;=$G24,$F24,0)),0)</f>
        <v/>
      </c>
      <c r="Y24" s="22">
        <f>IF(17&gt;=$C24,$B24/12*(1+'Assumptions'!$B$26)*(1+'Assumptions'!$B$27)^1*(1-IF(17&lt;=$G24,$F24,0)),0)</f>
        <v/>
      </c>
      <c r="Z24" s="22">
        <f>IF(18&gt;=$C24,$B24/12*(1+'Assumptions'!$B$26)*(1+'Assumptions'!$B$27)^1*(1-IF(18&lt;=$G24,$F24,0)),0)</f>
        <v/>
      </c>
      <c r="AA24" s="22">
        <f>IF(19&gt;=$C24,$B24/12*(1+'Assumptions'!$B$26)*(1+'Assumptions'!$B$27)^1*(1-IF(19&lt;=$G24,$F24,0)),0)</f>
        <v/>
      </c>
      <c r="AB24" s="22">
        <f>IF(20&gt;=$C24,$B24/12*(1+'Assumptions'!$B$26)*(1+'Assumptions'!$B$27)^1*(1-IF(20&lt;=$G24,$F24,0)),0)</f>
        <v/>
      </c>
      <c r="AC24" s="22">
        <f>IF(21&gt;=$C24,$B24/12*(1+'Assumptions'!$B$26)*(1+'Assumptions'!$B$27)^1*(1-IF(21&lt;=$G24,$F24,0)),0)</f>
        <v/>
      </c>
      <c r="AD24" s="22">
        <f>IF(22&gt;=$C24,$B24/12*(1+'Assumptions'!$B$26)*(1+'Assumptions'!$B$27)^1*(1-IF(22&lt;=$G24,$F24,0)),0)</f>
        <v/>
      </c>
      <c r="AE24" s="22">
        <f>IF(23&gt;=$C24,$B24/12*(1+'Assumptions'!$B$26)*(1+'Assumptions'!$B$27)^1*(1-IF(23&lt;=$G24,$F24,0)),0)</f>
        <v/>
      </c>
      <c r="AF24" s="22">
        <f>IF(24&gt;=$C24,$B24/12*(1+'Assumptions'!$B$26)*(1+'Assumptions'!$B$27)^1*(1-IF(24&lt;=$G24,$F24,0)),0)</f>
        <v/>
      </c>
      <c r="AG24" s="22">
        <f>IF(25&gt;=$C24,$B24/12*(1+'Assumptions'!$B$26)*(1+'Assumptions'!$B$27)^2*(1-IF(25&lt;=$G24,$F24,0)),0)</f>
        <v/>
      </c>
      <c r="AH24" s="22">
        <f>IF(26&gt;=$C24,$B24/12*(1+'Assumptions'!$B$26)*(1+'Assumptions'!$B$27)^2*(1-IF(26&lt;=$G24,$F24,0)),0)</f>
        <v/>
      </c>
      <c r="AI24" s="22">
        <f>IF(27&gt;=$C24,$B24/12*(1+'Assumptions'!$B$26)*(1+'Assumptions'!$B$27)^2*(1-IF(27&lt;=$G24,$F24,0)),0)</f>
        <v/>
      </c>
      <c r="AJ24" s="22">
        <f>IF(28&gt;=$C24,$B24/12*(1+'Assumptions'!$B$26)*(1+'Assumptions'!$B$27)^2*(1-IF(28&lt;=$G24,$F24,0)),0)</f>
        <v/>
      </c>
      <c r="AK24" s="22">
        <f>IF(29&gt;=$C24,$B24/12*(1+'Assumptions'!$B$26)*(1+'Assumptions'!$B$27)^2*(1-IF(29&lt;=$G24,$F24,0)),0)</f>
        <v/>
      </c>
      <c r="AL24" s="22">
        <f>IF(30&gt;=$C24,$B24/12*(1+'Assumptions'!$B$26)*(1+'Assumptions'!$B$27)^2*(1-IF(30&lt;=$G24,$F24,0)),0)</f>
        <v/>
      </c>
      <c r="AM24" s="22">
        <f>IF(31&gt;=$C24,$B24/12*(1+'Assumptions'!$B$26)*(1+'Assumptions'!$B$27)^2*(1-IF(31&lt;=$G24,$F24,0)),0)</f>
        <v/>
      </c>
      <c r="AN24" s="22">
        <f>IF(32&gt;=$C24,$B24/12*(1+'Assumptions'!$B$26)*(1+'Assumptions'!$B$27)^2*(1-IF(32&lt;=$G24,$F24,0)),0)</f>
        <v/>
      </c>
      <c r="AO24" s="22">
        <f>IF(33&gt;=$C24,$B24/12*(1+'Assumptions'!$B$26)*(1+'Assumptions'!$B$27)^2*(1-IF(33&lt;=$G24,$F24,0)),0)</f>
        <v/>
      </c>
      <c r="AP24" s="22">
        <f>IF(34&gt;=$C24,$B24/12*(1+'Assumptions'!$B$26)*(1+'Assumptions'!$B$27)^2*(1-IF(34&lt;=$G24,$F24,0)),0)</f>
        <v/>
      </c>
      <c r="AQ24" s="22">
        <f>IF(35&gt;=$C24,$B24/12*(1+'Assumptions'!$B$26)*(1+'Assumptions'!$B$27)^2*(1-IF(35&lt;=$G24,$F24,0)),0)</f>
        <v/>
      </c>
      <c r="AR24" s="22">
        <f>IF(36&gt;=$C24,$B24/12*(1+'Assumptions'!$B$26)*(1+'Assumptions'!$B$27)^2*(1-IF(36&lt;=$G24,$F24,0)),0)</f>
        <v/>
      </c>
    </row>
    <row r="25">
      <c r="A25" s="4" t="inlineStr">
        <is>
          <t xml:space="preserve">Quality / Compliance Manager - QAPI program | CoP compliance </t>
        </is>
      </c>
      <c r="B25" s="11" t="n">
        <v>80000</v>
      </c>
      <c r="C25" s="8" t="n">
        <v>8</v>
      </c>
      <c r="D25" s="25" t="inlineStr">
        <is>
          <t>I</t>
        </is>
      </c>
      <c r="E25" s="8" t="n">
        <v>3</v>
      </c>
      <c r="F25" s="26">
        <f>IF(0,'Assumptions'!$B$28,0)</f>
        <v/>
      </c>
      <c r="G25" s="24">
        <f>'Assumptions'!$B$29</f>
        <v/>
      </c>
      <c r="I25" s="22">
        <f>IF(1&gt;=$C25,$B25/12*(1+'Assumptions'!$B$26)*(1+'Assumptions'!$B$27)^0*(1-IF(1&lt;=$G25,$F25,0)),0)</f>
        <v/>
      </c>
      <c r="J25" s="22">
        <f>IF(2&gt;=$C25,$B25/12*(1+'Assumptions'!$B$26)*(1+'Assumptions'!$B$27)^0*(1-IF(2&lt;=$G25,$F25,0)),0)</f>
        <v/>
      </c>
      <c r="K25" s="22">
        <f>IF(3&gt;=$C25,$B25/12*(1+'Assumptions'!$B$26)*(1+'Assumptions'!$B$27)^0*(1-IF(3&lt;=$G25,$F25,0)),0)</f>
        <v/>
      </c>
      <c r="L25" s="22">
        <f>IF(4&gt;=$C25,$B25/12*(1+'Assumptions'!$B$26)*(1+'Assumptions'!$B$27)^0*(1-IF(4&lt;=$G25,$F25,0)),0)</f>
        <v/>
      </c>
      <c r="M25" s="22">
        <f>IF(5&gt;=$C25,$B25/12*(1+'Assumptions'!$B$26)*(1+'Assumptions'!$B$27)^0*(1-IF(5&lt;=$G25,$F25,0)),0)</f>
        <v/>
      </c>
      <c r="N25" s="22">
        <f>IF(6&gt;=$C25,$B25/12*(1+'Assumptions'!$B$26)*(1+'Assumptions'!$B$27)^0*(1-IF(6&lt;=$G25,$F25,0)),0)</f>
        <v/>
      </c>
      <c r="O25" s="22">
        <f>IF(7&gt;=$C25,$B25/12*(1+'Assumptions'!$B$26)*(1+'Assumptions'!$B$27)^0*(1-IF(7&lt;=$G25,$F25,0)),0)</f>
        <v/>
      </c>
      <c r="P25" s="22">
        <f>IF(8&gt;=$C25,$B25/12*(1+'Assumptions'!$B$26)*(1+'Assumptions'!$B$27)^0*(1-IF(8&lt;=$G25,$F25,0)),0)</f>
        <v/>
      </c>
      <c r="Q25" s="22">
        <f>IF(9&gt;=$C25,$B25/12*(1+'Assumptions'!$B$26)*(1+'Assumptions'!$B$27)^0*(1-IF(9&lt;=$G25,$F25,0)),0)</f>
        <v/>
      </c>
      <c r="R25" s="22">
        <f>IF(10&gt;=$C25,$B25/12*(1+'Assumptions'!$B$26)*(1+'Assumptions'!$B$27)^0*(1-IF(10&lt;=$G25,$F25,0)),0)</f>
        <v/>
      </c>
      <c r="S25" s="22">
        <f>IF(11&gt;=$C25,$B25/12*(1+'Assumptions'!$B$26)*(1+'Assumptions'!$B$27)^0*(1-IF(11&lt;=$G25,$F25,0)),0)</f>
        <v/>
      </c>
      <c r="T25" s="22">
        <f>IF(12&gt;=$C25,$B25/12*(1+'Assumptions'!$B$26)*(1+'Assumptions'!$B$27)^0*(1-IF(12&lt;=$G25,$F25,0)),0)</f>
        <v/>
      </c>
      <c r="U25" s="22">
        <f>IF(13&gt;=$C25,$B25/12*(1+'Assumptions'!$B$26)*(1+'Assumptions'!$B$27)^1*(1-IF(13&lt;=$G25,$F25,0)),0)</f>
        <v/>
      </c>
      <c r="V25" s="22">
        <f>IF(14&gt;=$C25,$B25/12*(1+'Assumptions'!$B$26)*(1+'Assumptions'!$B$27)^1*(1-IF(14&lt;=$G25,$F25,0)),0)</f>
        <v/>
      </c>
      <c r="W25" s="22">
        <f>IF(15&gt;=$C25,$B25/12*(1+'Assumptions'!$B$26)*(1+'Assumptions'!$B$27)^1*(1-IF(15&lt;=$G25,$F25,0)),0)</f>
        <v/>
      </c>
      <c r="X25" s="22">
        <f>IF(16&gt;=$C25,$B25/12*(1+'Assumptions'!$B$26)*(1+'Assumptions'!$B$27)^1*(1-IF(16&lt;=$G25,$F25,0)),0)</f>
        <v/>
      </c>
      <c r="Y25" s="22">
        <f>IF(17&gt;=$C25,$B25/12*(1+'Assumptions'!$B$26)*(1+'Assumptions'!$B$27)^1*(1-IF(17&lt;=$G25,$F25,0)),0)</f>
        <v/>
      </c>
      <c r="Z25" s="22">
        <f>IF(18&gt;=$C25,$B25/12*(1+'Assumptions'!$B$26)*(1+'Assumptions'!$B$27)^1*(1-IF(18&lt;=$G25,$F25,0)),0)</f>
        <v/>
      </c>
      <c r="AA25" s="22">
        <f>IF(19&gt;=$C25,$B25/12*(1+'Assumptions'!$B$26)*(1+'Assumptions'!$B$27)^1*(1-IF(19&lt;=$G25,$F25,0)),0)</f>
        <v/>
      </c>
      <c r="AB25" s="22">
        <f>IF(20&gt;=$C25,$B25/12*(1+'Assumptions'!$B$26)*(1+'Assumptions'!$B$27)^1*(1-IF(20&lt;=$G25,$F25,0)),0)</f>
        <v/>
      </c>
      <c r="AC25" s="22">
        <f>IF(21&gt;=$C25,$B25/12*(1+'Assumptions'!$B$26)*(1+'Assumptions'!$B$27)^1*(1-IF(21&lt;=$G25,$F25,0)),0)</f>
        <v/>
      </c>
      <c r="AD25" s="22">
        <f>IF(22&gt;=$C25,$B25/12*(1+'Assumptions'!$B$26)*(1+'Assumptions'!$B$27)^1*(1-IF(22&lt;=$G25,$F25,0)),0)</f>
        <v/>
      </c>
      <c r="AE25" s="22">
        <f>IF(23&gt;=$C25,$B25/12*(1+'Assumptions'!$B$26)*(1+'Assumptions'!$B$27)^1*(1-IF(23&lt;=$G25,$F25,0)),0)</f>
        <v/>
      </c>
      <c r="AF25" s="22">
        <f>IF(24&gt;=$C25,$B25/12*(1+'Assumptions'!$B$26)*(1+'Assumptions'!$B$27)^1*(1-IF(24&lt;=$G25,$F25,0)),0)</f>
        <v/>
      </c>
      <c r="AG25" s="22">
        <f>IF(25&gt;=$C25,$B25/12*(1+'Assumptions'!$B$26)*(1+'Assumptions'!$B$27)^2*(1-IF(25&lt;=$G25,$F25,0)),0)</f>
        <v/>
      </c>
      <c r="AH25" s="22">
        <f>IF(26&gt;=$C25,$B25/12*(1+'Assumptions'!$B$26)*(1+'Assumptions'!$B$27)^2*(1-IF(26&lt;=$G25,$F25,0)),0)</f>
        <v/>
      </c>
      <c r="AI25" s="22">
        <f>IF(27&gt;=$C25,$B25/12*(1+'Assumptions'!$B$26)*(1+'Assumptions'!$B$27)^2*(1-IF(27&lt;=$G25,$F25,0)),0)</f>
        <v/>
      </c>
      <c r="AJ25" s="22">
        <f>IF(28&gt;=$C25,$B25/12*(1+'Assumptions'!$B$26)*(1+'Assumptions'!$B$27)^2*(1-IF(28&lt;=$G25,$F25,0)),0)</f>
        <v/>
      </c>
      <c r="AK25" s="22">
        <f>IF(29&gt;=$C25,$B25/12*(1+'Assumptions'!$B$26)*(1+'Assumptions'!$B$27)^2*(1-IF(29&lt;=$G25,$F25,0)),0)</f>
        <v/>
      </c>
      <c r="AL25" s="22">
        <f>IF(30&gt;=$C25,$B25/12*(1+'Assumptions'!$B$26)*(1+'Assumptions'!$B$27)^2*(1-IF(30&lt;=$G25,$F25,0)),0)</f>
        <v/>
      </c>
      <c r="AM25" s="22">
        <f>IF(31&gt;=$C25,$B25/12*(1+'Assumptions'!$B$26)*(1+'Assumptions'!$B$27)^2*(1-IF(31&lt;=$G25,$F25,0)),0)</f>
        <v/>
      </c>
      <c r="AN25" s="22">
        <f>IF(32&gt;=$C25,$B25/12*(1+'Assumptions'!$B$26)*(1+'Assumptions'!$B$27)^2*(1-IF(32&lt;=$G25,$F25,0)),0)</f>
        <v/>
      </c>
      <c r="AO25" s="22">
        <f>IF(33&gt;=$C25,$B25/12*(1+'Assumptions'!$B$26)*(1+'Assumptions'!$B$27)^2*(1-IF(33&lt;=$G25,$F25,0)),0)</f>
        <v/>
      </c>
      <c r="AP25" s="22">
        <f>IF(34&gt;=$C25,$B25/12*(1+'Assumptions'!$B$26)*(1+'Assumptions'!$B$27)^2*(1-IF(34&lt;=$G25,$F25,0)),0)</f>
        <v/>
      </c>
      <c r="AQ25" s="22">
        <f>IF(35&gt;=$C25,$B25/12*(1+'Assumptions'!$B$26)*(1+'Assumptions'!$B$27)^2*(1-IF(35&lt;=$G25,$F25,0)),0)</f>
        <v/>
      </c>
      <c r="AR25" s="22">
        <f>IF(36&gt;=$C25,$B25/12*(1+'Assumptions'!$B$26)*(1+'Assumptions'!$B$27)^2*(1-IF(36&lt;=$G25,$F25,0)),0)</f>
        <v/>
      </c>
    </row>
    <row r="26">
      <c r="A26" s="4" t="inlineStr">
        <is>
          <t>Intake / Admissions Coordinator - Referral intake | IDG admit co</t>
        </is>
      </c>
      <c r="B26" s="11" t="n">
        <v>55000</v>
      </c>
      <c r="C26" s="8" t="n">
        <v>10</v>
      </c>
      <c r="D26" s="25" t="inlineStr">
        <is>
          <t>I</t>
        </is>
      </c>
      <c r="E26" s="8" t="n">
        <v>3</v>
      </c>
      <c r="F26" s="26">
        <f>IF(0,'Assumptions'!$B$28,0)</f>
        <v/>
      </c>
      <c r="G26" s="24">
        <f>'Assumptions'!$B$29</f>
        <v/>
      </c>
      <c r="I26" s="22">
        <f>IF(1&gt;=$C26,$B26/12*(1+'Assumptions'!$B$26)*(1+'Assumptions'!$B$27)^0*(1-IF(1&lt;=$G26,$F26,0)),0)</f>
        <v/>
      </c>
      <c r="J26" s="22">
        <f>IF(2&gt;=$C26,$B26/12*(1+'Assumptions'!$B$26)*(1+'Assumptions'!$B$27)^0*(1-IF(2&lt;=$G26,$F26,0)),0)</f>
        <v/>
      </c>
      <c r="K26" s="22">
        <f>IF(3&gt;=$C26,$B26/12*(1+'Assumptions'!$B$26)*(1+'Assumptions'!$B$27)^0*(1-IF(3&lt;=$G26,$F26,0)),0)</f>
        <v/>
      </c>
      <c r="L26" s="22">
        <f>IF(4&gt;=$C26,$B26/12*(1+'Assumptions'!$B$26)*(1+'Assumptions'!$B$27)^0*(1-IF(4&lt;=$G26,$F26,0)),0)</f>
        <v/>
      </c>
      <c r="M26" s="22">
        <f>IF(5&gt;=$C26,$B26/12*(1+'Assumptions'!$B$26)*(1+'Assumptions'!$B$27)^0*(1-IF(5&lt;=$G26,$F26,0)),0)</f>
        <v/>
      </c>
      <c r="N26" s="22">
        <f>IF(6&gt;=$C26,$B26/12*(1+'Assumptions'!$B$26)*(1+'Assumptions'!$B$27)^0*(1-IF(6&lt;=$G26,$F26,0)),0)</f>
        <v/>
      </c>
      <c r="O26" s="22">
        <f>IF(7&gt;=$C26,$B26/12*(1+'Assumptions'!$B$26)*(1+'Assumptions'!$B$27)^0*(1-IF(7&lt;=$G26,$F26,0)),0)</f>
        <v/>
      </c>
      <c r="P26" s="22">
        <f>IF(8&gt;=$C26,$B26/12*(1+'Assumptions'!$B$26)*(1+'Assumptions'!$B$27)^0*(1-IF(8&lt;=$G26,$F26,0)),0)</f>
        <v/>
      </c>
      <c r="Q26" s="22">
        <f>IF(9&gt;=$C26,$B26/12*(1+'Assumptions'!$B$26)*(1+'Assumptions'!$B$27)^0*(1-IF(9&lt;=$G26,$F26,0)),0)</f>
        <v/>
      </c>
      <c r="R26" s="22">
        <f>IF(10&gt;=$C26,$B26/12*(1+'Assumptions'!$B$26)*(1+'Assumptions'!$B$27)^0*(1-IF(10&lt;=$G26,$F26,0)),0)</f>
        <v/>
      </c>
      <c r="S26" s="22">
        <f>IF(11&gt;=$C26,$B26/12*(1+'Assumptions'!$B$26)*(1+'Assumptions'!$B$27)^0*(1-IF(11&lt;=$G26,$F26,0)),0)</f>
        <v/>
      </c>
      <c r="T26" s="22">
        <f>IF(12&gt;=$C26,$B26/12*(1+'Assumptions'!$B$26)*(1+'Assumptions'!$B$27)^0*(1-IF(12&lt;=$G26,$F26,0)),0)</f>
        <v/>
      </c>
      <c r="U26" s="22">
        <f>IF(13&gt;=$C26,$B26/12*(1+'Assumptions'!$B$26)*(1+'Assumptions'!$B$27)^1*(1-IF(13&lt;=$G26,$F26,0)),0)</f>
        <v/>
      </c>
      <c r="V26" s="22">
        <f>IF(14&gt;=$C26,$B26/12*(1+'Assumptions'!$B$26)*(1+'Assumptions'!$B$27)^1*(1-IF(14&lt;=$G26,$F26,0)),0)</f>
        <v/>
      </c>
      <c r="W26" s="22">
        <f>IF(15&gt;=$C26,$B26/12*(1+'Assumptions'!$B$26)*(1+'Assumptions'!$B$27)^1*(1-IF(15&lt;=$G26,$F26,0)),0)</f>
        <v/>
      </c>
      <c r="X26" s="22">
        <f>IF(16&gt;=$C26,$B26/12*(1+'Assumptions'!$B$26)*(1+'Assumptions'!$B$27)^1*(1-IF(16&lt;=$G26,$F26,0)),0)</f>
        <v/>
      </c>
      <c r="Y26" s="22">
        <f>IF(17&gt;=$C26,$B26/12*(1+'Assumptions'!$B$26)*(1+'Assumptions'!$B$27)^1*(1-IF(17&lt;=$G26,$F26,0)),0)</f>
        <v/>
      </c>
      <c r="Z26" s="22">
        <f>IF(18&gt;=$C26,$B26/12*(1+'Assumptions'!$B$26)*(1+'Assumptions'!$B$27)^1*(1-IF(18&lt;=$G26,$F26,0)),0)</f>
        <v/>
      </c>
      <c r="AA26" s="22">
        <f>IF(19&gt;=$C26,$B26/12*(1+'Assumptions'!$B$26)*(1+'Assumptions'!$B$27)^1*(1-IF(19&lt;=$G26,$F26,0)),0)</f>
        <v/>
      </c>
      <c r="AB26" s="22">
        <f>IF(20&gt;=$C26,$B26/12*(1+'Assumptions'!$B$26)*(1+'Assumptions'!$B$27)^1*(1-IF(20&lt;=$G26,$F26,0)),0)</f>
        <v/>
      </c>
      <c r="AC26" s="22">
        <f>IF(21&gt;=$C26,$B26/12*(1+'Assumptions'!$B$26)*(1+'Assumptions'!$B$27)^1*(1-IF(21&lt;=$G26,$F26,0)),0)</f>
        <v/>
      </c>
      <c r="AD26" s="22">
        <f>IF(22&gt;=$C26,$B26/12*(1+'Assumptions'!$B$26)*(1+'Assumptions'!$B$27)^1*(1-IF(22&lt;=$G26,$F26,0)),0)</f>
        <v/>
      </c>
      <c r="AE26" s="22">
        <f>IF(23&gt;=$C26,$B26/12*(1+'Assumptions'!$B$26)*(1+'Assumptions'!$B$27)^1*(1-IF(23&lt;=$G26,$F26,0)),0)</f>
        <v/>
      </c>
      <c r="AF26" s="22">
        <f>IF(24&gt;=$C26,$B26/12*(1+'Assumptions'!$B$26)*(1+'Assumptions'!$B$27)^1*(1-IF(24&lt;=$G26,$F26,0)),0)</f>
        <v/>
      </c>
      <c r="AG26" s="22">
        <f>IF(25&gt;=$C26,$B26/12*(1+'Assumptions'!$B$26)*(1+'Assumptions'!$B$27)^2*(1-IF(25&lt;=$G26,$F26,0)),0)</f>
        <v/>
      </c>
      <c r="AH26" s="22">
        <f>IF(26&gt;=$C26,$B26/12*(1+'Assumptions'!$B$26)*(1+'Assumptions'!$B$27)^2*(1-IF(26&lt;=$G26,$F26,0)),0)</f>
        <v/>
      </c>
      <c r="AI26" s="22">
        <f>IF(27&gt;=$C26,$B26/12*(1+'Assumptions'!$B$26)*(1+'Assumptions'!$B$27)^2*(1-IF(27&lt;=$G26,$F26,0)),0)</f>
        <v/>
      </c>
      <c r="AJ26" s="22">
        <f>IF(28&gt;=$C26,$B26/12*(1+'Assumptions'!$B$26)*(1+'Assumptions'!$B$27)^2*(1-IF(28&lt;=$G26,$F26,0)),0)</f>
        <v/>
      </c>
      <c r="AK26" s="22">
        <f>IF(29&gt;=$C26,$B26/12*(1+'Assumptions'!$B$26)*(1+'Assumptions'!$B$27)^2*(1-IF(29&lt;=$G26,$F26,0)),0)</f>
        <v/>
      </c>
      <c r="AL26" s="22">
        <f>IF(30&gt;=$C26,$B26/12*(1+'Assumptions'!$B$26)*(1+'Assumptions'!$B$27)^2*(1-IF(30&lt;=$G26,$F26,0)),0)</f>
        <v/>
      </c>
      <c r="AM26" s="22">
        <f>IF(31&gt;=$C26,$B26/12*(1+'Assumptions'!$B$26)*(1+'Assumptions'!$B$27)^2*(1-IF(31&lt;=$G26,$F26,0)),0)</f>
        <v/>
      </c>
      <c r="AN26" s="22">
        <f>IF(32&gt;=$C26,$B26/12*(1+'Assumptions'!$B$26)*(1+'Assumptions'!$B$27)^2*(1-IF(32&lt;=$G26,$F26,0)),0)</f>
        <v/>
      </c>
      <c r="AO26" s="22">
        <f>IF(33&gt;=$C26,$B26/12*(1+'Assumptions'!$B$26)*(1+'Assumptions'!$B$27)^2*(1-IF(33&lt;=$G26,$F26,0)),0)</f>
        <v/>
      </c>
      <c r="AP26" s="22">
        <f>IF(34&gt;=$C26,$B26/12*(1+'Assumptions'!$B$26)*(1+'Assumptions'!$B$27)^2*(1-IF(34&lt;=$G26,$F26,0)),0)</f>
        <v/>
      </c>
      <c r="AQ26" s="22">
        <f>IF(35&gt;=$C26,$B26/12*(1+'Assumptions'!$B$26)*(1+'Assumptions'!$B$27)^2*(1-IF(35&lt;=$G26,$F26,0)),0)</f>
        <v/>
      </c>
      <c r="AR26" s="22">
        <f>IF(36&gt;=$C26,$B26/12*(1+'Assumptions'!$B$26)*(1+'Assumptions'!$B$27)^2*(1-IF(36&lt;=$G26,$F26,0)),0)</f>
        <v/>
      </c>
    </row>
    <row r="27">
      <c r="A27" s="4" t="inlineStr">
        <is>
          <t>Volunteer Coordinator - Medicare CoP requirement | vol</t>
        </is>
      </c>
      <c r="B27" s="11" t="n">
        <v>50000</v>
      </c>
      <c r="C27" s="8" t="n">
        <v>12</v>
      </c>
      <c r="D27" s="25" t="inlineStr">
        <is>
          <t>I</t>
        </is>
      </c>
      <c r="E27" s="8" t="n">
        <v>3</v>
      </c>
      <c r="F27" s="26">
        <f>IF(0,'Assumptions'!$B$28,0)</f>
        <v/>
      </c>
      <c r="G27" s="24">
        <f>'Assumptions'!$B$29</f>
        <v/>
      </c>
      <c r="I27" s="22">
        <f>IF(1&gt;=$C27,$B27/12*(1+'Assumptions'!$B$26)*(1+'Assumptions'!$B$27)^0*(1-IF(1&lt;=$G27,$F27,0)),0)</f>
        <v/>
      </c>
      <c r="J27" s="22">
        <f>IF(2&gt;=$C27,$B27/12*(1+'Assumptions'!$B$26)*(1+'Assumptions'!$B$27)^0*(1-IF(2&lt;=$G27,$F27,0)),0)</f>
        <v/>
      </c>
      <c r="K27" s="22">
        <f>IF(3&gt;=$C27,$B27/12*(1+'Assumptions'!$B$26)*(1+'Assumptions'!$B$27)^0*(1-IF(3&lt;=$G27,$F27,0)),0)</f>
        <v/>
      </c>
      <c r="L27" s="22">
        <f>IF(4&gt;=$C27,$B27/12*(1+'Assumptions'!$B$26)*(1+'Assumptions'!$B$27)^0*(1-IF(4&lt;=$G27,$F27,0)),0)</f>
        <v/>
      </c>
      <c r="M27" s="22">
        <f>IF(5&gt;=$C27,$B27/12*(1+'Assumptions'!$B$26)*(1+'Assumptions'!$B$27)^0*(1-IF(5&lt;=$G27,$F27,0)),0)</f>
        <v/>
      </c>
      <c r="N27" s="22">
        <f>IF(6&gt;=$C27,$B27/12*(1+'Assumptions'!$B$26)*(1+'Assumptions'!$B$27)^0*(1-IF(6&lt;=$G27,$F27,0)),0)</f>
        <v/>
      </c>
      <c r="O27" s="22">
        <f>IF(7&gt;=$C27,$B27/12*(1+'Assumptions'!$B$26)*(1+'Assumptions'!$B$27)^0*(1-IF(7&lt;=$G27,$F27,0)),0)</f>
        <v/>
      </c>
      <c r="P27" s="22">
        <f>IF(8&gt;=$C27,$B27/12*(1+'Assumptions'!$B$26)*(1+'Assumptions'!$B$27)^0*(1-IF(8&lt;=$G27,$F27,0)),0)</f>
        <v/>
      </c>
      <c r="Q27" s="22">
        <f>IF(9&gt;=$C27,$B27/12*(1+'Assumptions'!$B$26)*(1+'Assumptions'!$B$27)^0*(1-IF(9&lt;=$G27,$F27,0)),0)</f>
        <v/>
      </c>
      <c r="R27" s="22">
        <f>IF(10&gt;=$C27,$B27/12*(1+'Assumptions'!$B$26)*(1+'Assumptions'!$B$27)^0*(1-IF(10&lt;=$G27,$F27,0)),0)</f>
        <v/>
      </c>
      <c r="S27" s="22">
        <f>IF(11&gt;=$C27,$B27/12*(1+'Assumptions'!$B$26)*(1+'Assumptions'!$B$27)^0*(1-IF(11&lt;=$G27,$F27,0)),0)</f>
        <v/>
      </c>
      <c r="T27" s="22">
        <f>IF(12&gt;=$C27,$B27/12*(1+'Assumptions'!$B$26)*(1+'Assumptions'!$B$27)^0*(1-IF(12&lt;=$G27,$F27,0)),0)</f>
        <v/>
      </c>
      <c r="U27" s="22">
        <f>IF(13&gt;=$C27,$B27/12*(1+'Assumptions'!$B$26)*(1+'Assumptions'!$B$27)^1*(1-IF(13&lt;=$G27,$F27,0)),0)</f>
        <v/>
      </c>
      <c r="V27" s="22">
        <f>IF(14&gt;=$C27,$B27/12*(1+'Assumptions'!$B$26)*(1+'Assumptions'!$B$27)^1*(1-IF(14&lt;=$G27,$F27,0)),0)</f>
        <v/>
      </c>
      <c r="W27" s="22">
        <f>IF(15&gt;=$C27,$B27/12*(1+'Assumptions'!$B$26)*(1+'Assumptions'!$B$27)^1*(1-IF(15&lt;=$G27,$F27,0)),0)</f>
        <v/>
      </c>
      <c r="X27" s="22">
        <f>IF(16&gt;=$C27,$B27/12*(1+'Assumptions'!$B$26)*(1+'Assumptions'!$B$27)^1*(1-IF(16&lt;=$G27,$F27,0)),0)</f>
        <v/>
      </c>
      <c r="Y27" s="22">
        <f>IF(17&gt;=$C27,$B27/12*(1+'Assumptions'!$B$26)*(1+'Assumptions'!$B$27)^1*(1-IF(17&lt;=$G27,$F27,0)),0)</f>
        <v/>
      </c>
      <c r="Z27" s="22">
        <f>IF(18&gt;=$C27,$B27/12*(1+'Assumptions'!$B$26)*(1+'Assumptions'!$B$27)^1*(1-IF(18&lt;=$G27,$F27,0)),0)</f>
        <v/>
      </c>
      <c r="AA27" s="22">
        <f>IF(19&gt;=$C27,$B27/12*(1+'Assumptions'!$B$26)*(1+'Assumptions'!$B$27)^1*(1-IF(19&lt;=$G27,$F27,0)),0)</f>
        <v/>
      </c>
      <c r="AB27" s="22">
        <f>IF(20&gt;=$C27,$B27/12*(1+'Assumptions'!$B$26)*(1+'Assumptions'!$B$27)^1*(1-IF(20&lt;=$G27,$F27,0)),0)</f>
        <v/>
      </c>
      <c r="AC27" s="22">
        <f>IF(21&gt;=$C27,$B27/12*(1+'Assumptions'!$B$26)*(1+'Assumptions'!$B$27)^1*(1-IF(21&lt;=$G27,$F27,0)),0)</f>
        <v/>
      </c>
      <c r="AD27" s="22">
        <f>IF(22&gt;=$C27,$B27/12*(1+'Assumptions'!$B$26)*(1+'Assumptions'!$B$27)^1*(1-IF(22&lt;=$G27,$F27,0)),0)</f>
        <v/>
      </c>
      <c r="AE27" s="22">
        <f>IF(23&gt;=$C27,$B27/12*(1+'Assumptions'!$B$26)*(1+'Assumptions'!$B$27)^1*(1-IF(23&lt;=$G27,$F27,0)),0)</f>
        <v/>
      </c>
      <c r="AF27" s="22">
        <f>IF(24&gt;=$C27,$B27/12*(1+'Assumptions'!$B$26)*(1+'Assumptions'!$B$27)^1*(1-IF(24&lt;=$G27,$F27,0)),0)</f>
        <v/>
      </c>
      <c r="AG27" s="22">
        <f>IF(25&gt;=$C27,$B27/12*(1+'Assumptions'!$B$26)*(1+'Assumptions'!$B$27)^2*(1-IF(25&lt;=$G27,$F27,0)),0)</f>
        <v/>
      </c>
      <c r="AH27" s="22">
        <f>IF(26&gt;=$C27,$B27/12*(1+'Assumptions'!$B$26)*(1+'Assumptions'!$B$27)^2*(1-IF(26&lt;=$G27,$F27,0)),0)</f>
        <v/>
      </c>
      <c r="AI27" s="22">
        <f>IF(27&gt;=$C27,$B27/12*(1+'Assumptions'!$B$26)*(1+'Assumptions'!$B$27)^2*(1-IF(27&lt;=$G27,$F27,0)),0)</f>
        <v/>
      </c>
      <c r="AJ27" s="22">
        <f>IF(28&gt;=$C27,$B27/12*(1+'Assumptions'!$B$26)*(1+'Assumptions'!$B$27)^2*(1-IF(28&lt;=$G27,$F27,0)),0)</f>
        <v/>
      </c>
      <c r="AK27" s="22">
        <f>IF(29&gt;=$C27,$B27/12*(1+'Assumptions'!$B$26)*(1+'Assumptions'!$B$27)^2*(1-IF(29&lt;=$G27,$F27,0)),0)</f>
        <v/>
      </c>
      <c r="AL27" s="22">
        <f>IF(30&gt;=$C27,$B27/12*(1+'Assumptions'!$B$26)*(1+'Assumptions'!$B$27)^2*(1-IF(30&lt;=$G27,$F27,0)),0)</f>
        <v/>
      </c>
      <c r="AM27" s="22">
        <f>IF(31&gt;=$C27,$B27/12*(1+'Assumptions'!$B$26)*(1+'Assumptions'!$B$27)^2*(1-IF(31&lt;=$G27,$F27,0)),0)</f>
        <v/>
      </c>
      <c r="AN27" s="22">
        <f>IF(32&gt;=$C27,$B27/12*(1+'Assumptions'!$B$26)*(1+'Assumptions'!$B$27)^2*(1-IF(32&lt;=$G27,$F27,0)),0)</f>
        <v/>
      </c>
      <c r="AO27" s="22">
        <f>IF(33&gt;=$C27,$B27/12*(1+'Assumptions'!$B$26)*(1+'Assumptions'!$B$27)^2*(1-IF(33&lt;=$G27,$F27,0)),0)</f>
        <v/>
      </c>
      <c r="AP27" s="22">
        <f>IF(34&gt;=$C27,$B27/12*(1+'Assumptions'!$B$26)*(1+'Assumptions'!$B$27)^2*(1-IF(34&lt;=$G27,$F27,0)),0)</f>
        <v/>
      </c>
      <c r="AQ27" s="22">
        <f>IF(35&gt;=$C27,$B27/12*(1+'Assumptions'!$B$26)*(1+'Assumptions'!$B$27)^2*(1-IF(35&lt;=$G27,$F27,0)),0)</f>
        <v/>
      </c>
      <c r="AR27" s="22">
        <f>IF(36&gt;=$C27,$B27/12*(1+'Assumptions'!$B$26)*(1+'Assumptions'!$B$27)^2*(1-IF(36&lt;=$G27,$F27,0)),0)</f>
        <v/>
      </c>
    </row>
    <row r="29">
      <c r="A29" s="4" t="inlineStr">
        <is>
          <t>W-2 salaries - DIRECT (clinical)</t>
        </is>
      </c>
      <c r="I29" s="22">
        <f>SUMPRODUCT(($D$6:$D$27="D")*I6:I27)</f>
        <v/>
      </c>
      <c r="J29" s="22">
        <f>SUMPRODUCT(($D$6:$D$27="D")*J6:J27)</f>
        <v/>
      </c>
      <c r="K29" s="22">
        <f>SUMPRODUCT(($D$6:$D$27="D")*K6:K27)</f>
        <v/>
      </c>
      <c r="L29" s="22">
        <f>SUMPRODUCT(($D$6:$D$27="D")*L6:L27)</f>
        <v/>
      </c>
      <c r="M29" s="22">
        <f>SUMPRODUCT(($D$6:$D$27="D")*M6:M27)</f>
        <v/>
      </c>
      <c r="N29" s="22">
        <f>SUMPRODUCT(($D$6:$D$27="D")*N6:N27)</f>
        <v/>
      </c>
      <c r="O29" s="22">
        <f>SUMPRODUCT(($D$6:$D$27="D")*O6:O27)</f>
        <v/>
      </c>
      <c r="P29" s="22">
        <f>SUMPRODUCT(($D$6:$D$27="D")*P6:P27)</f>
        <v/>
      </c>
      <c r="Q29" s="22">
        <f>SUMPRODUCT(($D$6:$D$27="D")*Q6:Q27)</f>
        <v/>
      </c>
      <c r="R29" s="22">
        <f>SUMPRODUCT(($D$6:$D$27="D")*R6:R27)</f>
        <v/>
      </c>
      <c r="S29" s="22">
        <f>SUMPRODUCT(($D$6:$D$27="D")*S6:S27)</f>
        <v/>
      </c>
      <c r="T29" s="22">
        <f>SUMPRODUCT(($D$6:$D$27="D")*T6:T27)</f>
        <v/>
      </c>
      <c r="U29" s="22">
        <f>SUMPRODUCT(($D$6:$D$27="D")*U6:U27)</f>
        <v/>
      </c>
      <c r="V29" s="22">
        <f>SUMPRODUCT(($D$6:$D$27="D")*V6:V27)</f>
        <v/>
      </c>
      <c r="W29" s="22">
        <f>SUMPRODUCT(($D$6:$D$27="D")*W6:W27)</f>
        <v/>
      </c>
      <c r="X29" s="22">
        <f>SUMPRODUCT(($D$6:$D$27="D")*X6:X27)</f>
        <v/>
      </c>
      <c r="Y29" s="22">
        <f>SUMPRODUCT(($D$6:$D$27="D")*Y6:Y27)</f>
        <v/>
      </c>
      <c r="Z29" s="22">
        <f>SUMPRODUCT(($D$6:$D$27="D")*Z6:Z27)</f>
        <v/>
      </c>
      <c r="AA29" s="22">
        <f>SUMPRODUCT(($D$6:$D$27="D")*AA6:AA27)</f>
        <v/>
      </c>
      <c r="AB29" s="22">
        <f>SUMPRODUCT(($D$6:$D$27="D")*AB6:AB27)</f>
        <v/>
      </c>
      <c r="AC29" s="22">
        <f>SUMPRODUCT(($D$6:$D$27="D")*AC6:AC27)</f>
        <v/>
      </c>
      <c r="AD29" s="22">
        <f>SUMPRODUCT(($D$6:$D$27="D")*AD6:AD27)</f>
        <v/>
      </c>
      <c r="AE29" s="22">
        <f>SUMPRODUCT(($D$6:$D$27="D")*AE6:AE27)</f>
        <v/>
      </c>
      <c r="AF29" s="22">
        <f>SUMPRODUCT(($D$6:$D$27="D")*AF6:AF27)</f>
        <v/>
      </c>
      <c r="AG29" s="22">
        <f>SUMPRODUCT(($D$6:$D$27="D")*AG6:AG27)</f>
        <v/>
      </c>
      <c r="AH29" s="22">
        <f>SUMPRODUCT(($D$6:$D$27="D")*AH6:AH27)</f>
        <v/>
      </c>
      <c r="AI29" s="22">
        <f>SUMPRODUCT(($D$6:$D$27="D")*AI6:AI27)</f>
        <v/>
      </c>
      <c r="AJ29" s="22">
        <f>SUMPRODUCT(($D$6:$D$27="D")*AJ6:AJ27)</f>
        <v/>
      </c>
      <c r="AK29" s="22">
        <f>SUMPRODUCT(($D$6:$D$27="D")*AK6:AK27)</f>
        <v/>
      </c>
      <c r="AL29" s="22">
        <f>SUMPRODUCT(($D$6:$D$27="D")*AL6:AL27)</f>
        <v/>
      </c>
      <c r="AM29" s="22">
        <f>SUMPRODUCT(($D$6:$D$27="D")*AM6:AM27)</f>
        <v/>
      </c>
      <c r="AN29" s="22">
        <f>SUMPRODUCT(($D$6:$D$27="D")*AN6:AN27)</f>
        <v/>
      </c>
      <c r="AO29" s="22">
        <f>SUMPRODUCT(($D$6:$D$27="D")*AO6:AO27)</f>
        <v/>
      </c>
      <c r="AP29" s="22">
        <f>SUMPRODUCT(($D$6:$D$27="D")*AP6:AP27)</f>
        <v/>
      </c>
      <c r="AQ29" s="22">
        <f>SUMPRODUCT(($D$6:$D$27="D")*AQ6:AQ27)</f>
        <v/>
      </c>
      <c r="AR29" s="22">
        <f>SUMPRODUCT(($D$6:$D$27="D")*AR6:AR27)</f>
        <v/>
      </c>
    </row>
    <row r="30">
      <c r="A30" s="4" t="inlineStr">
        <is>
          <t>W-2 salaries - INDIRECT (admin/sales)</t>
        </is>
      </c>
      <c r="I30" s="22">
        <f>SUMPRODUCT(($D$6:$D$27="I")*I6:I27)</f>
        <v/>
      </c>
      <c r="J30" s="22">
        <f>SUMPRODUCT(($D$6:$D$27="I")*J6:J27)</f>
        <v/>
      </c>
      <c r="K30" s="22">
        <f>SUMPRODUCT(($D$6:$D$27="I")*K6:K27)</f>
        <v/>
      </c>
      <c r="L30" s="22">
        <f>SUMPRODUCT(($D$6:$D$27="I")*L6:L27)</f>
        <v/>
      </c>
      <c r="M30" s="22">
        <f>SUMPRODUCT(($D$6:$D$27="I")*M6:M27)</f>
        <v/>
      </c>
      <c r="N30" s="22">
        <f>SUMPRODUCT(($D$6:$D$27="I")*N6:N27)</f>
        <v/>
      </c>
      <c r="O30" s="22">
        <f>SUMPRODUCT(($D$6:$D$27="I")*O6:O27)</f>
        <v/>
      </c>
      <c r="P30" s="22">
        <f>SUMPRODUCT(($D$6:$D$27="I")*P6:P27)</f>
        <v/>
      </c>
      <c r="Q30" s="22">
        <f>SUMPRODUCT(($D$6:$D$27="I")*Q6:Q27)</f>
        <v/>
      </c>
      <c r="R30" s="22">
        <f>SUMPRODUCT(($D$6:$D$27="I")*R6:R27)</f>
        <v/>
      </c>
      <c r="S30" s="22">
        <f>SUMPRODUCT(($D$6:$D$27="I")*S6:S27)</f>
        <v/>
      </c>
      <c r="T30" s="22">
        <f>SUMPRODUCT(($D$6:$D$27="I")*T6:T27)</f>
        <v/>
      </c>
      <c r="U30" s="22">
        <f>SUMPRODUCT(($D$6:$D$27="I")*U6:U27)</f>
        <v/>
      </c>
      <c r="V30" s="22">
        <f>SUMPRODUCT(($D$6:$D$27="I")*V6:V27)</f>
        <v/>
      </c>
      <c r="W30" s="22">
        <f>SUMPRODUCT(($D$6:$D$27="I")*W6:W27)</f>
        <v/>
      </c>
      <c r="X30" s="22">
        <f>SUMPRODUCT(($D$6:$D$27="I")*X6:X27)</f>
        <v/>
      </c>
      <c r="Y30" s="22">
        <f>SUMPRODUCT(($D$6:$D$27="I")*Y6:Y27)</f>
        <v/>
      </c>
      <c r="Z30" s="22">
        <f>SUMPRODUCT(($D$6:$D$27="I")*Z6:Z27)</f>
        <v/>
      </c>
      <c r="AA30" s="22">
        <f>SUMPRODUCT(($D$6:$D$27="I")*AA6:AA27)</f>
        <v/>
      </c>
      <c r="AB30" s="22">
        <f>SUMPRODUCT(($D$6:$D$27="I")*AB6:AB27)</f>
        <v/>
      </c>
      <c r="AC30" s="22">
        <f>SUMPRODUCT(($D$6:$D$27="I")*AC6:AC27)</f>
        <v/>
      </c>
      <c r="AD30" s="22">
        <f>SUMPRODUCT(($D$6:$D$27="I")*AD6:AD27)</f>
        <v/>
      </c>
      <c r="AE30" s="22">
        <f>SUMPRODUCT(($D$6:$D$27="I")*AE6:AE27)</f>
        <v/>
      </c>
      <c r="AF30" s="22">
        <f>SUMPRODUCT(($D$6:$D$27="I")*AF6:AF27)</f>
        <v/>
      </c>
      <c r="AG30" s="22">
        <f>SUMPRODUCT(($D$6:$D$27="I")*AG6:AG27)</f>
        <v/>
      </c>
      <c r="AH30" s="22">
        <f>SUMPRODUCT(($D$6:$D$27="I")*AH6:AH27)</f>
        <v/>
      </c>
      <c r="AI30" s="22">
        <f>SUMPRODUCT(($D$6:$D$27="I")*AI6:AI27)</f>
        <v/>
      </c>
      <c r="AJ30" s="22">
        <f>SUMPRODUCT(($D$6:$D$27="I")*AJ6:AJ27)</f>
        <v/>
      </c>
      <c r="AK30" s="22">
        <f>SUMPRODUCT(($D$6:$D$27="I")*AK6:AK27)</f>
        <v/>
      </c>
      <c r="AL30" s="22">
        <f>SUMPRODUCT(($D$6:$D$27="I")*AL6:AL27)</f>
        <v/>
      </c>
      <c r="AM30" s="22">
        <f>SUMPRODUCT(($D$6:$D$27="I")*AM6:AM27)</f>
        <v/>
      </c>
      <c r="AN30" s="22">
        <f>SUMPRODUCT(($D$6:$D$27="I")*AN6:AN27)</f>
        <v/>
      </c>
      <c r="AO30" s="22">
        <f>SUMPRODUCT(($D$6:$D$27="I")*AO6:AO27)</f>
        <v/>
      </c>
      <c r="AP30" s="22">
        <f>SUMPRODUCT(($D$6:$D$27="I")*AP6:AP27)</f>
        <v/>
      </c>
      <c r="AQ30" s="22">
        <f>SUMPRODUCT(($D$6:$D$27="I")*AQ6:AQ27)</f>
        <v/>
      </c>
      <c r="AR30" s="22">
        <f>SUMPRODUCT(($D$6:$D$27="I")*AR6:AR27)</f>
        <v/>
      </c>
    </row>
    <row r="31">
      <c r="A31" s="12" t="inlineStr">
        <is>
          <t>W-2 total</t>
        </is>
      </c>
      <c r="I31" s="27">
        <f>SUM(I6:I27)</f>
        <v/>
      </c>
      <c r="J31" s="27">
        <f>SUM(J6:J27)</f>
        <v/>
      </c>
      <c r="K31" s="27">
        <f>SUM(K6:K27)</f>
        <v/>
      </c>
      <c r="L31" s="27">
        <f>SUM(L6:L27)</f>
        <v/>
      </c>
      <c r="M31" s="27">
        <f>SUM(M6:M27)</f>
        <v/>
      </c>
      <c r="N31" s="27">
        <f>SUM(N6:N27)</f>
        <v/>
      </c>
      <c r="O31" s="27">
        <f>SUM(O6:O27)</f>
        <v/>
      </c>
      <c r="P31" s="27">
        <f>SUM(P6:P27)</f>
        <v/>
      </c>
      <c r="Q31" s="27">
        <f>SUM(Q6:Q27)</f>
        <v/>
      </c>
      <c r="R31" s="27">
        <f>SUM(R6:R27)</f>
        <v/>
      </c>
      <c r="S31" s="27">
        <f>SUM(S6:S27)</f>
        <v/>
      </c>
      <c r="T31" s="27">
        <f>SUM(T6:T27)</f>
        <v/>
      </c>
      <c r="U31" s="27">
        <f>SUM(U6:U27)</f>
        <v/>
      </c>
      <c r="V31" s="27">
        <f>SUM(V6:V27)</f>
        <v/>
      </c>
      <c r="W31" s="27">
        <f>SUM(W6:W27)</f>
        <v/>
      </c>
      <c r="X31" s="27">
        <f>SUM(X6:X27)</f>
        <v/>
      </c>
      <c r="Y31" s="27">
        <f>SUM(Y6:Y27)</f>
        <v/>
      </c>
      <c r="Z31" s="27">
        <f>SUM(Z6:Z27)</f>
        <v/>
      </c>
      <c r="AA31" s="27">
        <f>SUM(AA6:AA27)</f>
        <v/>
      </c>
      <c r="AB31" s="27">
        <f>SUM(AB6:AB27)</f>
        <v/>
      </c>
      <c r="AC31" s="27">
        <f>SUM(AC6:AC27)</f>
        <v/>
      </c>
      <c r="AD31" s="27">
        <f>SUM(AD6:AD27)</f>
        <v/>
      </c>
      <c r="AE31" s="27">
        <f>SUM(AE6:AE27)</f>
        <v/>
      </c>
      <c r="AF31" s="27">
        <f>SUM(AF6:AF27)</f>
        <v/>
      </c>
      <c r="AG31" s="27">
        <f>SUM(AG6:AG27)</f>
        <v/>
      </c>
      <c r="AH31" s="27">
        <f>SUM(AH6:AH27)</f>
        <v/>
      </c>
      <c r="AI31" s="27">
        <f>SUM(AI6:AI27)</f>
        <v/>
      </c>
      <c r="AJ31" s="27">
        <f>SUM(AJ6:AJ27)</f>
        <v/>
      </c>
      <c r="AK31" s="27">
        <f>SUM(AK6:AK27)</f>
        <v/>
      </c>
      <c r="AL31" s="27">
        <f>SUM(AL6:AL27)</f>
        <v/>
      </c>
      <c r="AM31" s="27">
        <f>SUM(AM6:AM27)</f>
        <v/>
      </c>
      <c r="AN31" s="27">
        <f>SUM(AN6:AN27)</f>
        <v/>
      </c>
      <c r="AO31" s="27">
        <f>SUM(AO6:AO27)</f>
        <v/>
      </c>
      <c r="AP31" s="27">
        <f>SUM(AP6:AP27)</f>
        <v/>
      </c>
      <c r="AQ31" s="27">
        <f>SUM(AQ6:AQ27)</f>
        <v/>
      </c>
      <c r="AR31" s="27">
        <f>SUM(AR6:AR27)</f>
        <v/>
      </c>
    </row>
    <row r="32">
      <c r="A32" s="4" t="inlineStr">
        <is>
          <t>PRN per-visit staff (census-driven)</t>
        </is>
      </c>
      <c r="I32" s="22">
        <f>Census!C20*SUMPRODUCT(Assumptions!$B$37:$B$41,Assumptions!$C$37:$C$41)</f>
        <v/>
      </c>
      <c r="J32" s="22">
        <f>Census!D20*SUMPRODUCT(Assumptions!$B$37:$B$41,Assumptions!$C$37:$C$41)</f>
        <v/>
      </c>
      <c r="K32" s="22">
        <f>Census!E20*SUMPRODUCT(Assumptions!$B$37:$B$41,Assumptions!$C$37:$C$41)</f>
        <v/>
      </c>
      <c r="L32" s="22">
        <f>Census!F20*SUMPRODUCT(Assumptions!$B$37:$B$41,Assumptions!$C$37:$C$41)</f>
        <v/>
      </c>
      <c r="M32" s="22">
        <f>Census!G20*SUMPRODUCT(Assumptions!$B$37:$B$41,Assumptions!$C$37:$C$41)</f>
        <v/>
      </c>
      <c r="N32" s="22">
        <f>Census!H20*SUMPRODUCT(Assumptions!$B$37:$B$41,Assumptions!$C$37:$C$41)</f>
        <v/>
      </c>
      <c r="O32" s="22">
        <f>Census!I20*SUMPRODUCT(Assumptions!$B$37:$B$41,Assumptions!$C$37:$C$41)</f>
        <v/>
      </c>
      <c r="P32" s="22">
        <f>Census!J20*SUMPRODUCT(Assumptions!$B$37:$B$41,Assumptions!$C$37:$C$41)</f>
        <v/>
      </c>
      <c r="Q32" s="22">
        <f>Census!K20*SUMPRODUCT(Assumptions!$B$37:$B$41,Assumptions!$C$37:$C$41)</f>
        <v/>
      </c>
      <c r="R32" s="22">
        <f>Census!L20*SUMPRODUCT(Assumptions!$B$37:$B$41,Assumptions!$C$37:$C$41)</f>
        <v/>
      </c>
      <c r="S32" s="22">
        <f>Census!M20*SUMPRODUCT(Assumptions!$B$37:$B$41,Assumptions!$C$37:$C$41)</f>
        <v/>
      </c>
      <c r="T32" s="22">
        <f>Census!N20*SUMPRODUCT(Assumptions!$B$37:$B$41,Assumptions!$C$37:$C$41)</f>
        <v/>
      </c>
      <c r="U32" s="22">
        <f>Census!O20*SUMPRODUCT(Assumptions!$B$37:$B$41,Assumptions!$C$37:$C$41)</f>
        <v/>
      </c>
      <c r="V32" s="22">
        <f>Census!P20*SUMPRODUCT(Assumptions!$B$37:$B$41,Assumptions!$C$37:$C$41)</f>
        <v/>
      </c>
      <c r="W32" s="22">
        <f>Census!Q20*SUMPRODUCT(Assumptions!$B$37:$B$41,Assumptions!$C$37:$C$41)</f>
        <v/>
      </c>
      <c r="X32" s="22">
        <f>Census!R20*SUMPRODUCT(Assumptions!$B$37:$B$41,Assumptions!$C$37:$C$41)</f>
        <v/>
      </c>
      <c r="Y32" s="22">
        <f>Census!S20*SUMPRODUCT(Assumptions!$B$37:$B$41,Assumptions!$C$37:$C$41)</f>
        <v/>
      </c>
      <c r="Z32" s="22">
        <f>Census!T20*SUMPRODUCT(Assumptions!$B$37:$B$41,Assumptions!$C$37:$C$41)</f>
        <v/>
      </c>
      <c r="AA32" s="22">
        <f>Census!U20*SUMPRODUCT(Assumptions!$B$37:$B$41,Assumptions!$C$37:$C$41)</f>
        <v/>
      </c>
      <c r="AB32" s="22">
        <f>Census!V20*SUMPRODUCT(Assumptions!$B$37:$B$41,Assumptions!$C$37:$C$41)</f>
        <v/>
      </c>
      <c r="AC32" s="22">
        <f>Census!W20*SUMPRODUCT(Assumptions!$B$37:$B$41,Assumptions!$C$37:$C$41)</f>
        <v/>
      </c>
      <c r="AD32" s="22">
        <f>Census!X20*SUMPRODUCT(Assumptions!$B$37:$B$41,Assumptions!$C$37:$C$41)</f>
        <v/>
      </c>
      <c r="AE32" s="22">
        <f>Census!Y20*SUMPRODUCT(Assumptions!$B$37:$B$41,Assumptions!$C$37:$C$41)</f>
        <v/>
      </c>
      <c r="AF32" s="22">
        <f>Census!Z20*SUMPRODUCT(Assumptions!$B$37:$B$41,Assumptions!$C$37:$C$41)</f>
        <v/>
      </c>
      <c r="AG32" s="22">
        <f>Census!AA20*SUMPRODUCT(Assumptions!$B$37:$B$41,Assumptions!$C$37:$C$41)</f>
        <v/>
      </c>
      <c r="AH32" s="22">
        <f>Census!AB20*SUMPRODUCT(Assumptions!$B$37:$B$41,Assumptions!$C$37:$C$41)</f>
        <v/>
      </c>
      <c r="AI32" s="22">
        <f>Census!AC20*SUMPRODUCT(Assumptions!$B$37:$B$41,Assumptions!$C$37:$C$41)</f>
        <v/>
      </c>
      <c r="AJ32" s="22">
        <f>Census!AD20*SUMPRODUCT(Assumptions!$B$37:$B$41,Assumptions!$C$37:$C$41)</f>
        <v/>
      </c>
      <c r="AK32" s="22">
        <f>Census!AE20*SUMPRODUCT(Assumptions!$B$37:$B$41,Assumptions!$C$37:$C$41)</f>
        <v/>
      </c>
      <c r="AL32" s="22">
        <f>Census!AF20*SUMPRODUCT(Assumptions!$B$37:$B$41,Assumptions!$C$37:$C$41)</f>
        <v/>
      </c>
      <c r="AM32" s="22">
        <f>Census!AG20*SUMPRODUCT(Assumptions!$B$37:$B$41,Assumptions!$C$37:$C$41)</f>
        <v/>
      </c>
      <c r="AN32" s="22">
        <f>Census!AH20*SUMPRODUCT(Assumptions!$B$37:$B$41,Assumptions!$C$37:$C$41)</f>
        <v/>
      </c>
      <c r="AO32" s="22">
        <f>Census!AI20*SUMPRODUCT(Assumptions!$B$37:$B$41,Assumptions!$C$37:$C$41)</f>
        <v/>
      </c>
      <c r="AP32" s="22">
        <f>Census!AJ20*SUMPRODUCT(Assumptions!$B$37:$B$41,Assumptions!$C$37:$C$41)</f>
        <v/>
      </c>
      <c r="AQ32" s="22">
        <f>Census!AK20*SUMPRODUCT(Assumptions!$B$37:$B$41,Assumptions!$C$37:$C$41)</f>
        <v/>
      </c>
      <c r="AR32" s="22">
        <f>Census!AL20*SUMPRODUCT(Assumptions!$B$37:$B$41,Assumptions!$C$37:$C$41)</f>
        <v/>
      </c>
    </row>
    <row r="33">
      <c r="A33" s="4" t="inlineStr">
        <is>
          <t>Medical director(s) (contracted)</t>
        </is>
      </c>
      <c r="I33" s="22">
        <f>'Assumptions'!$B$30+IF(1&gt;='Assumptions'!$B$32,'Assumptions'!$B$31,0)</f>
        <v/>
      </c>
      <c r="J33" s="22">
        <f>'Assumptions'!$B$30+IF(2&gt;='Assumptions'!$B$32,'Assumptions'!$B$31,0)</f>
        <v/>
      </c>
      <c r="K33" s="22">
        <f>'Assumptions'!$B$30+IF(3&gt;='Assumptions'!$B$32,'Assumptions'!$B$31,0)</f>
        <v/>
      </c>
      <c r="L33" s="22">
        <f>'Assumptions'!$B$30+IF(4&gt;='Assumptions'!$B$32,'Assumptions'!$B$31,0)</f>
        <v/>
      </c>
      <c r="M33" s="22">
        <f>'Assumptions'!$B$30+IF(5&gt;='Assumptions'!$B$32,'Assumptions'!$B$31,0)</f>
        <v/>
      </c>
      <c r="N33" s="22">
        <f>'Assumptions'!$B$30+IF(6&gt;='Assumptions'!$B$32,'Assumptions'!$B$31,0)</f>
        <v/>
      </c>
      <c r="O33" s="22">
        <f>'Assumptions'!$B$30+IF(7&gt;='Assumptions'!$B$32,'Assumptions'!$B$31,0)</f>
        <v/>
      </c>
      <c r="P33" s="22">
        <f>'Assumptions'!$B$30+IF(8&gt;='Assumptions'!$B$32,'Assumptions'!$B$31,0)</f>
        <v/>
      </c>
      <c r="Q33" s="22">
        <f>'Assumptions'!$B$30+IF(9&gt;='Assumptions'!$B$32,'Assumptions'!$B$31,0)</f>
        <v/>
      </c>
      <c r="R33" s="22">
        <f>'Assumptions'!$B$30+IF(10&gt;='Assumptions'!$B$32,'Assumptions'!$B$31,0)</f>
        <v/>
      </c>
      <c r="S33" s="22">
        <f>'Assumptions'!$B$30+IF(11&gt;='Assumptions'!$B$32,'Assumptions'!$B$31,0)</f>
        <v/>
      </c>
      <c r="T33" s="22">
        <f>'Assumptions'!$B$30+IF(12&gt;='Assumptions'!$B$32,'Assumptions'!$B$31,0)</f>
        <v/>
      </c>
      <c r="U33" s="22">
        <f>'Assumptions'!$B$30+IF(13&gt;='Assumptions'!$B$32,'Assumptions'!$B$31,0)</f>
        <v/>
      </c>
      <c r="V33" s="22">
        <f>'Assumptions'!$B$30+IF(14&gt;='Assumptions'!$B$32,'Assumptions'!$B$31,0)</f>
        <v/>
      </c>
      <c r="W33" s="22">
        <f>'Assumptions'!$B$30+IF(15&gt;='Assumptions'!$B$32,'Assumptions'!$B$31,0)</f>
        <v/>
      </c>
      <c r="X33" s="22">
        <f>'Assumptions'!$B$30+IF(16&gt;='Assumptions'!$B$32,'Assumptions'!$B$31,0)</f>
        <v/>
      </c>
      <c r="Y33" s="22">
        <f>'Assumptions'!$B$30+IF(17&gt;='Assumptions'!$B$32,'Assumptions'!$B$31,0)</f>
        <v/>
      </c>
      <c r="Z33" s="22">
        <f>'Assumptions'!$B$30+IF(18&gt;='Assumptions'!$B$32,'Assumptions'!$B$31,0)</f>
        <v/>
      </c>
      <c r="AA33" s="22">
        <f>'Assumptions'!$B$30+IF(19&gt;='Assumptions'!$B$32,'Assumptions'!$B$31,0)</f>
        <v/>
      </c>
      <c r="AB33" s="22">
        <f>'Assumptions'!$B$30+IF(20&gt;='Assumptions'!$B$32,'Assumptions'!$B$31,0)</f>
        <v/>
      </c>
      <c r="AC33" s="22">
        <f>'Assumptions'!$B$30+IF(21&gt;='Assumptions'!$B$32,'Assumptions'!$B$31,0)</f>
        <v/>
      </c>
      <c r="AD33" s="22">
        <f>'Assumptions'!$B$30+IF(22&gt;='Assumptions'!$B$32,'Assumptions'!$B$31,0)</f>
        <v/>
      </c>
      <c r="AE33" s="22">
        <f>'Assumptions'!$B$30+IF(23&gt;='Assumptions'!$B$32,'Assumptions'!$B$31,0)</f>
        <v/>
      </c>
      <c r="AF33" s="22">
        <f>'Assumptions'!$B$30+IF(24&gt;='Assumptions'!$B$32,'Assumptions'!$B$31,0)</f>
        <v/>
      </c>
      <c r="AG33" s="22">
        <f>'Assumptions'!$B$30+IF(25&gt;='Assumptions'!$B$32,'Assumptions'!$B$31,0)</f>
        <v/>
      </c>
      <c r="AH33" s="22">
        <f>'Assumptions'!$B$30+IF(26&gt;='Assumptions'!$B$32,'Assumptions'!$B$31,0)</f>
        <v/>
      </c>
      <c r="AI33" s="22">
        <f>'Assumptions'!$B$30+IF(27&gt;='Assumptions'!$B$32,'Assumptions'!$B$31,0)</f>
        <v/>
      </c>
      <c r="AJ33" s="22">
        <f>'Assumptions'!$B$30+IF(28&gt;='Assumptions'!$B$32,'Assumptions'!$B$31,0)</f>
        <v/>
      </c>
      <c r="AK33" s="22">
        <f>'Assumptions'!$B$30+IF(29&gt;='Assumptions'!$B$32,'Assumptions'!$B$31,0)</f>
        <v/>
      </c>
      <c r="AL33" s="22">
        <f>'Assumptions'!$B$30+IF(30&gt;='Assumptions'!$B$32,'Assumptions'!$B$31,0)</f>
        <v/>
      </c>
      <c r="AM33" s="22">
        <f>'Assumptions'!$B$30+IF(31&gt;='Assumptions'!$B$32,'Assumptions'!$B$31,0)</f>
        <v/>
      </c>
      <c r="AN33" s="22">
        <f>'Assumptions'!$B$30+IF(32&gt;='Assumptions'!$B$32,'Assumptions'!$B$31,0)</f>
        <v/>
      </c>
      <c r="AO33" s="22">
        <f>'Assumptions'!$B$30+IF(33&gt;='Assumptions'!$B$32,'Assumptions'!$B$31,0)</f>
        <v/>
      </c>
      <c r="AP33" s="22">
        <f>'Assumptions'!$B$30+IF(34&gt;='Assumptions'!$B$32,'Assumptions'!$B$31,0)</f>
        <v/>
      </c>
      <c r="AQ33" s="22">
        <f>'Assumptions'!$B$30+IF(35&gt;='Assumptions'!$B$32,'Assumptions'!$B$31,0)</f>
        <v/>
      </c>
      <c r="AR33" s="22">
        <f>'Assumptions'!$B$30+IF(36&gt;='Assumptions'!$B$32,'Assumptions'!$B$31,0)</f>
        <v/>
      </c>
    </row>
    <row r="34">
      <c r="A34" s="4" t="inlineStr">
        <is>
          <t>Bookkeeping/admin support</t>
        </is>
      </c>
      <c r="I34" s="22">
        <f>'Assumptions'!$B$33/12</f>
        <v/>
      </c>
      <c r="J34" s="22">
        <f>'Assumptions'!$B$33/12</f>
        <v/>
      </c>
      <c r="K34" s="22">
        <f>'Assumptions'!$B$33/12</f>
        <v/>
      </c>
      <c r="L34" s="22">
        <f>'Assumptions'!$B$33/12</f>
        <v/>
      </c>
      <c r="M34" s="22">
        <f>'Assumptions'!$B$33/12</f>
        <v/>
      </c>
      <c r="N34" s="22">
        <f>'Assumptions'!$B$33/12</f>
        <v/>
      </c>
      <c r="O34" s="22">
        <f>'Assumptions'!$B$33/12</f>
        <v/>
      </c>
      <c r="P34" s="22">
        <f>'Assumptions'!$B$33/12</f>
        <v/>
      </c>
      <c r="Q34" s="22">
        <f>'Assumptions'!$B$33/12</f>
        <v/>
      </c>
      <c r="R34" s="22">
        <f>'Assumptions'!$B$33/12</f>
        <v/>
      </c>
      <c r="S34" s="22">
        <f>'Assumptions'!$B$33/12</f>
        <v/>
      </c>
      <c r="T34" s="22">
        <f>'Assumptions'!$B$33/12</f>
        <v/>
      </c>
      <c r="U34" s="22">
        <f>'Assumptions'!$B$33/12</f>
        <v/>
      </c>
      <c r="V34" s="22">
        <f>'Assumptions'!$B$33/12</f>
        <v/>
      </c>
      <c r="W34" s="22">
        <f>'Assumptions'!$B$33/12</f>
        <v/>
      </c>
      <c r="X34" s="22">
        <f>'Assumptions'!$B$33/12</f>
        <v/>
      </c>
      <c r="Y34" s="22">
        <f>'Assumptions'!$B$33/12</f>
        <v/>
      </c>
      <c r="Z34" s="22">
        <f>'Assumptions'!$B$33/12</f>
        <v/>
      </c>
      <c r="AA34" s="22">
        <f>'Assumptions'!$B$33/12</f>
        <v/>
      </c>
      <c r="AB34" s="22">
        <f>'Assumptions'!$B$33/12</f>
        <v/>
      </c>
      <c r="AC34" s="22">
        <f>'Assumptions'!$B$33/12</f>
        <v/>
      </c>
      <c r="AD34" s="22">
        <f>'Assumptions'!$B$33/12</f>
        <v/>
      </c>
      <c r="AE34" s="22">
        <f>'Assumptions'!$B$33/12</f>
        <v/>
      </c>
      <c r="AF34" s="22">
        <f>'Assumptions'!$B$33/12</f>
        <v/>
      </c>
      <c r="AG34" s="22">
        <f>'Assumptions'!$B$33/12</f>
        <v/>
      </c>
      <c r="AH34" s="22">
        <f>'Assumptions'!$B$33/12</f>
        <v/>
      </c>
      <c r="AI34" s="22">
        <f>'Assumptions'!$B$33/12</f>
        <v/>
      </c>
      <c r="AJ34" s="22">
        <f>'Assumptions'!$B$33/12</f>
        <v/>
      </c>
      <c r="AK34" s="22">
        <f>'Assumptions'!$B$33/12</f>
        <v/>
      </c>
      <c r="AL34" s="22">
        <f>'Assumptions'!$B$33/12</f>
        <v/>
      </c>
      <c r="AM34" s="22">
        <f>'Assumptions'!$B$33/12</f>
        <v/>
      </c>
      <c r="AN34" s="22">
        <f>'Assumptions'!$B$33/12</f>
        <v/>
      </c>
      <c r="AO34" s="22">
        <f>'Assumptions'!$B$33/12</f>
        <v/>
      </c>
      <c r="AP34" s="22">
        <f>'Assumptions'!$B$33/12</f>
        <v/>
      </c>
      <c r="AQ34" s="22">
        <f>'Assumptions'!$B$33/12</f>
        <v/>
      </c>
      <c r="AR34" s="22">
        <f>'Assumptions'!$B$33/12</f>
        <v/>
      </c>
    </row>
    <row r="35">
      <c r="A35" s="4" t="inlineStr">
        <is>
          <t>Burden (taxes/WC)</t>
        </is>
      </c>
      <c r="I35" s="22">
        <f>(I31+I32+I34)*'Assumptions'!$B$23</f>
        <v/>
      </c>
      <c r="J35" s="22">
        <f>(J31+J32+J34)*'Assumptions'!$B$23</f>
        <v/>
      </c>
      <c r="K35" s="22">
        <f>(K31+K32+K34)*'Assumptions'!$B$23</f>
        <v/>
      </c>
      <c r="L35" s="22">
        <f>(L31+L32+L34)*'Assumptions'!$B$23</f>
        <v/>
      </c>
      <c r="M35" s="22">
        <f>(M31+M32+M34)*'Assumptions'!$B$23</f>
        <v/>
      </c>
      <c r="N35" s="22">
        <f>(N31+N32+N34)*'Assumptions'!$B$23</f>
        <v/>
      </c>
      <c r="O35" s="22">
        <f>(O31+O32+O34)*'Assumptions'!$B$23</f>
        <v/>
      </c>
      <c r="P35" s="22">
        <f>(P31+P32+P34)*'Assumptions'!$B$23</f>
        <v/>
      </c>
      <c r="Q35" s="22">
        <f>(Q31+Q32+Q34)*'Assumptions'!$B$23</f>
        <v/>
      </c>
      <c r="R35" s="22">
        <f>(R31+R32+R34)*'Assumptions'!$B$23</f>
        <v/>
      </c>
      <c r="S35" s="22">
        <f>(S31+S32+S34)*'Assumptions'!$B$23</f>
        <v/>
      </c>
      <c r="T35" s="22">
        <f>(T31+T32+T34)*'Assumptions'!$B$23</f>
        <v/>
      </c>
      <c r="U35" s="22">
        <f>(U31+U32+U34)*'Assumptions'!$B$23</f>
        <v/>
      </c>
      <c r="V35" s="22">
        <f>(V31+V32+V34)*'Assumptions'!$B$23</f>
        <v/>
      </c>
      <c r="W35" s="22">
        <f>(W31+W32+W34)*'Assumptions'!$B$23</f>
        <v/>
      </c>
      <c r="X35" s="22">
        <f>(X31+X32+X34)*'Assumptions'!$B$23</f>
        <v/>
      </c>
      <c r="Y35" s="22">
        <f>(Y31+Y32+Y34)*'Assumptions'!$B$23</f>
        <v/>
      </c>
      <c r="Z35" s="22">
        <f>(Z31+Z32+Z34)*'Assumptions'!$B$23</f>
        <v/>
      </c>
      <c r="AA35" s="22">
        <f>(AA31+AA32+AA34)*'Assumptions'!$B$23</f>
        <v/>
      </c>
      <c r="AB35" s="22">
        <f>(AB31+AB32+AB34)*'Assumptions'!$B$23</f>
        <v/>
      </c>
      <c r="AC35" s="22">
        <f>(AC31+AC32+AC34)*'Assumptions'!$B$23</f>
        <v/>
      </c>
      <c r="AD35" s="22">
        <f>(AD31+AD32+AD34)*'Assumptions'!$B$23</f>
        <v/>
      </c>
      <c r="AE35" s="22">
        <f>(AE31+AE32+AE34)*'Assumptions'!$B$23</f>
        <v/>
      </c>
      <c r="AF35" s="22">
        <f>(AF31+AF32+AF34)*'Assumptions'!$B$23</f>
        <v/>
      </c>
      <c r="AG35" s="22">
        <f>(AG31+AG32+AG34)*'Assumptions'!$B$23</f>
        <v/>
      </c>
      <c r="AH35" s="22">
        <f>(AH31+AH32+AH34)*'Assumptions'!$B$23</f>
        <v/>
      </c>
      <c r="AI35" s="22">
        <f>(AI31+AI32+AI34)*'Assumptions'!$B$23</f>
        <v/>
      </c>
      <c r="AJ35" s="22">
        <f>(AJ31+AJ32+AJ34)*'Assumptions'!$B$23</f>
        <v/>
      </c>
      <c r="AK35" s="22">
        <f>(AK31+AK32+AK34)*'Assumptions'!$B$23</f>
        <v/>
      </c>
      <c r="AL35" s="22">
        <f>(AL31+AL32+AL34)*'Assumptions'!$B$23</f>
        <v/>
      </c>
      <c r="AM35" s="22">
        <f>(AM31+AM32+AM34)*'Assumptions'!$B$23</f>
        <v/>
      </c>
      <c r="AN35" s="22">
        <f>(AN31+AN32+AN34)*'Assumptions'!$B$23</f>
        <v/>
      </c>
      <c r="AO35" s="22">
        <f>(AO31+AO32+AO34)*'Assumptions'!$B$23</f>
        <v/>
      </c>
      <c r="AP35" s="22">
        <f>(AP31+AP32+AP34)*'Assumptions'!$B$23</f>
        <v/>
      </c>
      <c r="AQ35" s="22">
        <f>(AQ31+AQ32+AQ34)*'Assumptions'!$B$23</f>
        <v/>
      </c>
      <c r="AR35" s="22">
        <f>(AR31+AR32+AR34)*'Assumptions'!$B$23</f>
        <v/>
      </c>
    </row>
    <row r="36">
      <c r="A36" s="4" t="inlineStr">
        <is>
          <t>Health insurance (after waiting period)</t>
        </is>
      </c>
      <c r="I36" s="22">
        <f>SUMPRODUCT((($C$6:$C$27+$E$6:$E$27)&lt;=1)*1)*'Assumptions'!$B$24</f>
        <v/>
      </c>
      <c r="J36" s="22">
        <f>SUMPRODUCT((($C$6:$C$27+$E$6:$E$27)&lt;=2)*1)*'Assumptions'!$B$24</f>
        <v/>
      </c>
      <c r="K36" s="22">
        <f>SUMPRODUCT((($C$6:$C$27+$E$6:$E$27)&lt;=3)*1)*'Assumptions'!$B$24</f>
        <v/>
      </c>
      <c r="L36" s="22">
        <f>SUMPRODUCT((($C$6:$C$27+$E$6:$E$27)&lt;=4)*1)*'Assumptions'!$B$24</f>
        <v/>
      </c>
      <c r="M36" s="22">
        <f>SUMPRODUCT((($C$6:$C$27+$E$6:$E$27)&lt;=5)*1)*'Assumptions'!$B$24</f>
        <v/>
      </c>
      <c r="N36" s="22">
        <f>SUMPRODUCT((($C$6:$C$27+$E$6:$E$27)&lt;=6)*1)*'Assumptions'!$B$24</f>
        <v/>
      </c>
      <c r="O36" s="22">
        <f>SUMPRODUCT((($C$6:$C$27+$E$6:$E$27)&lt;=7)*1)*'Assumptions'!$B$24</f>
        <v/>
      </c>
      <c r="P36" s="22">
        <f>SUMPRODUCT((($C$6:$C$27+$E$6:$E$27)&lt;=8)*1)*'Assumptions'!$B$24</f>
        <v/>
      </c>
      <c r="Q36" s="22">
        <f>SUMPRODUCT((($C$6:$C$27+$E$6:$E$27)&lt;=9)*1)*'Assumptions'!$B$24</f>
        <v/>
      </c>
      <c r="R36" s="22">
        <f>SUMPRODUCT((($C$6:$C$27+$E$6:$E$27)&lt;=10)*1)*'Assumptions'!$B$24</f>
        <v/>
      </c>
      <c r="S36" s="22">
        <f>SUMPRODUCT((($C$6:$C$27+$E$6:$E$27)&lt;=11)*1)*'Assumptions'!$B$24</f>
        <v/>
      </c>
      <c r="T36" s="22">
        <f>SUMPRODUCT((($C$6:$C$27+$E$6:$E$27)&lt;=12)*1)*'Assumptions'!$B$24</f>
        <v/>
      </c>
      <c r="U36" s="22">
        <f>SUMPRODUCT((($C$6:$C$27+$E$6:$E$27)&lt;=13)*1)*'Assumptions'!$B$24</f>
        <v/>
      </c>
      <c r="V36" s="22">
        <f>SUMPRODUCT((($C$6:$C$27+$E$6:$E$27)&lt;=14)*1)*'Assumptions'!$B$24</f>
        <v/>
      </c>
      <c r="W36" s="22">
        <f>SUMPRODUCT((($C$6:$C$27+$E$6:$E$27)&lt;=15)*1)*'Assumptions'!$B$24</f>
        <v/>
      </c>
      <c r="X36" s="22">
        <f>SUMPRODUCT((($C$6:$C$27+$E$6:$E$27)&lt;=16)*1)*'Assumptions'!$B$24</f>
        <v/>
      </c>
      <c r="Y36" s="22">
        <f>SUMPRODUCT((($C$6:$C$27+$E$6:$E$27)&lt;=17)*1)*'Assumptions'!$B$24</f>
        <v/>
      </c>
      <c r="Z36" s="22">
        <f>SUMPRODUCT((($C$6:$C$27+$E$6:$E$27)&lt;=18)*1)*'Assumptions'!$B$24</f>
        <v/>
      </c>
      <c r="AA36" s="22">
        <f>SUMPRODUCT((($C$6:$C$27+$E$6:$E$27)&lt;=19)*1)*'Assumptions'!$B$24</f>
        <v/>
      </c>
      <c r="AB36" s="22">
        <f>SUMPRODUCT((($C$6:$C$27+$E$6:$E$27)&lt;=20)*1)*'Assumptions'!$B$24</f>
        <v/>
      </c>
      <c r="AC36" s="22">
        <f>SUMPRODUCT((($C$6:$C$27+$E$6:$E$27)&lt;=21)*1)*'Assumptions'!$B$24</f>
        <v/>
      </c>
      <c r="AD36" s="22">
        <f>SUMPRODUCT((($C$6:$C$27+$E$6:$E$27)&lt;=22)*1)*'Assumptions'!$B$24</f>
        <v/>
      </c>
      <c r="AE36" s="22">
        <f>SUMPRODUCT((($C$6:$C$27+$E$6:$E$27)&lt;=23)*1)*'Assumptions'!$B$24</f>
        <v/>
      </c>
      <c r="AF36" s="22">
        <f>SUMPRODUCT((($C$6:$C$27+$E$6:$E$27)&lt;=24)*1)*'Assumptions'!$B$24</f>
        <v/>
      </c>
      <c r="AG36" s="22">
        <f>SUMPRODUCT((($C$6:$C$27+$E$6:$E$27)&lt;=25)*1)*'Assumptions'!$B$24</f>
        <v/>
      </c>
      <c r="AH36" s="22">
        <f>SUMPRODUCT((($C$6:$C$27+$E$6:$E$27)&lt;=26)*1)*'Assumptions'!$B$24</f>
        <v/>
      </c>
      <c r="AI36" s="22">
        <f>SUMPRODUCT((($C$6:$C$27+$E$6:$E$27)&lt;=27)*1)*'Assumptions'!$B$24</f>
        <v/>
      </c>
      <c r="AJ36" s="22">
        <f>SUMPRODUCT((($C$6:$C$27+$E$6:$E$27)&lt;=28)*1)*'Assumptions'!$B$24</f>
        <v/>
      </c>
      <c r="AK36" s="22">
        <f>SUMPRODUCT((($C$6:$C$27+$E$6:$E$27)&lt;=29)*1)*'Assumptions'!$B$24</f>
        <v/>
      </c>
      <c r="AL36" s="22">
        <f>SUMPRODUCT((($C$6:$C$27+$E$6:$E$27)&lt;=30)*1)*'Assumptions'!$B$24</f>
        <v/>
      </c>
      <c r="AM36" s="22">
        <f>SUMPRODUCT((($C$6:$C$27+$E$6:$E$27)&lt;=31)*1)*'Assumptions'!$B$24</f>
        <v/>
      </c>
      <c r="AN36" s="22">
        <f>SUMPRODUCT((($C$6:$C$27+$E$6:$E$27)&lt;=32)*1)*'Assumptions'!$B$24</f>
        <v/>
      </c>
      <c r="AO36" s="22">
        <f>SUMPRODUCT((($C$6:$C$27+$E$6:$E$27)&lt;=33)*1)*'Assumptions'!$B$24</f>
        <v/>
      </c>
      <c r="AP36" s="22">
        <f>SUMPRODUCT((($C$6:$C$27+$E$6:$E$27)&lt;=34)*1)*'Assumptions'!$B$24</f>
        <v/>
      </c>
      <c r="AQ36" s="22">
        <f>SUMPRODUCT((($C$6:$C$27+$E$6:$E$27)&lt;=35)*1)*'Assumptions'!$B$24</f>
        <v/>
      </c>
      <c r="AR36" s="22">
        <f>SUMPRODUCT((($C$6:$C$27+$E$6:$E$27)&lt;=36)*1)*'Assumptions'!$B$24</f>
        <v/>
      </c>
    </row>
    <row r="37">
      <c r="A37" s="12" t="inlineStr">
        <is>
          <t>TOTAL LABOR COST</t>
        </is>
      </c>
      <c r="I37" s="23">
        <f>I31+I32+I33+I34+I35+I36</f>
        <v/>
      </c>
      <c r="J37" s="23">
        <f>J31+J32+J33+J34+J35+J36</f>
        <v/>
      </c>
      <c r="K37" s="23">
        <f>K31+K32+K33+K34+K35+K36</f>
        <v/>
      </c>
      <c r="L37" s="23">
        <f>L31+L32+L33+L34+L35+L36</f>
        <v/>
      </c>
      <c r="M37" s="23">
        <f>M31+M32+M33+M34+M35+M36</f>
        <v/>
      </c>
      <c r="N37" s="23">
        <f>N31+N32+N33+N34+N35+N36</f>
        <v/>
      </c>
      <c r="O37" s="23">
        <f>O31+O32+O33+O34+O35+O36</f>
        <v/>
      </c>
      <c r="P37" s="23">
        <f>P31+P32+P33+P34+P35+P36</f>
        <v/>
      </c>
      <c r="Q37" s="23">
        <f>Q31+Q32+Q33+Q34+Q35+Q36</f>
        <v/>
      </c>
      <c r="R37" s="23">
        <f>R31+R32+R33+R34+R35+R36</f>
        <v/>
      </c>
      <c r="S37" s="23">
        <f>S31+S32+S33+S34+S35+S36</f>
        <v/>
      </c>
      <c r="T37" s="23">
        <f>T31+T32+T33+T34+T35+T36</f>
        <v/>
      </c>
      <c r="U37" s="23">
        <f>U31+U32+U33+U34+U35+U36</f>
        <v/>
      </c>
      <c r="V37" s="23">
        <f>V31+V32+V33+V34+V35+V36</f>
        <v/>
      </c>
      <c r="W37" s="23">
        <f>W31+W32+W33+W34+W35+W36</f>
        <v/>
      </c>
      <c r="X37" s="23">
        <f>X31+X32+X33+X34+X35+X36</f>
        <v/>
      </c>
      <c r="Y37" s="23">
        <f>Y31+Y32+Y33+Y34+Y35+Y36</f>
        <v/>
      </c>
      <c r="Z37" s="23">
        <f>Z31+Z32+Z33+Z34+Z35+Z36</f>
        <v/>
      </c>
      <c r="AA37" s="23">
        <f>AA31+AA32+AA33+AA34+AA35+AA36</f>
        <v/>
      </c>
      <c r="AB37" s="23">
        <f>AB31+AB32+AB33+AB34+AB35+AB36</f>
        <v/>
      </c>
      <c r="AC37" s="23">
        <f>AC31+AC32+AC33+AC34+AC35+AC36</f>
        <v/>
      </c>
      <c r="AD37" s="23">
        <f>AD31+AD32+AD33+AD34+AD35+AD36</f>
        <v/>
      </c>
      <c r="AE37" s="23">
        <f>AE31+AE32+AE33+AE34+AE35+AE36</f>
        <v/>
      </c>
      <c r="AF37" s="23">
        <f>AF31+AF32+AF33+AF34+AF35+AF36</f>
        <v/>
      </c>
      <c r="AG37" s="23">
        <f>AG31+AG32+AG33+AG34+AG35+AG36</f>
        <v/>
      </c>
      <c r="AH37" s="23">
        <f>AH31+AH32+AH33+AH34+AH35+AH36</f>
        <v/>
      </c>
      <c r="AI37" s="23">
        <f>AI31+AI32+AI33+AI34+AI35+AI36</f>
        <v/>
      </c>
      <c r="AJ37" s="23">
        <f>AJ31+AJ32+AJ33+AJ34+AJ35+AJ36</f>
        <v/>
      </c>
      <c r="AK37" s="23">
        <f>AK31+AK32+AK33+AK34+AK35+AK36</f>
        <v/>
      </c>
      <c r="AL37" s="23">
        <f>AL31+AL32+AL33+AL34+AL35+AL36</f>
        <v/>
      </c>
      <c r="AM37" s="23">
        <f>AM31+AM32+AM33+AM34+AM35+AM36</f>
        <v/>
      </c>
      <c r="AN37" s="23">
        <f>AN31+AN32+AN33+AN34+AN35+AN36</f>
        <v/>
      </c>
      <c r="AO37" s="23">
        <f>AO31+AO32+AO33+AO34+AO35+AO36</f>
        <v/>
      </c>
      <c r="AP37" s="23">
        <f>AP31+AP32+AP33+AP34+AP35+AP36</f>
        <v/>
      </c>
      <c r="AQ37" s="23">
        <f>AQ31+AQ32+AQ33+AQ34+AQ35+AQ36</f>
        <v/>
      </c>
      <c r="AR37" s="23">
        <f>AR31+AR32+AR33+AR34+AR35+AR36</f>
        <v/>
      </c>
    </row>
  </sheetData>
  <mergeCells count="3">
    <mergeCell ref="A4:H4"/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F7F7F"/>
    <outlinePr summaryBelow="1" summaryRight="1"/>
    <pageSetUpPr/>
  </sheetPr>
  <dimension ref="A1:AL4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36-month pro forma: P&amp;L, debt schedules (seller / refi toggle / SBA toggle), direct-method cash, DSCR &amp; floor flags.</t>
        </is>
      </c>
    </row>
    <row r="4">
      <c r="A4" s="12" t="inlineStr">
        <is>
          <t>Month #</t>
        </is>
      </c>
      <c r="C4" s="17" t="n">
        <v>1</v>
      </c>
      <c r="D4" s="17" t="n">
        <v>2</v>
      </c>
      <c r="E4" s="17" t="n">
        <v>3</v>
      </c>
      <c r="F4" s="17" t="n">
        <v>4</v>
      </c>
      <c r="G4" s="17" t="n">
        <v>5</v>
      </c>
      <c r="H4" s="17" t="n">
        <v>6</v>
      </c>
      <c r="I4" s="17" t="n">
        <v>7</v>
      </c>
      <c r="J4" s="17" t="n">
        <v>8</v>
      </c>
      <c r="K4" s="17" t="n">
        <v>9</v>
      </c>
      <c r="L4" s="17" t="n">
        <v>10</v>
      </c>
      <c r="M4" s="17" t="n">
        <v>11</v>
      </c>
      <c r="N4" s="17" t="n">
        <v>12</v>
      </c>
      <c r="O4" s="17" t="n">
        <v>13</v>
      </c>
      <c r="P4" s="17" t="n">
        <v>14</v>
      </c>
      <c r="Q4" s="17" t="n">
        <v>15</v>
      </c>
      <c r="R4" s="17" t="n">
        <v>16</v>
      </c>
      <c r="S4" s="17" t="n">
        <v>17</v>
      </c>
      <c r="T4" s="17" t="n">
        <v>18</v>
      </c>
      <c r="U4" s="17" t="n">
        <v>19</v>
      </c>
      <c r="V4" s="17" t="n">
        <v>20</v>
      </c>
      <c r="W4" s="17" t="n">
        <v>21</v>
      </c>
      <c r="X4" s="17" t="n">
        <v>22</v>
      </c>
      <c r="Y4" s="17" t="n">
        <v>23</v>
      </c>
      <c r="Z4" s="17" t="n">
        <v>24</v>
      </c>
      <c r="AA4" s="17" t="n">
        <v>25</v>
      </c>
      <c r="AB4" s="17" t="n">
        <v>26</v>
      </c>
      <c r="AC4" s="17" t="n">
        <v>27</v>
      </c>
      <c r="AD4" s="17" t="n">
        <v>28</v>
      </c>
      <c r="AE4" s="17" t="n">
        <v>29</v>
      </c>
      <c r="AF4" s="17" t="n">
        <v>30</v>
      </c>
      <c r="AG4" s="17" t="n">
        <v>31</v>
      </c>
      <c r="AH4" s="17" t="n">
        <v>32</v>
      </c>
      <c r="AI4" s="17" t="n">
        <v>33</v>
      </c>
      <c r="AJ4" s="17" t="n">
        <v>34</v>
      </c>
      <c r="AK4" s="17" t="n">
        <v>35</v>
      </c>
      <c r="AL4" s="17" t="n">
        <v>36</v>
      </c>
    </row>
    <row r="5">
      <c r="A5" s="12" t="inlineStr"/>
      <c r="C5" s="14" t="inlineStr">
        <is>
          <t>Jul-26</t>
        </is>
      </c>
      <c r="D5" s="14" t="inlineStr">
        <is>
          <t>Aug-26</t>
        </is>
      </c>
      <c r="E5" s="14" t="inlineStr">
        <is>
          <t>Sep-26</t>
        </is>
      </c>
      <c r="F5" s="14" t="inlineStr">
        <is>
          <t>Oct-26</t>
        </is>
      </c>
      <c r="G5" s="14" t="inlineStr">
        <is>
          <t>Nov-26</t>
        </is>
      </c>
      <c r="H5" s="14" t="inlineStr">
        <is>
          <t>Dec-26</t>
        </is>
      </c>
      <c r="I5" s="14" t="inlineStr">
        <is>
          <t>Jan-27</t>
        </is>
      </c>
      <c r="J5" s="14" t="inlineStr">
        <is>
          <t>Feb-27</t>
        </is>
      </c>
      <c r="K5" s="14" t="inlineStr">
        <is>
          <t>Mar-27</t>
        </is>
      </c>
      <c r="L5" s="14" t="inlineStr">
        <is>
          <t>Apr-27</t>
        </is>
      </c>
      <c r="M5" s="14" t="inlineStr">
        <is>
          <t>May-27</t>
        </is>
      </c>
      <c r="N5" s="14" t="inlineStr">
        <is>
          <t>Jun-27</t>
        </is>
      </c>
      <c r="O5" s="14" t="inlineStr">
        <is>
          <t>Jul-27</t>
        </is>
      </c>
      <c r="P5" s="14" t="inlineStr">
        <is>
          <t>Aug-27</t>
        </is>
      </c>
      <c r="Q5" s="14" t="inlineStr">
        <is>
          <t>Sep-27</t>
        </is>
      </c>
      <c r="R5" s="14" t="inlineStr">
        <is>
          <t>Oct-27</t>
        </is>
      </c>
      <c r="S5" s="14" t="inlineStr">
        <is>
          <t>Nov-27</t>
        </is>
      </c>
      <c r="T5" s="14" t="inlineStr">
        <is>
          <t>Dec-27</t>
        </is>
      </c>
      <c r="U5" s="14" t="inlineStr">
        <is>
          <t>Jan-28</t>
        </is>
      </c>
      <c r="V5" s="14" t="inlineStr">
        <is>
          <t>Feb-28</t>
        </is>
      </c>
      <c r="W5" s="14" t="inlineStr">
        <is>
          <t>Mar-28</t>
        </is>
      </c>
      <c r="X5" s="14" t="inlineStr">
        <is>
          <t>Apr-28</t>
        </is>
      </c>
      <c r="Y5" s="14" t="inlineStr">
        <is>
          <t>May-28</t>
        </is>
      </c>
      <c r="Z5" s="14" t="inlineStr">
        <is>
          <t>Jun-28</t>
        </is>
      </c>
      <c r="AA5" s="14" t="inlineStr">
        <is>
          <t>Jul-28</t>
        </is>
      </c>
      <c r="AB5" s="14" t="inlineStr">
        <is>
          <t>Aug-28</t>
        </is>
      </c>
      <c r="AC5" s="14" t="inlineStr">
        <is>
          <t>Sep-28</t>
        </is>
      </c>
      <c r="AD5" s="14" t="inlineStr">
        <is>
          <t>Oct-28</t>
        </is>
      </c>
      <c r="AE5" s="14" t="inlineStr">
        <is>
          <t>Nov-28</t>
        </is>
      </c>
      <c r="AF5" s="14" t="inlineStr">
        <is>
          <t>Dec-28</t>
        </is>
      </c>
      <c r="AG5" s="14" t="inlineStr">
        <is>
          <t>Jan-29</t>
        </is>
      </c>
      <c r="AH5" s="14" t="inlineStr">
        <is>
          <t>Feb-29</t>
        </is>
      </c>
      <c r="AI5" s="14" t="inlineStr">
        <is>
          <t>Mar-29</t>
        </is>
      </c>
      <c r="AJ5" s="14" t="inlineStr">
        <is>
          <t>Apr-29</t>
        </is>
      </c>
      <c r="AK5" s="14" t="inlineStr">
        <is>
          <t>May-29</t>
        </is>
      </c>
      <c r="AL5" s="14" t="inlineStr">
        <is>
          <t>Jun-29</t>
        </is>
      </c>
    </row>
    <row r="6">
      <c r="A6" s="3" t="inlineStr">
        <is>
          <t>P&amp;L</t>
        </is>
      </c>
    </row>
    <row r="7">
      <c r="A7" s="4" t="inlineStr">
        <is>
          <t>ADC</t>
        </is>
      </c>
      <c r="C7" s="18">
        <f>Census!C20</f>
        <v/>
      </c>
      <c r="D7" s="18">
        <f>Census!D20</f>
        <v/>
      </c>
      <c r="E7" s="18">
        <f>Census!E20</f>
        <v/>
      </c>
      <c r="F7" s="18">
        <f>Census!F20</f>
        <v/>
      </c>
      <c r="G7" s="18">
        <f>Census!G20</f>
        <v/>
      </c>
      <c r="H7" s="18">
        <f>Census!H20</f>
        <v/>
      </c>
      <c r="I7" s="18">
        <f>Census!I20</f>
        <v/>
      </c>
      <c r="J7" s="18">
        <f>Census!J20</f>
        <v/>
      </c>
      <c r="K7" s="18">
        <f>Census!K20</f>
        <v/>
      </c>
      <c r="L7" s="18">
        <f>Census!L20</f>
        <v/>
      </c>
      <c r="M7" s="18">
        <f>Census!M20</f>
        <v/>
      </c>
      <c r="N7" s="18">
        <f>Census!N20</f>
        <v/>
      </c>
      <c r="O7" s="18">
        <f>Census!O20</f>
        <v/>
      </c>
      <c r="P7" s="18">
        <f>Census!P20</f>
        <v/>
      </c>
      <c r="Q7" s="18">
        <f>Census!Q20</f>
        <v/>
      </c>
      <c r="R7" s="18">
        <f>Census!R20</f>
        <v/>
      </c>
      <c r="S7" s="18">
        <f>Census!S20</f>
        <v/>
      </c>
      <c r="T7" s="18">
        <f>Census!T20</f>
        <v/>
      </c>
      <c r="U7" s="18">
        <f>Census!U20</f>
        <v/>
      </c>
      <c r="V7" s="18">
        <f>Census!V20</f>
        <v/>
      </c>
      <c r="W7" s="18">
        <f>Census!W20</f>
        <v/>
      </c>
      <c r="X7" s="18">
        <f>Census!X20</f>
        <v/>
      </c>
      <c r="Y7" s="18">
        <f>Census!Y20</f>
        <v/>
      </c>
      <c r="Z7" s="18">
        <f>Census!Z20</f>
        <v/>
      </c>
      <c r="AA7" s="18">
        <f>Census!AA20</f>
        <v/>
      </c>
      <c r="AB7" s="18">
        <f>Census!AB20</f>
        <v/>
      </c>
      <c r="AC7" s="18">
        <f>Census!AC20</f>
        <v/>
      </c>
      <c r="AD7" s="18">
        <f>Census!AD20</f>
        <v/>
      </c>
      <c r="AE7" s="18">
        <f>Census!AE20</f>
        <v/>
      </c>
      <c r="AF7" s="18">
        <f>Census!AF20</f>
        <v/>
      </c>
      <c r="AG7" s="18">
        <f>Census!AG20</f>
        <v/>
      </c>
      <c r="AH7" s="18">
        <f>Census!AH20</f>
        <v/>
      </c>
      <c r="AI7" s="18">
        <f>Census!AI20</f>
        <v/>
      </c>
      <c r="AJ7" s="18">
        <f>Census!AJ20</f>
        <v/>
      </c>
      <c r="AK7" s="18">
        <f>Census!AK20</f>
        <v/>
      </c>
      <c r="AL7" s="18">
        <f>Census!AL20</f>
        <v/>
      </c>
    </row>
    <row r="8">
      <c r="A8" s="12" t="inlineStr">
        <is>
          <t>NET REVENUE (after NOE losses)</t>
        </is>
      </c>
      <c r="C8" s="28">
        <f>'Collections'!C9</f>
        <v/>
      </c>
      <c r="D8" s="28">
        <f>'Collections'!D9</f>
        <v/>
      </c>
      <c r="E8" s="28">
        <f>'Collections'!E9</f>
        <v/>
      </c>
      <c r="F8" s="28">
        <f>'Collections'!F9</f>
        <v/>
      </c>
      <c r="G8" s="28">
        <f>'Collections'!G9</f>
        <v/>
      </c>
      <c r="H8" s="28">
        <f>'Collections'!H9</f>
        <v/>
      </c>
      <c r="I8" s="28">
        <f>'Collections'!I9</f>
        <v/>
      </c>
      <c r="J8" s="28">
        <f>'Collections'!J9</f>
        <v/>
      </c>
      <c r="K8" s="28">
        <f>'Collections'!K9</f>
        <v/>
      </c>
      <c r="L8" s="28">
        <f>'Collections'!L9</f>
        <v/>
      </c>
      <c r="M8" s="28">
        <f>'Collections'!M9</f>
        <v/>
      </c>
      <c r="N8" s="28">
        <f>'Collections'!N9</f>
        <v/>
      </c>
      <c r="O8" s="28">
        <f>'Collections'!O9</f>
        <v/>
      </c>
      <c r="P8" s="28">
        <f>'Collections'!P9</f>
        <v/>
      </c>
      <c r="Q8" s="28">
        <f>'Collections'!Q9</f>
        <v/>
      </c>
      <c r="R8" s="28">
        <f>'Collections'!R9</f>
        <v/>
      </c>
      <c r="S8" s="28">
        <f>'Collections'!S9</f>
        <v/>
      </c>
      <c r="T8" s="28">
        <f>'Collections'!T9</f>
        <v/>
      </c>
      <c r="U8" s="28">
        <f>'Collections'!U9</f>
        <v/>
      </c>
      <c r="V8" s="28">
        <f>'Collections'!V9</f>
        <v/>
      </c>
      <c r="W8" s="28">
        <f>'Collections'!W9</f>
        <v/>
      </c>
      <c r="X8" s="28">
        <f>'Collections'!X9</f>
        <v/>
      </c>
      <c r="Y8" s="28">
        <f>'Collections'!Y9</f>
        <v/>
      </c>
      <c r="Z8" s="28">
        <f>'Collections'!Z9</f>
        <v/>
      </c>
      <c r="AA8" s="28">
        <f>'Collections'!AA9</f>
        <v/>
      </c>
      <c r="AB8" s="28">
        <f>'Collections'!AB9</f>
        <v/>
      </c>
      <c r="AC8" s="28">
        <f>'Collections'!AC9</f>
        <v/>
      </c>
      <c r="AD8" s="28">
        <f>'Collections'!AD9</f>
        <v/>
      </c>
      <c r="AE8" s="28">
        <f>'Collections'!AE9</f>
        <v/>
      </c>
      <c r="AF8" s="28">
        <f>'Collections'!AF9</f>
        <v/>
      </c>
      <c r="AG8" s="28">
        <f>'Collections'!AG9</f>
        <v/>
      </c>
      <c r="AH8" s="28">
        <f>'Collections'!AH9</f>
        <v/>
      </c>
      <c r="AI8" s="28">
        <f>'Collections'!AI9</f>
        <v/>
      </c>
      <c r="AJ8" s="28">
        <f>'Collections'!AJ9</f>
        <v/>
      </c>
      <c r="AK8" s="28">
        <f>'Collections'!AK9</f>
        <v/>
      </c>
      <c r="AL8" s="28">
        <f>'Collections'!AL9</f>
        <v/>
      </c>
    </row>
    <row r="9">
      <c r="A9" s="4" t="inlineStr">
        <is>
          <t>Total labor cost</t>
        </is>
      </c>
      <c r="C9" s="29">
        <f>'Payroll'!I37</f>
        <v/>
      </c>
      <c r="D9" s="29">
        <f>'Payroll'!J37</f>
        <v/>
      </c>
      <c r="E9" s="29">
        <f>'Payroll'!K37</f>
        <v/>
      </c>
      <c r="F9" s="29">
        <f>'Payroll'!L37</f>
        <v/>
      </c>
      <c r="G9" s="29">
        <f>'Payroll'!M37</f>
        <v/>
      </c>
      <c r="H9" s="29">
        <f>'Payroll'!N37</f>
        <v/>
      </c>
      <c r="I9" s="29">
        <f>'Payroll'!O37</f>
        <v/>
      </c>
      <c r="J9" s="29">
        <f>'Payroll'!P37</f>
        <v/>
      </c>
      <c r="K9" s="29">
        <f>'Payroll'!Q37</f>
        <v/>
      </c>
      <c r="L9" s="29">
        <f>'Payroll'!R37</f>
        <v/>
      </c>
      <c r="M9" s="29">
        <f>'Payroll'!S37</f>
        <v/>
      </c>
      <c r="N9" s="29">
        <f>'Payroll'!T37</f>
        <v/>
      </c>
      <c r="O9" s="29">
        <f>'Payroll'!U37</f>
        <v/>
      </c>
      <c r="P9" s="29">
        <f>'Payroll'!V37</f>
        <v/>
      </c>
      <c r="Q9" s="29">
        <f>'Payroll'!W37</f>
        <v/>
      </c>
      <c r="R9" s="29">
        <f>'Payroll'!X37</f>
        <v/>
      </c>
      <c r="S9" s="29">
        <f>'Payroll'!Y37</f>
        <v/>
      </c>
      <c r="T9" s="29">
        <f>'Payroll'!Z37</f>
        <v/>
      </c>
      <c r="U9" s="29">
        <f>'Payroll'!AA37</f>
        <v/>
      </c>
      <c r="V9" s="29">
        <f>'Payroll'!AB37</f>
        <v/>
      </c>
      <c r="W9" s="29">
        <f>'Payroll'!AC37</f>
        <v/>
      </c>
      <c r="X9" s="29">
        <f>'Payroll'!AD37</f>
        <v/>
      </c>
      <c r="Y9" s="29">
        <f>'Payroll'!AE37</f>
        <v/>
      </c>
      <c r="Z9" s="29">
        <f>'Payroll'!AF37</f>
        <v/>
      </c>
      <c r="AA9" s="29">
        <f>'Payroll'!AG37</f>
        <v/>
      </c>
      <c r="AB9" s="29">
        <f>'Payroll'!AH37</f>
        <v/>
      </c>
      <c r="AC9" s="29">
        <f>'Payroll'!AI37</f>
        <v/>
      </c>
      <c r="AD9" s="29">
        <f>'Payroll'!AJ37</f>
        <v/>
      </c>
      <c r="AE9" s="29">
        <f>'Payroll'!AK37</f>
        <v/>
      </c>
      <c r="AF9" s="29">
        <f>'Payroll'!AL37</f>
        <v/>
      </c>
      <c r="AG9" s="29">
        <f>'Payroll'!AM37</f>
        <v/>
      </c>
      <c r="AH9" s="29">
        <f>'Payroll'!AN37</f>
        <v/>
      </c>
      <c r="AI9" s="29">
        <f>'Payroll'!AO37</f>
        <v/>
      </c>
      <c r="AJ9" s="29">
        <f>'Payroll'!AP37</f>
        <v/>
      </c>
      <c r="AK9" s="29">
        <f>'Payroll'!AQ37</f>
        <v/>
      </c>
      <c r="AL9" s="29">
        <f>'Payroll'!AR37</f>
        <v/>
      </c>
    </row>
    <row r="10">
      <c r="A10" s="4" t="inlineStr">
        <is>
          <t>Patient costs (pharmacy/supplies/DME)</t>
        </is>
      </c>
      <c r="C10" s="22">
        <f>Census!C21*'Assumptions'!$B$44</f>
        <v/>
      </c>
      <c r="D10" s="22">
        <f>Census!D21*'Assumptions'!$B$44</f>
        <v/>
      </c>
      <c r="E10" s="22">
        <f>Census!E21*'Assumptions'!$B$44</f>
        <v/>
      </c>
      <c r="F10" s="22">
        <f>Census!F21*'Assumptions'!$B$44</f>
        <v/>
      </c>
      <c r="G10" s="22">
        <f>Census!G21*'Assumptions'!$B$44</f>
        <v/>
      </c>
      <c r="H10" s="22">
        <f>Census!H21*'Assumptions'!$B$44</f>
        <v/>
      </c>
      <c r="I10" s="22">
        <f>Census!I21*'Assumptions'!$B$44</f>
        <v/>
      </c>
      <c r="J10" s="22">
        <f>Census!J21*'Assumptions'!$B$44</f>
        <v/>
      </c>
      <c r="K10" s="22">
        <f>Census!K21*'Assumptions'!$B$44</f>
        <v/>
      </c>
      <c r="L10" s="22">
        <f>Census!L21*'Assumptions'!$B$44</f>
        <v/>
      </c>
      <c r="M10" s="22">
        <f>Census!M21*'Assumptions'!$B$44</f>
        <v/>
      </c>
      <c r="N10" s="22">
        <f>Census!N21*'Assumptions'!$B$44</f>
        <v/>
      </c>
      <c r="O10" s="22">
        <f>Census!O21*'Assumptions'!$B$44</f>
        <v/>
      </c>
      <c r="P10" s="22">
        <f>Census!P21*'Assumptions'!$B$44</f>
        <v/>
      </c>
      <c r="Q10" s="22">
        <f>Census!Q21*'Assumptions'!$B$44</f>
        <v/>
      </c>
      <c r="R10" s="22">
        <f>Census!R21*'Assumptions'!$B$44</f>
        <v/>
      </c>
      <c r="S10" s="22">
        <f>Census!S21*'Assumptions'!$B$44</f>
        <v/>
      </c>
      <c r="T10" s="22">
        <f>Census!T21*'Assumptions'!$B$44</f>
        <v/>
      </c>
      <c r="U10" s="22">
        <f>Census!U21*'Assumptions'!$B$44</f>
        <v/>
      </c>
      <c r="V10" s="22">
        <f>Census!V21*'Assumptions'!$B$44</f>
        <v/>
      </c>
      <c r="W10" s="22">
        <f>Census!W21*'Assumptions'!$B$44</f>
        <v/>
      </c>
      <c r="X10" s="22">
        <f>Census!X21*'Assumptions'!$B$44</f>
        <v/>
      </c>
      <c r="Y10" s="22">
        <f>Census!Y21*'Assumptions'!$B$44</f>
        <v/>
      </c>
      <c r="Z10" s="22">
        <f>Census!Z21*'Assumptions'!$B$44</f>
        <v/>
      </c>
      <c r="AA10" s="22">
        <f>Census!AA21*'Assumptions'!$B$44</f>
        <v/>
      </c>
      <c r="AB10" s="22">
        <f>Census!AB21*'Assumptions'!$B$44</f>
        <v/>
      </c>
      <c r="AC10" s="22">
        <f>Census!AC21*'Assumptions'!$B$44</f>
        <v/>
      </c>
      <c r="AD10" s="22">
        <f>Census!AD21*'Assumptions'!$B$44</f>
        <v/>
      </c>
      <c r="AE10" s="22">
        <f>Census!AE21*'Assumptions'!$B$44</f>
        <v/>
      </c>
      <c r="AF10" s="22">
        <f>Census!AF21*'Assumptions'!$B$44</f>
        <v/>
      </c>
      <c r="AG10" s="22">
        <f>Census!AG21*'Assumptions'!$B$44</f>
        <v/>
      </c>
      <c r="AH10" s="22">
        <f>Census!AH21*'Assumptions'!$B$44</f>
        <v/>
      </c>
      <c r="AI10" s="22">
        <f>Census!AI21*'Assumptions'!$B$44</f>
        <v/>
      </c>
      <c r="AJ10" s="22">
        <f>Census!AJ21*'Assumptions'!$B$44</f>
        <v/>
      </c>
      <c r="AK10" s="22">
        <f>Census!AK21*'Assumptions'!$B$44</f>
        <v/>
      </c>
      <c r="AL10" s="22">
        <f>Census!AL21*'Assumptions'!$B$44</f>
        <v/>
      </c>
    </row>
    <row r="11">
      <c r="A11" s="4" t="inlineStr">
        <is>
          <t>Mileage</t>
        </is>
      </c>
      <c r="C11" s="22">
        <f>Census!C20*'Assumptions'!$B$45</f>
        <v/>
      </c>
      <c r="D11" s="22">
        <f>Census!D20*'Assumptions'!$B$45</f>
        <v/>
      </c>
      <c r="E11" s="22">
        <f>Census!E20*'Assumptions'!$B$45</f>
        <v/>
      </c>
      <c r="F11" s="22">
        <f>Census!F20*'Assumptions'!$B$45</f>
        <v/>
      </c>
      <c r="G11" s="22">
        <f>Census!G20*'Assumptions'!$B$45</f>
        <v/>
      </c>
      <c r="H11" s="22">
        <f>Census!H20*'Assumptions'!$B$45</f>
        <v/>
      </c>
      <c r="I11" s="22">
        <f>Census!I20*'Assumptions'!$B$45</f>
        <v/>
      </c>
      <c r="J11" s="22">
        <f>Census!J20*'Assumptions'!$B$45</f>
        <v/>
      </c>
      <c r="K11" s="22">
        <f>Census!K20*'Assumptions'!$B$45</f>
        <v/>
      </c>
      <c r="L11" s="22">
        <f>Census!L20*'Assumptions'!$B$45</f>
        <v/>
      </c>
      <c r="M11" s="22">
        <f>Census!M20*'Assumptions'!$B$45</f>
        <v/>
      </c>
      <c r="N11" s="22">
        <f>Census!N20*'Assumptions'!$B$45</f>
        <v/>
      </c>
      <c r="O11" s="22">
        <f>Census!O20*'Assumptions'!$B$45</f>
        <v/>
      </c>
      <c r="P11" s="22">
        <f>Census!P20*'Assumptions'!$B$45</f>
        <v/>
      </c>
      <c r="Q11" s="22">
        <f>Census!Q20*'Assumptions'!$B$45</f>
        <v/>
      </c>
      <c r="R11" s="22">
        <f>Census!R20*'Assumptions'!$B$45</f>
        <v/>
      </c>
      <c r="S11" s="22">
        <f>Census!S20*'Assumptions'!$B$45</f>
        <v/>
      </c>
      <c r="T11" s="22">
        <f>Census!T20*'Assumptions'!$B$45</f>
        <v/>
      </c>
      <c r="U11" s="22">
        <f>Census!U20*'Assumptions'!$B$45</f>
        <v/>
      </c>
      <c r="V11" s="22">
        <f>Census!V20*'Assumptions'!$B$45</f>
        <v/>
      </c>
      <c r="W11" s="22">
        <f>Census!W20*'Assumptions'!$B$45</f>
        <v/>
      </c>
      <c r="X11" s="22">
        <f>Census!X20*'Assumptions'!$B$45</f>
        <v/>
      </c>
      <c r="Y11" s="22">
        <f>Census!Y20*'Assumptions'!$B$45</f>
        <v/>
      </c>
      <c r="Z11" s="22">
        <f>Census!Z20*'Assumptions'!$B$45</f>
        <v/>
      </c>
      <c r="AA11" s="22">
        <f>Census!AA20*'Assumptions'!$B$45</f>
        <v/>
      </c>
      <c r="AB11" s="22">
        <f>Census!AB20*'Assumptions'!$B$45</f>
        <v/>
      </c>
      <c r="AC11" s="22">
        <f>Census!AC20*'Assumptions'!$B$45</f>
        <v/>
      </c>
      <c r="AD11" s="22">
        <f>Census!AD20*'Assumptions'!$B$45</f>
        <v/>
      </c>
      <c r="AE11" s="22">
        <f>Census!AE20*'Assumptions'!$B$45</f>
        <v/>
      </c>
      <c r="AF11" s="22">
        <f>Census!AF20*'Assumptions'!$B$45</f>
        <v/>
      </c>
      <c r="AG11" s="22">
        <f>Census!AG20*'Assumptions'!$B$45</f>
        <v/>
      </c>
      <c r="AH11" s="22">
        <f>Census!AH20*'Assumptions'!$B$45</f>
        <v/>
      </c>
      <c r="AI11" s="22">
        <f>Census!AI20*'Assumptions'!$B$45</f>
        <v/>
      </c>
      <c r="AJ11" s="22">
        <f>Census!AJ20*'Assumptions'!$B$45</f>
        <v/>
      </c>
      <c r="AK11" s="22">
        <f>Census!AK20*'Assumptions'!$B$45</f>
        <v/>
      </c>
      <c r="AL11" s="22">
        <f>Census!AL20*'Assumptions'!$B$45</f>
        <v/>
      </c>
    </row>
    <row r="12">
      <c r="A12" s="4" t="inlineStr">
        <is>
          <t>G&amp;A (bill calendar, monthly-equivalent)</t>
        </is>
      </c>
      <c r="C12" s="22">
        <f>SUMPRODUCT(Assumptions!$B$51:$B$64/Assumptions!$C$51:$C$64)</f>
        <v/>
      </c>
      <c r="D12" s="22">
        <f>SUMPRODUCT(Assumptions!$B$51:$B$64/Assumptions!$C$51:$C$64)</f>
        <v/>
      </c>
      <c r="E12" s="22">
        <f>SUMPRODUCT(Assumptions!$B$51:$B$64/Assumptions!$C$51:$C$64)</f>
        <v/>
      </c>
      <c r="F12" s="22">
        <f>SUMPRODUCT(Assumptions!$B$51:$B$64/Assumptions!$C$51:$C$64)</f>
        <v/>
      </c>
      <c r="G12" s="22">
        <f>SUMPRODUCT(Assumptions!$B$51:$B$64/Assumptions!$C$51:$C$64)</f>
        <v/>
      </c>
      <c r="H12" s="22">
        <f>SUMPRODUCT(Assumptions!$B$51:$B$64/Assumptions!$C$51:$C$64)</f>
        <v/>
      </c>
      <c r="I12" s="22">
        <f>SUMPRODUCT(Assumptions!$B$51:$B$64/Assumptions!$C$51:$C$64)</f>
        <v/>
      </c>
      <c r="J12" s="22">
        <f>SUMPRODUCT(Assumptions!$B$51:$B$64/Assumptions!$C$51:$C$64)</f>
        <v/>
      </c>
      <c r="K12" s="22">
        <f>SUMPRODUCT(Assumptions!$B$51:$B$64/Assumptions!$C$51:$C$64)</f>
        <v/>
      </c>
      <c r="L12" s="22">
        <f>SUMPRODUCT(Assumptions!$B$51:$B$64/Assumptions!$C$51:$C$64)</f>
        <v/>
      </c>
      <c r="M12" s="22">
        <f>SUMPRODUCT(Assumptions!$B$51:$B$64/Assumptions!$C$51:$C$64)</f>
        <v/>
      </c>
      <c r="N12" s="22">
        <f>SUMPRODUCT(Assumptions!$B$51:$B$64/Assumptions!$C$51:$C$64)</f>
        <v/>
      </c>
      <c r="O12" s="22">
        <f>SUMPRODUCT(Assumptions!$B$51:$B$64/Assumptions!$C$51:$C$64)</f>
        <v/>
      </c>
      <c r="P12" s="22">
        <f>SUMPRODUCT(Assumptions!$B$51:$B$64/Assumptions!$C$51:$C$64)</f>
        <v/>
      </c>
      <c r="Q12" s="22">
        <f>SUMPRODUCT(Assumptions!$B$51:$B$64/Assumptions!$C$51:$C$64)</f>
        <v/>
      </c>
      <c r="R12" s="22">
        <f>SUMPRODUCT(Assumptions!$B$51:$B$64/Assumptions!$C$51:$C$64)</f>
        <v/>
      </c>
      <c r="S12" s="22">
        <f>SUMPRODUCT(Assumptions!$B$51:$B$64/Assumptions!$C$51:$C$64)</f>
        <v/>
      </c>
      <c r="T12" s="22">
        <f>SUMPRODUCT(Assumptions!$B$51:$B$64/Assumptions!$C$51:$C$64)</f>
        <v/>
      </c>
      <c r="U12" s="22">
        <f>SUMPRODUCT(Assumptions!$B$51:$B$64/Assumptions!$C$51:$C$64)</f>
        <v/>
      </c>
      <c r="V12" s="22">
        <f>SUMPRODUCT(Assumptions!$B$51:$B$64/Assumptions!$C$51:$C$64)</f>
        <v/>
      </c>
      <c r="W12" s="22">
        <f>SUMPRODUCT(Assumptions!$B$51:$B$64/Assumptions!$C$51:$C$64)</f>
        <v/>
      </c>
      <c r="X12" s="22">
        <f>SUMPRODUCT(Assumptions!$B$51:$B$64/Assumptions!$C$51:$C$64)</f>
        <v/>
      </c>
      <c r="Y12" s="22">
        <f>SUMPRODUCT(Assumptions!$B$51:$B$64/Assumptions!$C$51:$C$64)</f>
        <v/>
      </c>
      <c r="Z12" s="22">
        <f>SUMPRODUCT(Assumptions!$B$51:$B$64/Assumptions!$C$51:$C$64)</f>
        <v/>
      </c>
      <c r="AA12" s="22">
        <f>SUMPRODUCT(Assumptions!$B$51:$B$64/Assumptions!$C$51:$C$64)</f>
        <v/>
      </c>
      <c r="AB12" s="22">
        <f>SUMPRODUCT(Assumptions!$B$51:$B$64/Assumptions!$C$51:$C$64)</f>
        <v/>
      </c>
      <c r="AC12" s="22">
        <f>SUMPRODUCT(Assumptions!$B$51:$B$64/Assumptions!$C$51:$C$64)</f>
        <v/>
      </c>
      <c r="AD12" s="22">
        <f>SUMPRODUCT(Assumptions!$B$51:$B$64/Assumptions!$C$51:$C$64)</f>
        <v/>
      </c>
      <c r="AE12" s="22">
        <f>SUMPRODUCT(Assumptions!$B$51:$B$64/Assumptions!$C$51:$C$64)</f>
        <v/>
      </c>
      <c r="AF12" s="22">
        <f>SUMPRODUCT(Assumptions!$B$51:$B$64/Assumptions!$C$51:$C$64)</f>
        <v/>
      </c>
      <c r="AG12" s="22">
        <f>SUMPRODUCT(Assumptions!$B$51:$B$64/Assumptions!$C$51:$C$64)</f>
        <v/>
      </c>
      <c r="AH12" s="22">
        <f>SUMPRODUCT(Assumptions!$B$51:$B$64/Assumptions!$C$51:$C$64)</f>
        <v/>
      </c>
      <c r="AI12" s="22">
        <f>SUMPRODUCT(Assumptions!$B$51:$B$64/Assumptions!$C$51:$C$64)</f>
        <v/>
      </c>
      <c r="AJ12" s="22">
        <f>SUMPRODUCT(Assumptions!$B$51:$B$64/Assumptions!$C$51:$C$64)</f>
        <v/>
      </c>
      <c r="AK12" s="22">
        <f>SUMPRODUCT(Assumptions!$B$51:$B$64/Assumptions!$C$51:$C$64)</f>
        <v/>
      </c>
      <c r="AL12" s="22">
        <f>SUMPRODUCT(Assumptions!$B$51:$B$64/Assumptions!$C$51:$C$64)</f>
        <v/>
      </c>
    </row>
    <row r="13">
      <c r="A13" s="4" t="inlineStr">
        <is>
          <t>Billing + QR fees (% of net)</t>
        </is>
      </c>
      <c r="C13" s="22">
        <f>C8*'Assumptions'!$B$46</f>
        <v/>
      </c>
      <c r="D13" s="22">
        <f>D8*'Assumptions'!$B$46</f>
        <v/>
      </c>
      <c r="E13" s="22">
        <f>E8*'Assumptions'!$B$46</f>
        <v/>
      </c>
      <c r="F13" s="22">
        <f>F8*'Assumptions'!$B$46</f>
        <v/>
      </c>
      <c r="G13" s="22">
        <f>G8*'Assumptions'!$B$46</f>
        <v/>
      </c>
      <c r="H13" s="22">
        <f>H8*'Assumptions'!$B$46</f>
        <v/>
      </c>
      <c r="I13" s="22">
        <f>I8*'Assumptions'!$B$46</f>
        <v/>
      </c>
      <c r="J13" s="22">
        <f>J8*'Assumptions'!$B$46</f>
        <v/>
      </c>
      <c r="K13" s="22">
        <f>K8*'Assumptions'!$B$46</f>
        <v/>
      </c>
      <c r="L13" s="22">
        <f>L8*'Assumptions'!$B$46</f>
        <v/>
      </c>
      <c r="M13" s="22">
        <f>M8*'Assumptions'!$B$46</f>
        <v/>
      </c>
      <c r="N13" s="22">
        <f>N8*'Assumptions'!$B$46</f>
        <v/>
      </c>
      <c r="O13" s="22">
        <f>O8*'Assumptions'!$B$46</f>
        <v/>
      </c>
      <c r="P13" s="22">
        <f>P8*'Assumptions'!$B$46</f>
        <v/>
      </c>
      <c r="Q13" s="22">
        <f>Q8*'Assumptions'!$B$46</f>
        <v/>
      </c>
      <c r="R13" s="22">
        <f>R8*'Assumptions'!$B$46</f>
        <v/>
      </c>
      <c r="S13" s="22">
        <f>S8*'Assumptions'!$B$46</f>
        <v/>
      </c>
      <c r="T13" s="22">
        <f>T8*'Assumptions'!$B$46</f>
        <v/>
      </c>
      <c r="U13" s="22">
        <f>U8*'Assumptions'!$B$46</f>
        <v/>
      </c>
      <c r="V13" s="22">
        <f>V8*'Assumptions'!$B$46</f>
        <v/>
      </c>
      <c r="W13" s="22">
        <f>W8*'Assumptions'!$B$46</f>
        <v/>
      </c>
      <c r="X13" s="22">
        <f>X8*'Assumptions'!$B$46</f>
        <v/>
      </c>
      <c r="Y13" s="22">
        <f>Y8*'Assumptions'!$B$46</f>
        <v/>
      </c>
      <c r="Z13" s="22">
        <f>Z8*'Assumptions'!$B$46</f>
        <v/>
      </c>
      <c r="AA13" s="22">
        <f>AA8*'Assumptions'!$B$46</f>
        <v/>
      </c>
      <c r="AB13" s="22">
        <f>AB8*'Assumptions'!$B$46</f>
        <v/>
      </c>
      <c r="AC13" s="22">
        <f>AC8*'Assumptions'!$B$46</f>
        <v/>
      </c>
      <c r="AD13" s="22">
        <f>AD8*'Assumptions'!$B$46</f>
        <v/>
      </c>
      <c r="AE13" s="22">
        <f>AE8*'Assumptions'!$B$46</f>
        <v/>
      </c>
      <c r="AF13" s="22">
        <f>AF8*'Assumptions'!$B$46</f>
        <v/>
      </c>
      <c r="AG13" s="22">
        <f>AG8*'Assumptions'!$B$46</f>
        <v/>
      </c>
      <c r="AH13" s="22">
        <f>AH8*'Assumptions'!$B$46</f>
        <v/>
      </c>
      <c r="AI13" s="22">
        <f>AI8*'Assumptions'!$B$46</f>
        <v/>
      </c>
      <c r="AJ13" s="22">
        <f>AJ8*'Assumptions'!$B$46</f>
        <v/>
      </c>
      <c r="AK13" s="22">
        <f>AK8*'Assumptions'!$B$46</f>
        <v/>
      </c>
      <c r="AL13" s="22">
        <f>AL8*'Assumptions'!$B$46</f>
        <v/>
      </c>
    </row>
    <row r="14">
      <c r="A14" s="12" t="inlineStr">
        <is>
          <t>EBITDA</t>
        </is>
      </c>
      <c r="C14" s="23">
        <f>C8-C9-C10-C11-C12-C13</f>
        <v/>
      </c>
      <c r="D14" s="23">
        <f>D8-D9-D10-D11-D12-D13</f>
        <v/>
      </c>
      <c r="E14" s="23">
        <f>E8-E9-E10-E11-E12-E13</f>
        <v/>
      </c>
      <c r="F14" s="23">
        <f>F8-F9-F10-F11-F12-F13</f>
        <v/>
      </c>
      <c r="G14" s="23">
        <f>G8-G9-G10-G11-G12-G13</f>
        <v/>
      </c>
      <c r="H14" s="23">
        <f>H8-H9-H10-H11-H12-H13</f>
        <v/>
      </c>
      <c r="I14" s="23">
        <f>I8-I9-I10-I11-I12-I13</f>
        <v/>
      </c>
      <c r="J14" s="23">
        <f>J8-J9-J10-J11-J12-J13</f>
        <v/>
      </c>
      <c r="K14" s="23">
        <f>K8-K9-K10-K11-K12-K13</f>
        <v/>
      </c>
      <c r="L14" s="23">
        <f>L8-L9-L10-L11-L12-L13</f>
        <v/>
      </c>
      <c r="M14" s="23">
        <f>M8-M9-M10-M11-M12-M13</f>
        <v/>
      </c>
      <c r="N14" s="23">
        <f>N8-N9-N10-N11-N12-N13</f>
        <v/>
      </c>
      <c r="O14" s="23">
        <f>O8-O9-O10-O11-O12-O13</f>
        <v/>
      </c>
      <c r="P14" s="23">
        <f>P8-P9-P10-P11-P12-P13</f>
        <v/>
      </c>
      <c r="Q14" s="23">
        <f>Q8-Q9-Q10-Q11-Q12-Q13</f>
        <v/>
      </c>
      <c r="R14" s="23">
        <f>R8-R9-R10-R11-R12-R13</f>
        <v/>
      </c>
      <c r="S14" s="23">
        <f>S8-S9-S10-S11-S12-S13</f>
        <v/>
      </c>
      <c r="T14" s="23">
        <f>T8-T9-T10-T11-T12-T13</f>
        <v/>
      </c>
      <c r="U14" s="23">
        <f>U8-U9-U10-U11-U12-U13</f>
        <v/>
      </c>
      <c r="V14" s="23">
        <f>V8-V9-V10-V11-V12-V13</f>
        <v/>
      </c>
      <c r="W14" s="23">
        <f>W8-W9-W10-W11-W12-W13</f>
        <v/>
      </c>
      <c r="X14" s="23">
        <f>X8-X9-X10-X11-X12-X13</f>
        <v/>
      </c>
      <c r="Y14" s="23">
        <f>Y8-Y9-Y10-Y11-Y12-Y13</f>
        <v/>
      </c>
      <c r="Z14" s="23">
        <f>Z8-Z9-Z10-Z11-Z12-Z13</f>
        <v/>
      </c>
      <c r="AA14" s="23">
        <f>AA8-AA9-AA10-AA11-AA12-AA13</f>
        <v/>
      </c>
      <c r="AB14" s="23">
        <f>AB8-AB9-AB10-AB11-AB12-AB13</f>
        <v/>
      </c>
      <c r="AC14" s="23">
        <f>AC8-AC9-AC10-AC11-AC12-AC13</f>
        <v/>
      </c>
      <c r="AD14" s="23">
        <f>AD8-AD9-AD10-AD11-AD12-AD13</f>
        <v/>
      </c>
      <c r="AE14" s="23">
        <f>AE8-AE9-AE10-AE11-AE12-AE13</f>
        <v/>
      </c>
      <c r="AF14" s="23">
        <f>AF8-AF9-AF10-AF11-AF12-AF13</f>
        <v/>
      </c>
      <c r="AG14" s="23">
        <f>AG8-AG9-AG10-AG11-AG12-AG13</f>
        <v/>
      </c>
      <c r="AH14" s="23">
        <f>AH8-AH9-AH10-AH11-AH12-AH13</f>
        <v/>
      </c>
      <c r="AI14" s="23">
        <f>AI8-AI9-AI10-AI11-AI12-AI13</f>
        <v/>
      </c>
      <c r="AJ14" s="23">
        <f>AJ8-AJ9-AJ10-AJ11-AJ12-AJ13</f>
        <v/>
      </c>
      <c r="AK14" s="23">
        <f>AK8-AK9-AK10-AK11-AK12-AK13</f>
        <v/>
      </c>
      <c r="AL14" s="23">
        <f>AL8-AL9-AL10-AL11-AL12-AL13</f>
        <v/>
      </c>
    </row>
    <row r="15">
      <c r="A15" s="4" t="inlineStr">
        <is>
          <t>Cap-liability reserve (accrual, non-cash)</t>
        </is>
      </c>
      <c r="C15" s="22">
        <f>-C8*'Assumptions'!$B$7*'Assumptions'!$B$47</f>
        <v/>
      </c>
      <c r="D15" s="22">
        <f>-D8*'Assumptions'!$B$7*'Assumptions'!$B$47</f>
        <v/>
      </c>
      <c r="E15" s="22">
        <f>-E8*'Assumptions'!$B$7*'Assumptions'!$B$47</f>
        <v/>
      </c>
      <c r="F15" s="22">
        <f>-F8*'Assumptions'!$B$7*'Assumptions'!$B$47</f>
        <v/>
      </c>
      <c r="G15" s="22">
        <f>-G8*'Assumptions'!$B$7*'Assumptions'!$B$47</f>
        <v/>
      </c>
      <c r="H15" s="22">
        <f>-H8*'Assumptions'!$B$7*'Assumptions'!$B$47</f>
        <v/>
      </c>
      <c r="I15" s="22">
        <f>-I8*'Assumptions'!$B$7*'Assumptions'!$B$47</f>
        <v/>
      </c>
      <c r="J15" s="22">
        <f>-J8*'Assumptions'!$B$7*'Assumptions'!$B$47</f>
        <v/>
      </c>
      <c r="K15" s="22">
        <f>-K8*'Assumptions'!$B$7*'Assumptions'!$B$47</f>
        <v/>
      </c>
      <c r="L15" s="22">
        <f>-L8*'Assumptions'!$B$7*'Assumptions'!$B$47</f>
        <v/>
      </c>
      <c r="M15" s="22">
        <f>-M8*'Assumptions'!$B$7*'Assumptions'!$B$47</f>
        <v/>
      </c>
      <c r="N15" s="22">
        <f>-N8*'Assumptions'!$B$7*'Assumptions'!$B$47</f>
        <v/>
      </c>
      <c r="O15" s="22">
        <f>-O8*'Assumptions'!$B$7*'Assumptions'!$B$47</f>
        <v/>
      </c>
      <c r="P15" s="22">
        <f>-P8*'Assumptions'!$B$7*'Assumptions'!$B$47</f>
        <v/>
      </c>
      <c r="Q15" s="22">
        <f>-Q8*'Assumptions'!$B$7*'Assumptions'!$B$47</f>
        <v/>
      </c>
      <c r="R15" s="22">
        <f>-R8*'Assumptions'!$B$7*'Assumptions'!$B$47</f>
        <v/>
      </c>
      <c r="S15" s="22">
        <f>-S8*'Assumptions'!$B$7*'Assumptions'!$B$47</f>
        <v/>
      </c>
      <c r="T15" s="22">
        <f>-T8*'Assumptions'!$B$7*'Assumptions'!$B$47</f>
        <v/>
      </c>
      <c r="U15" s="22">
        <f>-U8*'Assumptions'!$B$7*'Assumptions'!$B$47</f>
        <v/>
      </c>
      <c r="V15" s="22">
        <f>-V8*'Assumptions'!$B$7*'Assumptions'!$B$47</f>
        <v/>
      </c>
      <c r="W15" s="22">
        <f>-W8*'Assumptions'!$B$7*'Assumptions'!$B$47</f>
        <v/>
      </c>
      <c r="X15" s="22">
        <f>-X8*'Assumptions'!$B$7*'Assumptions'!$B$47</f>
        <v/>
      </c>
      <c r="Y15" s="22">
        <f>-Y8*'Assumptions'!$B$7*'Assumptions'!$B$47</f>
        <v/>
      </c>
      <c r="Z15" s="22">
        <f>-Z8*'Assumptions'!$B$7*'Assumptions'!$B$47</f>
        <v/>
      </c>
      <c r="AA15" s="22">
        <f>-AA8*'Assumptions'!$B$7*'Assumptions'!$B$47</f>
        <v/>
      </c>
      <c r="AB15" s="22">
        <f>-AB8*'Assumptions'!$B$7*'Assumptions'!$B$47</f>
        <v/>
      </c>
      <c r="AC15" s="22">
        <f>-AC8*'Assumptions'!$B$7*'Assumptions'!$B$47</f>
        <v/>
      </c>
      <c r="AD15" s="22">
        <f>-AD8*'Assumptions'!$B$7*'Assumptions'!$B$47</f>
        <v/>
      </c>
      <c r="AE15" s="22">
        <f>-AE8*'Assumptions'!$B$7*'Assumptions'!$B$47</f>
        <v/>
      </c>
      <c r="AF15" s="22">
        <f>-AF8*'Assumptions'!$B$7*'Assumptions'!$B$47</f>
        <v/>
      </c>
      <c r="AG15" s="22">
        <f>-AG8*'Assumptions'!$B$7*'Assumptions'!$B$47</f>
        <v/>
      </c>
      <c r="AH15" s="22">
        <f>-AH8*'Assumptions'!$B$7*'Assumptions'!$B$47</f>
        <v/>
      </c>
      <c r="AI15" s="22">
        <f>-AI8*'Assumptions'!$B$7*'Assumptions'!$B$47</f>
        <v/>
      </c>
      <c r="AJ15" s="22">
        <f>-AJ8*'Assumptions'!$B$7*'Assumptions'!$B$47</f>
        <v/>
      </c>
      <c r="AK15" s="22">
        <f>-AK8*'Assumptions'!$B$7*'Assumptions'!$B$47</f>
        <v/>
      </c>
      <c r="AL15" s="22">
        <f>-AL8*'Assumptions'!$B$7*'Assumptions'!$B$47</f>
        <v/>
      </c>
    </row>
    <row r="16">
      <c r="A16" s="4" t="inlineStr">
        <is>
          <t>License amortization (non-cash)</t>
        </is>
      </c>
      <c r="C16" s="22">
        <f>-'Assumptions'!$B$67/'Assumptions'!$B$90/12</f>
        <v/>
      </c>
      <c r="D16" s="22">
        <f>-'Assumptions'!$B$67/'Assumptions'!$B$90/12</f>
        <v/>
      </c>
      <c r="E16" s="22">
        <f>-'Assumptions'!$B$67/'Assumptions'!$B$90/12</f>
        <v/>
      </c>
      <c r="F16" s="22">
        <f>-'Assumptions'!$B$67/'Assumptions'!$B$90/12</f>
        <v/>
      </c>
      <c r="G16" s="22">
        <f>-'Assumptions'!$B$67/'Assumptions'!$B$90/12</f>
        <v/>
      </c>
      <c r="H16" s="22">
        <f>-'Assumptions'!$B$67/'Assumptions'!$B$90/12</f>
        <v/>
      </c>
      <c r="I16" s="22">
        <f>-'Assumptions'!$B$67/'Assumptions'!$B$90/12</f>
        <v/>
      </c>
      <c r="J16" s="22">
        <f>-'Assumptions'!$B$67/'Assumptions'!$B$90/12</f>
        <v/>
      </c>
      <c r="K16" s="22">
        <f>-'Assumptions'!$B$67/'Assumptions'!$B$90/12</f>
        <v/>
      </c>
      <c r="L16" s="22">
        <f>-'Assumptions'!$B$67/'Assumptions'!$B$90/12</f>
        <v/>
      </c>
      <c r="M16" s="22">
        <f>-'Assumptions'!$B$67/'Assumptions'!$B$90/12</f>
        <v/>
      </c>
      <c r="N16" s="22">
        <f>-'Assumptions'!$B$67/'Assumptions'!$B$90/12</f>
        <v/>
      </c>
      <c r="O16" s="22">
        <f>-'Assumptions'!$B$67/'Assumptions'!$B$90/12</f>
        <v/>
      </c>
      <c r="P16" s="22">
        <f>-'Assumptions'!$B$67/'Assumptions'!$B$90/12</f>
        <v/>
      </c>
      <c r="Q16" s="22">
        <f>-'Assumptions'!$B$67/'Assumptions'!$B$90/12</f>
        <v/>
      </c>
      <c r="R16" s="22">
        <f>-'Assumptions'!$B$67/'Assumptions'!$B$90/12</f>
        <v/>
      </c>
      <c r="S16" s="22">
        <f>-'Assumptions'!$B$67/'Assumptions'!$B$90/12</f>
        <v/>
      </c>
      <c r="T16" s="22">
        <f>-'Assumptions'!$B$67/'Assumptions'!$B$90/12</f>
        <v/>
      </c>
      <c r="U16" s="22">
        <f>-'Assumptions'!$B$67/'Assumptions'!$B$90/12</f>
        <v/>
      </c>
      <c r="V16" s="22">
        <f>-'Assumptions'!$B$67/'Assumptions'!$B$90/12</f>
        <v/>
      </c>
      <c r="W16" s="22">
        <f>-'Assumptions'!$B$67/'Assumptions'!$B$90/12</f>
        <v/>
      </c>
      <c r="X16" s="22">
        <f>-'Assumptions'!$B$67/'Assumptions'!$B$90/12</f>
        <v/>
      </c>
      <c r="Y16" s="22">
        <f>-'Assumptions'!$B$67/'Assumptions'!$B$90/12</f>
        <v/>
      </c>
      <c r="Z16" s="22">
        <f>-'Assumptions'!$B$67/'Assumptions'!$B$90/12</f>
        <v/>
      </c>
      <c r="AA16" s="22">
        <f>-'Assumptions'!$B$67/'Assumptions'!$B$90/12</f>
        <v/>
      </c>
      <c r="AB16" s="22">
        <f>-'Assumptions'!$B$67/'Assumptions'!$B$90/12</f>
        <v/>
      </c>
      <c r="AC16" s="22">
        <f>-'Assumptions'!$B$67/'Assumptions'!$B$90/12</f>
        <v/>
      </c>
      <c r="AD16" s="22">
        <f>-'Assumptions'!$B$67/'Assumptions'!$B$90/12</f>
        <v/>
      </c>
      <c r="AE16" s="22">
        <f>-'Assumptions'!$B$67/'Assumptions'!$B$90/12</f>
        <v/>
      </c>
      <c r="AF16" s="22">
        <f>-'Assumptions'!$B$67/'Assumptions'!$B$90/12</f>
        <v/>
      </c>
      <c r="AG16" s="22">
        <f>-'Assumptions'!$B$67/'Assumptions'!$B$90/12</f>
        <v/>
      </c>
      <c r="AH16" s="22">
        <f>-'Assumptions'!$B$67/'Assumptions'!$B$90/12</f>
        <v/>
      </c>
      <c r="AI16" s="22">
        <f>-'Assumptions'!$B$67/'Assumptions'!$B$90/12</f>
        <v/>
      </c>
      <c r="AJ16" s="22">
        <f>-'Assumptions'!$B$67/'Assumptions'!$B$90/12</f>
        <v/>
      </c>
      <c r="AK16" s="22">
        <f>-'Assumptions'!$B$67/'Assumptions'!$B$90/12</f>
        <v/>
      </c>
      <c r="AL16" s="22">
        <f>-'Assumptions'!$B$67/'Assumptions'!$B$90/12</f>
        <v/>
      </c>
    </row>
    <row r="17">
      <c r="A17" s="3" t="inlineStr">
        <is>
          <t>DEBT - SELLER NOTE (base terms; auto-paid off if refi toggled)</t>
        </is>
      </c>
    </row>
    <row r="18">
      <c r="A18" s="4" t="inlineStr">
        <is>
          <t>Seller beg balance</t>
        </is>
      </c>
      <c r="C18" s="22">
        <f>'Assumptions'!$B$67-'Assumptions'!$B$68</f>
        <v/>
      </c>
      <c r="D18" s="22">
        <f>C22</f>
        <v/>
      </c>
      <c r="E18" s="22">
        <f>D22</f>
        <v/>
      </c>
      <c r="F18" s="22">
        <f>E22</f>
        <v/>
      </c>
      <c r="G18" s="22">
        <f>F22</f>
        <v/>
      </c>
      <c r="H18" s="22">
        <f>G22</f>
        <v/>
      </c>
      <c r="I18" s="22">
        <f>H22</f>
        <v/>
      </c>
      <c r="J18" s="22">
        <f>I22</f>
        <v/>
      </c>
      <c r="K18" s="22">
        <f>J22</f>
        <v/>
      </c>
      <c r="L18" s="22">
        <f>K22</f>
        <v/>
      </c>
      <c r="M18" s="22">
        <f>L22</f>
        <v/>
      </c>
      <c r="N18" s="22">
        <f>M22</f>
        <v/>
      </c>
      <c r="O18" s="22">
        <f>N22</f>
        <v/>
      </c>
      <c r="P18" s="22">
        <f>O22</f>
        <v/>
      </c>
      <c r="Q18" s="22">
        <f>P22</f>
        <v/>
      </c>
      <c r="R18" s="22">
        <f>Q22</f>
        <v/>
      </c>
      <c r="S18" s="22">
        <f>R22</f>
        <v/>
      </c>
      <c r="T18" s="22">
        <f>S22</f>
        <v/>
      </c>
      <c r="U18" s="22">
        <f>T22</f>
        <v/>
      </c>
      <c r="V18" s="22">
        <f>U22</f>
        <v/>
      </c>
      <c r="W18" s="22">
        <f>V22</f>
        <v/>
      </c>
      <c r="X18" s="22">
        <f>W22</f>
        <v/>
      </c>
      <c r="Y18" s="22">
        <f>X22</f>
        <v/>
      </c>
      <c r="Z18" s="22">
        <f>Y22</f>
        <v/>
      </c>
      <c r="AA18" s="22">
        <f>Z22</f>
        <v/>
      </c>
      <c r="AB18" s="22">
        <f>AA22</f>
        <v/>
      </c>
      <c r="AC18" s="22">
        <f>AB22</f>
        <v/>
      </c>
      <c r="AD18" s="22">
        <f>AC22</f>
        <v/>
      </c>
      <c r="AE18" s="22">
        <f>AD22</f>
        <v/>
      </c>
      <c r="AF18" s="22">
        <f>AE22</f>
        <v/>
      </c>
      <c r="AG18" s="22">
        <f>AF22</f>
        <v/>
      </c>
      <c r="AH18" s="22">
        <f>AG22</f>
        <v/>
      </c>
      <c r="AI18" s="22">
        <f>AH22</f>
        <v/>
      </c>
      <c r="AJ18" s="22">
        <f>AI22</f>
        <v/>
      </c>
      <c r="AK18" s="22">
        <f>AJ22</f>
        <v/>
      </c>
      <c r="AL18" s="22">
        <f>AK22</f>
        <v/>
      </c>
    </row>
    <row r="19">
      <c r="A19" s="4" t="inlineStr">
        <is>
          <t>Seller interest accrued (6% simple)</t>
        </is>
      </c>
      <c r="C19" s="22">
        <f>C18*'Assumptions'!$B$72/12</f>
        <v/>
      </c>
      <c r="D19" s="22">
        <f>D18*'Assumptions'!$B$72/12</f>
        <v/>
      </c>
      <c r="E19" s="22">
        <f>E18*'Assumptions'!$B$72/12</f>
        <v/>
      </c>
      <c r="F19" s="22">
        <f>F18*'Assumptions'!$B$72/12</f>
        <v/>
      </c>
      <c r="G19" s="22">
        <f>G18*'Assumptions'!$B$72/12</f>
        <v/>
      </c>
      <c r="H19" s="22">
        <f>H18*'Assumptions'!$B$72/12</f>
        <v/>
      </c>
      <c r="I19" s="22">
        <f>I18*'Assumptions'!$B$72/12</f>
        <v/>
      </c>
      <c r="J19" s="22">
        <f>J18*'Assumptions'!$B$72/12</f>
        <v/>
      </c>
      <c r="K19" s="22">
        <f>K18*'Assumptions'!$B$72/12</f>
        <v/>
      </c>
      <c r="L19" s="22">
        <f>L18*'Assumptions'!$B$72/12</f>
        <v/>
      </c>
      <c r="M19" s="22">
        <f>M18*'Assumptions'!$B$72/12</f>
        <v/>
      </c>
      <c r="N19" s="22">
        <f>N18*'Assumptions'!$B$72/12</f>
        <v/>
      </c>
      <c r="O19" s="22">
        <f>O18*'Assumptions'!$B$72/12</f>
        <v/>
      </c>
      <c r="P19" s="22">
        <f>P18*'Assumptions'!$B$72/12</f>
        <v/>
      </c>
      <c r="Q19" s="22">
        <f>Q18*'Assumptions'!$B$72/12</f>
        <v/>
      </c>
      <c r="R19" s="22">
        <f>R18*'Assumptions'!$B$72/12</f>
        <v/>
      </c>
      <c r="S19" s="22">
        <f>S18*'Assumptions'!$B$72/12</f>
        <v/>
      </c>
      <c r="T19" s="22">
        <f>T18*'Assumptions'!$B$72/12</f>
        <v/>
      </c>
      <c r="U19" s="22">
        <f>U18*'Assumptions'!$B$72/12</f>
        <v/>
      </c>
      <c r="V19" s="22">
        <f>V18*'Assumptions'!$B$72/12</f>
        <v/>
      </c>
      <c r="W19" s="22">
        <f>W18*'Assumptions'!$B$72/12</f>
        <v/>
      </c>
      <c r="X19" s="22">
        <f>X18*'Assumptions'!$B$72/12</f>
        <v/>
      </c>
      <c r="Y19" s="22">
        <f>Y18*'Assumptions'!$B$72/12</f>
        <v/>
      </c>
      <c r="Z19" s="22">
        <f>Z18*'Assumptions'!$B$72/12</f>
        <v/>
      </c>
      <c r="AA19" s="22">
        <f>AA18*'Assumptions'!$B$72/12</f>
        <v/>
      </c>
      <c r="AB19" s="22">
        <f>AB18*'Assumptions'!$B$72/12</f>
        <v/>
      </c>
      <c r="AC19" s="22">
        <f>AC18*'Assumptions'!$B$72/12</f>
        <v/>
      </c>
      <c r="AD19" s="22">
        <f>AD18*'Assumptions'!$B$72/12</f>
        <v/>
      </c>
      <c r="AE19" s="22">
        <f>AE18*'Assumptions'!$B$72/12</f>
        <v/>
      </c>
      <c r="AF19" s="22">
        <f>AF18*'Assumptions'!$B$72/12</f>
        <v/>
      </c>
      <c r="AG19" s="22">
        <f>AG18*'Assumptions'!$B$72/12</f>
        <v/>
      </c>
      <c r="AH19" s="22">
        <f>AH18*'Assumptions'!$B$72/12</f>
        <v/>
      </c>
      <c r="AI19" s="22">
        <f>AI18*'Assumptions'!$B$72/12</f>
        <v/>
      </c>
      <c r="AJ19" s="22">
        <f>AJ18*'Assumptions'!$B$72/12</f>
        <v/>
      </c>
      <c r="AK19" s="22">
        <f>AK18*'Assumptions'!$B$72/12</f>
        <v/>
      </c>
      <c r="AL19" s="22">
        <f>AL18*'Assumptions'!$B$72/12</f>
        <v/>
      </c>
    </row>
    <row r="20">
      <c r="A20" s="4" t="inlineStr">
        <is>
          <t>Seller principal payments</t>
        </is>
      </c>
      <c r="C20" s="22">
        <f>IF(C18&lt;=0,0,IF(AND('Assumptions'!$B$76=1,1='Assumptions'!$B$77),C18,IF(AND(1&gt;='Assumptions'!$B$70,1&lt;='Assumptions'!$B$71),'Assumptions'!$B$69,IF(1='Assumptions'!$B$73,C18,0))))</f>
        <v/>
      </c>
      <c r="D20" s="22">
        <f>IF(D18&lt;=0,0,IF(AND('Assumptions'!$B$76=1,2='Assumptions'!$B$77),D18,IF(AND(2&gt;='Assumptions'!$B$70,2&lt;='Assumptions'!$B$71),'Assumptions'!$B$69,IF(2='Assumptions'!$B$73,D18,0))))</f>
        <v/>
      </c>
      <c r="E20" s="22">
        <f>IF(E18&lt;=0,0,IF(AND('Assumptions'!$B$76=1,3='Assumptions'!$B$77),E18,IF(AND(3&gt;='Assumptions'!$B$70,3&lt;='Assumptions'!$B$71),'Assumptions'!$B$69,IF(3='Assumptions'!$B$73,E18,0))))</f>
        <v/>
      </c>
      <c r="F20" s="22">
        <f>IF(F18&lt;=0,0,IF(AND('Assumptions'!$B$76=1,4='Assumptions'!$B$77),F18,IF(AND(4&gt;='Assumptions'!$B$70,4&lt;='Assumptions'!$B$71),'Assumptions'!$B$69,IF(4='Assumptions'!$B$73,F18,0))))</f>
        <v/>
      </c>
      <c r="G20" s="22">
        <f>IF(G18&lt;=0,0,IF(AND('Assumptions'!$B$76=1,5='Assumptions'!$B$77),G18,IF(AND(5&gt;='Assumptions'!$B$70,5&lt;='Assumptions'!$B$71),'Assumptions'!$B$69,IF(5='Assumptions'!$B$73,G18,0))))</f>
        <v/>
      </c>
      <c r="H20" s="22">
        <f>IF(H18&lt;=0,0,IF(AND('Assumptions'!$B$76=1,6='Assumptions'!$B$77),H18,IF(AND(6&gt;='Assumptions'!$B$70,6&lt;='Assumptions'!$B$71),'Assumptions'!$B$69,IF(6='Assumptions'!$B$73,H18,0))))</f>
        <v/>
      </c>
      <c r="I20" s="22">
        <f>IF(I18&lt;=0,0,IF(AND('Assumptions'!$B$76=1,7='Assumptions'!$B$77),I18,IF(AND(7&gt;='Assumptions'!$B$70,7&lt;='Assumptions'!$B$71),'Assumptions'!$B$69,IF(7='Assumptions'!$B$73,I18,0))))</f>
        <v/>
      </c>
      <c r="J20" s="22">
        <f>IF(J18&lt;=0,0,IF(AND('Assumptions'!$B$76=1,8='Assumptions'!$B$77),J18,IF(AND(8&gt;='Assumptions'!$B$70,8&lt;='Assumptions'!$B$71),'Assumptions'!$B$69,IF(8='Assumptions'!$B$73,J18,0))))</f>
        <v/>
      </c>
      <c r="K20" s="22">
        <f>IF(K18&lt;=0,0,IF(AND('Assumptions'!$B$76=1,9='Assumptions'!$B$77),K18,IF(AND(9&gt;='Assumptions'!$B$70,9&lt;='Assumptions'!$B$71),'Assumptions'!$B$69,IF(9='Assumptions'!$B$73,K18,0))))</f>
        <v/>
      </c>
      <c r="L20" s="22">
        <f>IF(L18&lt;=0,0,IF(AND('Assumptions'!$B$76=1,10='Assumptions'!$B$77),L18,IF(AND(10&gt;='Assumptions'!$B$70,10&lt;='Assumptions'!$B$71),'Assumptions'!$B$69,IF(10='Assumptions'!$B$73,L18,0))))</f>
        <v/>
      </c>
      <c r="M20" s="22">
        <f>IF(M18&lt;=0,0,IF(AND('Assumptions'!$B$76=1,11='Assumptions'!$B$77),M18,IF(AND(11&gt;='Assumptions'!$B$70,11&lt;='Assumptions'!$B$71),'Assumptions'!$B$69,IF(11='Assumptions'!$B$73,M18,0))))</f>
        <v/>
      </c>
      <c r="N20" s="22">
        <f>IF(N18&lt;=0,0,IF(AND('Assumptions'!$B$76=1,12='Assumptions'!$B$77),N18,IF(AND(12&gt;='Assumptions'!$B$70,12&lt;='Assumptions'!$B$71),'Assumptions'!$B$69,IF(12='Assumptions'!$B$73,N18,0))))</f>
        <v/>
      </c>
      <c r="O20" s="22">
        <f>IF(O18&lt;=0,0,IF(AND('Assumptions'!$B$76=1,13='Assumptions'!$B$77),O18,IF(AND(13&gt;='Assumptions'!$B$70,13&lt;='Assumptions'!$B$71),'Assumptions'!$B$69,IF(13='Assumptions'!$B$73,O18,0))))</f>
        <v/>
      </c>
      <c r="P20" s="22">
        <f>IF(P18&lt;=0,0,IF(AND('Assumptions'!$B$76=1,14='Assumptions'!$B$77),P18,IF(AND(14&gt;='Assumptions'!$B$70,14&lt;='Assumptions'!$B$71),'Assumptions'!$B$69,IF(14='Assumptions'!$B$73,P18,0))))</f>
        <v/>
      </c>
      <c r="Q20" s="22">
        <f>IF(Q18&lt;=0,0,IF(AND('Assumptions'!$B$76=1,15='Assumptions'!$B$77),Q18,IF(AND(15&gt;='Assumptions'!$B$70,15&lt;='Assumptions'!$B$71),'Assumptions'!$B$69,IF(15='Assumptions'!$B$73,Q18,0))))</f>
        <v/>
      </c>
      <c r="R20" s="22">
        <f>IF(R18&lt;=0,0,IF(AND('Assumptions'!$B$76=1,16='Assumptions'!$B$77),R18,IF(AND(16&gt;='Assumptions'!$B$70,16&lt;='Assumptions'!$B$71),'Assumptions'!$B$69,IF(16='Assumptions'!$B$73,R18,0))))</f>
        <v/>
      </c>
      <c r="S20" s="22">
        <f>IF(S18&lt;=0,0,IF(AND('Assumptions'!$B$76=1,17='Assumptions'!$B$77),S18,IF(AND(17&gt;='Assumptions'!$B$70,17&lt;='Assumptions'!$B$71),'Assumptions'!$B$69,IF(17='Assumptions'!$B$73,S18,0))))</f>
        <v/>
      </c>
      <c r="T20" s="22">
        <f>IF(T18&lt;=0,0,IF(AND('Assumptions'!$B$76=1,18='Assumptions'!$B$77),T18,IF(AND(18&gt;='Assumptions'!$B$70,18&lt;='Assumptions'!$B$71),'Assumptions'!$B$69,IF(18='Assumptions'!$B$73,T18,0))))</f>
        <v/>
      </c>
      <c r="U20" s="22">
        <f>IF(U18&lt;=0,0,IF(AND('Assumptions'!$B$76=1,19='Assumptions'!$B$77),U18,IF(AND(19&gt;='Assumptions'!$B$70,19&lt;='Assumptions'!$B$71),'Assumptions'!$B$69,IF(19='Assumptions'!$B$73,U18,0))))</f>
        <v/>
      </c>
      <c r="V20" s="22">
        <f>IF(V18&lt;=0,0,IF(AND('Assumptions'!$B$76=1,20='Assumptions'!$B$77),V18,IF(AND(20&gt;='Assumptions'!$B$70,20&lt;='Assumptions'!$B$71),'Assumptions'!$B$69,IF(20='Assumptions'!$B$73,V18,0))))</f>
        <v/>
      </c>
      <c r="W20" s="22">
        <f>IF(W18&lt;=0,0,IF(AND('Assumptions'!$B$76=1,21='Assumptions'!$B$77),W18,IF(AND(21&gt;='Assumptions'!$B$70,21&lt;='Assumptions'!$B$71),'Assumptions'!$B$69,IF(21='Assumptions'!$B$73,W18,0))))</f>
        <v/>
      </c>
      <c r="X20" s="22">
        <f>IF(X18&lt;=0,0,IF(AND('Assumptions'!$B$76=1,22='Assumptions'!$B$77),X18,IF(AND(22&gt;='Assumptions'!$B$70,22&lt;='Assumptions'!$B$71),'Assumptions'!$B$69,IF(22='Assumptions'!$B$73,X18,0))))</f>
        <v/>
      </c>
      <c r="Y20" s="22">
        <f>IF(Y18&lt;=0,0,IF(AND('Assumptions'!$B$76=1,23='Assumptions'!$B$77),Y18,IF(AND(23&gt;='Assumptions'!$B$70,23&lt;='Assumptions'!$B$71),'Assumptions'!$B$69,IF(23='Assumptions'!$B$73,Y18,0))))</f>
        <v/>
      </c>
      <c r="Z20" s="22">
        <f>IF(Z18&lt;=0,0,IF(AND('Assumptions'!$B$76=1,24='Assumptions'!$B$77),Z18,IF(AND(24&gt;='Assumptions'!$B$70,24&lt;='Assumptions'!$B$71),'Assumptions'!$B$69,IF(24='Assumptions'!$B$73,Z18,0))))</f>
        <v/>
      </c>
      <c r="AA20" s="22">
        <f>IF(AA18&lt;=0,0,IF(AND('Assumptions'!$B$76=1,25='Assumptions'!$B$77),AA18,IF(AND(25&gt;='Assumptions'!$B$70,25&lt;='Assumptions'!$B$71),'Assumptions'!$B$69,IF(25='Assumptions'!$B$73,AA18,0))))</f>
        <v/>
      </c>
      <c r="AB20" s="22">
        <f>IF(AB18&lt;=0,0,IF(AND('Assumptions'!$B$76=1,26='Assumptions'!$B$77),AB18,IF(AND(26&gt;='Assumptions'!$B$70,26&lt;='Assumptions'!$B$71),'Assumptions'!$B$69,IF(26='Assumptions'!$B$73,AB18,0))))</f>
        <v/>
      </c>
      <c r="AC20" s="22">
        <f>IF(AC18&lt;=0,0,IF(AND('Assumptions'!$B$76=1,27='Assumptions'!$B$77),AC18,IF(AND(27&gt;='Assumptions'!$B$70,27&lt;='Assumptions'!$B$71),'Assumptions'!$B$69,IF(27='Assumptions'!$B$73,AC18,0))))</f>
        <v/>
      </c>
      <c r="AD20" s="22">
        <f>IF(AD18&lt;=0,0,IF(AND('Assumptions'!$B$76=1,28='Assumptions'!$B$77),AD18,IF(AND(28&gt;='Assumptions'!$B$70,28&lt;='Assumptions'!$B$71),'Assumptions'!$B$69,IF(28='Assumptions'!$B$73,AD18,0))))</f>
        <v/>
      </c>
      <c r="AE20" s="22">
        <f>IF(AE18&lt;=0,0,IF(AND('Assumptions'!$B$76=1,29='Assumptions'!$B$77),AE18,IF(AND(29&gt;='Assumptions'!$B$70,29&lt;='Assumptions'!$B$71),'Assumptions'!$B$69,IF(29='Assumptions'!$B$73,AE18,0))))</f>
        <v/>
      </c>
      <c r="AF20" s="22">
        <f>IF(AF18&lt;=0,0,IF(AND('Assumptions'!$B$76=1,30='Assumptions'!$B$77),AF18,IF(AND(30&gt;='Assumptions'!$B$70,30&lt;='Assumptions'!$B$71),'Assumptions'!$B$69,IF(30='Assumptions'!$B$73,AF18,0))))</f>
        <v/>
      </c>
      <c r="AG20" s="22">
        <f>IF(AG18&lt;=0,0,IF(AND('Assumptions'!$B$76=1,31='Assumptions'!$B$77),AG18,IF(AND(31&gt;='Assumptions'!$B$70,31&lt;='Assumptions'!$B$71),'Assumptions'!$B$69,IF(31='Assumptions'!$B$73,AG18,0))))</f>
        <v/>
      </c>
      <c r="AH20" s="22">
        <f>IF(AH18&lt;=0,0,IF(AND('Assumptions'!$B$76=1,32='Assumptions'!$B$77),AH18,IF(AND(32&gt;='Assumptions'!$B$70,32&lt;='Assumptions'!$B$71),'Assumptions'!$B$69,IF(32='Assumptions'!$B$73,AH18,0))))</f>
        <v/>
      </c>
      <c r="AI20" s="22">
        <f>IF(AI18&lt;=0,0,IF(AND('Assumptions'!$B$76=1,33='Assumptions'!$B$77),AI18,IF(AND(33&gt;='Assumptions'!$B$70,33&lt;='Assumptions'!$B$71),'Assumptions'!$B$69,IF(33='Assumptions'!$B$73,AI18,0))))</f>
        <v/>
      </c>
      <c r="AJ20" s="22">
        <f>IF(AJ18&lt;=0,0,IF(AND('Assumptions'!$B$76=1,34='Assumptions'!$B$77),AJ18,IF(AND(34&gt;='Assumptions'!$B$70,34&lt;='Assumptions'!$B$71),'Assumptions'!$B$69,IF(34='Assumptions'!$B$73,AJ18,0))))</f>
        <v/>
      </c>
      <c r="AK20" s="22">
        <f>IF(AK18&lt;=0,0,IF(AND('Assumptions'!$B$76=1,35='Assumptions'!$B$77),AK18,IF(AND(35&gt;='Assumptions'!$B$70,35&lt;='Assumptions'!$B$71),'Assumptions'!$B$69,IF(35='Assumptions'!$B$73,AK18,0))))</f>
        <v/>
      </c>
      <c r="AL20" s="22">
        <f>IF(AL18&lt;=0,0,IF(AND('Assumptions'!$B$76=1,36='Assumptions'!$B$77),AL18,IF(AND(36&gt;='Assumptions'!$B$70,36&lt;='Assumptions'!$B$71),'Assumptions'!$B$69,IF(36='Assumptions'!$B$73,AL18,0))))</f>
        <v/>
      </c>
    </row>
    <row r="21">
      <c r="A21" s="4" t="inlineStr">
        <is>
          <t>Seller interest PAID (at payoff/balloon)</t>
        </is>
      </c>
      <c r="C21" s="22">
        <f>IF(OR(AND('Assumptions'!$B$76=1,1='Assumptions'!$B$77),AND('Assumptions'!$B$76=0,1='Assumptions'!$B$73)),SUM($C$19:C19),0)</f>
        <v/>
      </c>
      <c r="D21" s="22">
        <f>IF(OR(AND('Assumptions'!$B$76=1,2='Assumptions'!$B$77),AND('Assumptions'!$B$76=0,2='Assumptions'!$B$73)),SUM($C$19:D19),0)</f>
        <v/>
      </c>
      <c r="E21" s="22">
        <f>IF(OR(AND('Assumptions'!$B$76=1,3='Assumptions'!$B$77),AND('Assumptions'!$B$76=0,3='Assumptions'!$B$73)),SUM($C$19:E19),0)</f>
        <v/>
      </c>
      <c r="F21" s="22">
        <f>IF(OR(AND('Assumptions'!$B$76=1,4='Assumptions'!$B$77),AND('Assumptions'!$B$76=0,4='Assumptions'!$B$73)),SUM($C$19:F19),0)</f>
        <v/>
      </c>
      <c r="G21" s="22">
        <f>IF(OR(AND('Assumptions'!$B$76=1,5='Assumptions'!$B$77),AND('Assumptions'!$B$76=0,5='Assumptions'!$B$73)),SUM($C$19:G19),0)</f>
        <v/>
      </c>
      <c r="H21" s="22">
        <f>IF(OR(AND('Assumptions'!$B$76=1,6='Assumptions'!$B$77),AND('Assumptions'!$B$76=0,6='Assumptions'!$B$73)),SUM($C$19:H19),0)</f>
        <v/>
      </c>
      <c r="I21" s="22">
        <f>IF(OR(AND('Assumptions'!$B$76=1,7='Assumptions'!$B$77),AND('Assumptions'!$B$76=0,7='Assumptions'!$B$73)),SUM($C$19:I19),0)</f>
        <v/>
      </c>
      <c r="J21" s="22">
        <f>IF(OR(AND('Assumptions'!$B$76=1,8='Assumptions'!$B$77),AND('Assumptions'!$B$76=0,8='Assumptions'!$B$73)),SUM($C$19:J19),0)</f>
        <v/>
      </c>
      <c r="K21" s="22">
        <f>IF(OR(AND('Assumptions'!$B$76=1,9='Assumptions'!$B$77),AND('Assumptions'!$B$76=0,9='Assumptions'!$B$73)),SUM($C$19:K19),0)</f>
        <v/>
      </c>
      <c r="L21" s="22">
        <f>IF(OR(AND('Assumptions'!$B$76=1,10='Assumptions'!$B$77),AND('Assumptions'!$B$76=0,10='Assumptions'!$B$73)),SUM($C$19:L19),0)</f>
        <v/>
      </c>
      <c r="M21" s="22">
        <f>IF(OR(AND('Assumptions'!$B$76=1,11='Assumptions'!$B$77),AND('Assumptions'!$B$76=0,11='Assumptions'!$B$73)),SUM($C$19:M19),0)</f>
        <v/>
      </c>
      <c r="N21" s="22">
        <f>IF(OR(AND('Assumptions'!$B$76=1,12='Assumptions'!$B$77),AND('Assumptions'!$B$76=0,12='Assumptions'!$B$73)),SUM($C$19:N19),0)</f>
        <v/>
      </c>
      <c r="O21" s="22">
        <f>IF(OR(AND('Assumptions'!$B$76=1,13='Assumptions'!$B$77),AND('Assumptions'!$B$76=0,13='Assumptions'!$B$73)),SUM($C$19:O19),0)</f>
        <v/>
      </c>
      <c r="P21" s="22">
        <f>IF(OR(AND('Assumptions'!$B$76=1,14='Assumptions'!$B$77),AND('Assumptions'!$B$76=0,14='Assumptions'!$B$73)),SUM($C$19:P19),0)</f>
        <v/>
      </c>
      <c r="Q21" s="22">
        <f>IF(OR(AND('Assumptions'!$B$76=1,15='Assumptions'!$B$77),AND('Assumptions'!$B$76=0,15='Assumptions'!$B$73)),SUM($C$19:Q19),0)</f>
        <v/>
      </c>
      <c r="R21" s="22">
        <f>IF(OR(AND('Assumptions'!$B$76=1,16='Assumptions'!$B$77),AND('Assumptions'!$B$76=0,16='Assumptions'!$B$73)),SUM($C$19:R19),0)</f>
        <v/>
      </c>
      <c r="S21" s="22">
        <f>IF(OR(AND('Assumptions'!$B$76=1,17='Assumptions'!$B$77),AND('Assumptions'!$B$76=0,17='Assumptions'!$B$73)),SUM($C$19:S19),0)</f>
        <v/>
      </c>
      <c r="T21" s="22">
        <f>IF(OR(AND('Assumptions'!$B$76=1,18='Assumptions'!$B$77),AND('Assumptions'!$B$76=0,18='Assumptions'!$B$73)),SUM($C$19:T19),0)</f>
        <v/>
      </c>
      <c r="U21" s="22">
        <f>IF(OR(AND('Assumptions'!$B$76=1,19='Assumptions'!$B$77),AND('Assumptions'!$B$76=0,19='Assumptions'!$B$73)),SUM($C$19:U19),0)</f>
        <v/>
      </c>
      <c r="V21" s="22">
        <f>IF(OR(AND('Assumptions'!$B$76=1,20='Assumptions'!$B$77),AND('Assumptions'!$B$76=0,20='Assumptions'!$B$73)),SUM($C$19:V19),0)</f>
        <v/>
      </c>
      <c r="W21" s="22">
        <f>IF(OR(AND('Assumptions'!$B$76=1,21='Assumptions'!$B$77),AND('Assumptions'!$B$76=0,21='Assumptions'!$B$73)),SUM($C$19:W19),0)</f>
        <v/>
      </c>
      <c r="X21" s="22">
        <f>IF(OR(AND('Assumptions'!$B$76=1,22='Assumptions'!$B$77),AND('Assumptions'!$B$76=0,22='Assumptions'!$B$73)),SUM($C$19:X19),0)</f>
        <v/>
      </c>
      <c r="Y21" s="22">
        <f>IF(OR(AND('Assumptions'!$B$76=1,23='Assumptions'!$B$77),AND('Assumptions'!$B$76=0,23='Assumptions'!$B$73)),SUM($C$19:Y19),0)</f>
        <v/>
      </c>
      <c r="Z21" s="22">
        <f>IF(OR(AND('Assumptions'!$B$76=1,24='Assumptions'!$B$77),AND('Assumptions'!$B$76=0,24='Assumptions'!$B$73)),SUM($C$19:Z19),0)</f>
        <v/>
      </c>
      <c r="AA21" s="22">
        <f>IF(OR(AND('Assumptions'!$B$76=1,25='Assumptions'!$B$77),AND('Assumptions'!$B$76=0,25='Assumptions'!$B$73)),SUM($C$19:AA19),0)</f>
        <v/>
      </c>
      <c r="AB21" s="22">
        <f>IF(OR(AND('Assumptions'!$B$76=1,26='Assumptions'!$B$77),AND('Assumptions'!$B$76=0,26='Assumptions'!$B$73)),SUM($C$19:AB19),0)</f>
        <v/>
      </c>
      <c r="AC21" s="22">
        <f>IF(OR(AND('Assumptions'!$B$76=1,27='Assumptions'!$B$77),AND('Assumptions'!$B$76=0,27='Assumptions'!$B$73)),SUM($C$19:AC19),0)</f>
        <v/>
      </c>
      <c r="AD21" s="22">
        <f>IF(OR(AND('Assumptions'!$B$76=1,28='Assumptions'!$B$77),AND('Assumptions'!$B$76=0,28='Assumptions'!$B$73)),SUM($C$19:AD19),0)</f>
        <v/>
      </c>
      <c r="AE21" s="22">
        <f>IF(OR(AND('Assumptions'!$B$76=1,29='Assumptions'!$B$77),AND('Assumptions'!$B$76=0,29='Assumptions'!$B$73)),SUM($C$19:AE19),0)</f>
        <v/>
      </c>
      <c r="AF21" s="22">
        <f>IF(OR(AND('Assumptions'!$B$76=1,30='Assumptions'!$B$77),AND('Assumptions'!$B$76=0,30='Assumptions'!$B$73)),SUM($C$19:AF19),0)</f>
        <v/>
      </c>
      <c r="AG21" s="22">
        <f>IF(OR(AND('Assumptions'!$B$76=1,31='Assumptions'!$B$77),AND('Assumptions'!$B$76=0,31='Assumptions'!$B$73)),SUM($C$19:AG19),0)</f>
        <v/>
      </c>
      <c r="AH21" s="22">
        <f>IF(OR(AND('Assumptions'!$B$76=1,32='Assumptions'!$B$77),AND('Assumptions'!$B$76=0,32='Assumptions'!$B$73)),SUM($C$19:AH19),0)</f>
        <v/>
      </c>
      <c r="AI21" s="22">
        <f>IF(OR(AND('Assumptions'!$B$76=1,33='Assumptions'!$B$77),AND('Assumptions'!$B$76=0,33='Assumptions'!$B$73)),SUM($C$19:AI19),0)</f>
        <v/>
      </c>
      <c r="AJ21" s="22">
        <f>IF(OR(AND('Assumptions'!$B$76=1,34='Assumptions'!$B$77),AND('Assumptions'!$B$76=0,34='Assumptions'!$B$73)),SUM($C$19:AJ19),0)</f>
        <v/>
      </c>
      <c r="AK21" s="22">
        <f>IF(OR(AND('Assumptions'!$B$76=1,35='Assumptions'!$B$77),AND('Assumptions'!$B$76=0,35='Assumptions'!$B$73)),SUM($C$19:AK19),0)</f>
        <v/>
      </c>
      <c r="AL21" s="22">
        <f>IF(OR(AND('Assumptions'!$B$76=1,36='Assumptions'!$B$77),AND('Assumptions'!$B$76=0,36='Assumptions'!$B$73)),SUM($C$19:AL19),0)</f>
        <v/>
      </c>
    </row>
    <row r="22">
      <c r="A22" s="4" t="inlineStr">
        <is>
          <t>Seller end balance</t>
        </is>
      </c>
      <c r="C22" s="22">
        <f>C18-C20</f>
        <v/>
      </c>
      <c r="D22" s="22">
        <f>D18-D20</f>
        <v/>
      </c>
      <c r="E22" s="22">
        <f>E18-E20</f>
        <v/>
      </c>
      <c r="F22" s="22">
        <f>F18-F20</f>
        <v/>
      </c>
      <c r="G22" s="22">
        <f>G18-G20</f>
        <v/>
      </c>
      <c r="H22" s="22">
        <f>H18-H20</f>
        <v/>
      </c>
      <c r="I22" s="22">
        <f>I18-I20</f>
        <v/>
      </c>
      <c r="J22" s="22">
        <f>J18-J20</f>
        <v/>
      </c>
      <c r="K22" s="22">
        <f>K18-K20</f>
        <v/>
      </c>
      <c r="L22" s="22">
        <f>L18-L20</f>
        <v/>
      </c>
      <c r="M22" s="22">
        <f>M18-M20</f>
        <v/>
      </c>
      <c r="N22" s="22">
        <f>N18-N20</f>
        <v/>
      </c>
      <c r="O22" s="22">
        <f>O18-O20</f>
        <v/>
      </c>
      <c r="P22" s="22">
        <f>P18-P20</f>
        <v/>
      </c>
      <c r="Q22" s="22">
        <f>Q18-Q20</f>
        <v/>
      </c>
      <c r="R22" s="22">
        <f>R18-R20</f>
        <v/>
      </c>
      <c r="S22" s="22">
        <f>S18-S20</f>
        <v/>
      </c>
      <c r="T22" s="22">
        <f>T18-T20</f>
        <v/>
      </c>
      <c r="U22" s="22">
        <f>U18-U20</f>
        <v/>
      </c>
      <c r="V22" s="22">
        <f>V18-V20</f>
        <v/>
      </c>
      <c r="W22" s="22">
        <f>W18-W20</f>
        <v/>
      </c>
      <c r="X22" s="22">
        <f>X18-X20</f>
        <v/>
      </c>
      <c r="Y22" s="22">
        <f>Y18-Y20</f>
        <v/>
      </c>
      <c r="Z22" s="22">
        <f>Z18-Z20</f>
        <v/>
      </c>
      <c r="AA22" s="22">
        <f>AA18-AA20</f>
        <v/>
      </c>
      <c r="AB22" s="22">
        <f>AB18-AB20</f>
        <v/>
      </c>
      <c r="AC22" s="22">
        <f>AC18-AC20</f>
        <v/>
      </c>
      <c r="AD22" s="22">
        <f>AD18-AD20</f>
        <v/>
      </c>
      <c r="AE22" s="22">
        <f>AE18-AE20</f>
        <v/>
      </c>
      <c r="AF22" s="22">
        <f>AF18-AF20</f>
        <v/>
      </c>
      <c r="AG22" s="22">
        <f>AG18-AG20</f>
        <v/>
      </c>
      <c r="AH22" s="22">
        <f>AH18-AH20</f>
        <v/>
      </c>
      <c r="AI22" s="22">
        <f>AI18-AI20</f>
        <v/>
      </c>
      <c r="AJ22" s="22">
        <f>AJ18-AJ20</f>
        <v/>
      </c>
      <c r="AK22" s="22">
        <f>AK18-AK20</f>
        <v/>
      </c>
      <c r="AL22" s="22">
        <f>AL18-AL20</f>
        <v/>
      </c>
    </row>
    <row r="23">
      <c r="A23" s="3" t="inlineStr">
        <is>
          <t>DEBT - REFI (toggle) &amp; SBA (toggle)</t>
        </is>
      </c>
    </row>
    <row r="24">
      <c r="A24" s="4" t="inlineStr">
        <is>
          <t>Refi payment (P&amp;I, from month after funding)</t>
        </is>
      </c>
      <c r="C24" s="22">
        <f>IF(AND('Assumptions'!$B$76=1,1&gt;'Assumptions'!$B$77,1&lt;='Assumptions'!$B$77+'Assumptions'!$B$80),-PMT('Assumptions'!$B$79/12,'Assumptions'!$B$80,'Assumptions'!$B$78),0)</f>
        <v/>
      </c>
      <c r="D24" s="22">
        <f>IF(AND('Assumptions'!$B$76=1,2&gt;'Assumptions'!$B$77,2&lt;='Assumptions'!$B$77+'Assumptions'!$B$80),-PMT('Assumptions'!$B$79/12,'Assumptions'!$B$80,'Assumptions'!$B$78),0)</f>
        <v/>
      </c>
      <c r="E24" s="22">
        <f>IF(AND('Assumptions'!$B$76=1,3&gt;'Assumptions'!$B$77,3&lt;='Assumptions'!$B$77+'Assumptions'!$B$80),-PMT('Assumptions'!$B$79/12,'Assumptions'!$B$80,'Assumptions'!$B$78),0)</f>
        <v/>
      </c>
      <c r="F24" s="22">
        <f>IF(AND('Assumptions'!$B$76=1,4&gt;'Assumptions'!$B$77,4&lt;='Assumptions'!$B$77+'Assumptions'!$B$80),-PMT('Assumptions'!$B$79/12,'Assumptions'!$B$80,'Assumptions'!$B$78),0)</f>
        <v/>
      </c>
      <c r="G24" s="22">
        <f>IF(AND('Assumptions'!$B$76=1,5&gt;'Assumptions'!$B$77,5&lt;='Assumptions'!$B$77+'Assumptions'!$B$80),-PMT('Assumptions'!$B$79/12,'Assumptions'!$B$80,'Assumptions'!$B$78),0)</f>
        <v/>
      </c>
      <c r="H24" s="22">
        <f>IF(AND('Assumptions'!$B$76=1,6&gt;'Assumptions'!$B$77,6&lt;='Assumptions'!$B$77+'Assumptions'!$B$80),-PMT('Assumptions'!$B$79/12,'Assumptions'!$B$80,'Assumptions'!$B$78),0)</f>
        <v/>
      </c>
      <c r="I24" s="22">
        <f>IF(AND('Assumptions'!$B$76=1,7&gt;'Assumptions'!$B$77,7&lt;='Assumptions'!$B$77+'Assumptions'!$B$80),-PMT('Assumptions'!$B$79/12,'Assumptions'!$B$80,'Assumptions'!$B$78),0)</f>
        <v/>
      </c>
      <c r="J24" s="22">
        <f>IF(AND('Assumptions'!$B$76=1,8&gt;'Assumptions'!$B$77,8&lt;='Assumptions'!$B$77+'Assumptions'!$B$80),-PMT('Assumptions'!$B$79/12,'Assumptions'!$B$80,'Assumptions'!$B$78),0)</f>
        <v/>
      </c>
      <c r="K24" s="22">
        <f>IF(AND('Assumptions'!$B$76=1,9&gt;'Assumptions'!$B$77,9&lt;='Assumptions'!$B$77+'Assumptions'!$B$80),-PMT('Assumptions'!$B$79/12,'Assumptions'!$B$80,'Assumptions'!$B$78),0)</f>
        <v/>
      </c>
      <c r="L24" s="22">
        <f>IF(AND('Assumptions'!$B$76=1,10&gt;'Assumptions'!$B$77,10&lt;='Assumptions'!$B$77+'Assumptions'!$B$80),-PMT('Assumptions'!$B$79/12,'Assumptions'!$B$80,'Assumptions'!$B$78),0)</f>
        <v/>
      </c>
      <c r="M24" s="22">
        <f>IF(AND('Assumptions'!$B$76=1,11&gt;'Assumptions'!$B$77,11&lt;='Assumptions'!$B$77+'Assumptions'!$B$80),-PMT('Assumptions'!$B$79/12,'Assumptions'!$B$80,'Assumptions'!$B$78),0)</f>
        <v/>
      </c>
      <c r="N24" s="22">
        <f>IF(AND('Assumptions'!$B$76=1,12&gt;'Assumptions'!$B$77,12&lt;='Assumptions'!$B$77+'Assumptions'!$B$80),-PMT('Assumptions'!$B$79/12,'Assumptions'!$B$80,'Assumptions'!$B$78),0)</f>
        <v/>
      </c>
      <c r="O24" s="22">
        <f>IF(AND('Assumptions'!$B$76=1,13&gt;'Assumptions'!$B$77,13&lt;='Assumptions'!$B$77+'Assumptions'!$B$80),-PMT('Assumptions'!$B$79/12,'Assumptions'!$B$80,'Assumptions'!$B$78),0)</f>
        <v/>
      </c>
      <c r="P24" s="22">
        <f>IF(AND('Assumptions'!$B$76=1,14&gt;'Assumptions'!$B$77,14&lt;='Assumptions'!$B$77+'Assumptions'!$B$80),-PMT('Assumptions'!$B$79/12,'Assumptions'!$B$80,'Assumptions'!$B$78),0)</f>
        <v/>
      </c>
      <c r="Q24" s="22">
        <f>IF(AND('Assumptions'!$B$76=1,15&gt;'Assumptions'!$B$77,15&lt;='Assumptions'!$B$77+'Assumptions'!$B$80),-PMT('Assumptions'!$B$79/12,'Assumptions'!$B$80,'Assumptions'!$B$78),0)</f>
        <v/>
      </c>
      <c r="R24" s="22">
        <f>IF(AND('Assumptions'!$B$76=1,16&gt;'Assumptions'!$B$77,16&lt;='Assumptions'!$B$77+'Assumptions'!$B$80),-PMT('Assumptions'!$B$79/12,'Assumptions'!$B$80,'Assumptions'!$B$78),0)</f>
        <v/>
      </c>
      <c r="S24" s="22">
        <f>IF(AND('Assumptions'!$B$76=1,17&gt;'Assumptions'!$B$77,17&lt;='Assumptions'!$B$77+'Assumptions'!$B$80),-PMT('Assumptions'!$B$79/12,'Assumptions'!$B$80,'Assumptions'!$B$78),0)</f>
        <v/>
      </c>
      <c r="T24" s="22">
        <f>IF(AND('Assumptions'!$B$76=1,18&gt;'Assumptions'!$B$77,18&lt;='Assumptions'!$B$77+'Assumptions'!$B$80),-PMT('Assumptions'!$B$79/12,'Assumptions'!$B$80,'Assumptions'!$B$78),0)</f>
        <v/>
      </c>
      <c r="U24" s="22">
        <f>IF(AND('Assumptions'!$B$76=1,19&gt;'Assumptions'!$B$77,19&lt;='Assumptions'!$B$77+'Assumptions'!$B$80),-PMT('Assumptions'!$B$79/12,'Assumptions'!$B$80,'Assumptions'!$B$78),0)</f>
        <v/>
      </c>
      <c r="V24" s="22">
        <f>IF(AND('Assumptions'!$B$76=1,20&gt;'Assumptions'!$B$77,20&lt;='Assumptions'!$B$77+'Assumptions'!$B$80),-PMT('Assumptions'!$B$79/12,'Assumptions'!$B$80,'Assumptions'!$B$78),0)</f>
        <v/>
      </c>
      <c r="W24" s="22">
        <f>IF(AND('Assumptions'!$B$76=1,21&gt;'Assumptions'!$B$77,21&lt;='Assumptions'!$B$77+'Assumptions'!$B$80),-PMT('Assumptions'!$B$79/12,'Assumptions'!$B$80,'Assumptions'!$B$78),0)</f>
        <v/>
      </c>
      <c r="X24" s="22">
        <f>IF(AND('Assumptions'!$B$76=1,22&gt;'Assumptions'!$B$77,22&lt;='Assumptions'!$B$77+'Assumptions'!$B$80),-PMT('Assumptions'!$B$79/12,'Assumptions'!$B$80,'Assumptions'!$B$78),0)</f>
        <v/>
      </c>
      <c r="Y24" s="22">
        <f>IF(AND('Assumptions'!$B$76=1,23&gt;'Assumptions'!$B$77,23&lt;='Assumptions'!$B$77+'Assumptions'!$B$80),-PMT('Assumptions'!$B$79/12,'Assumptions'!$B$80,'Assumptions'!$B$78),0)</f>
        <v/>
      </c>
      <c r="Z24" s="22">
        <f>IF(AND('Assumptions'!$B$76=1,24&gt;'Assumptions'!$B$77,24&lt;='Assumptions'!$B$77+'Assumptions'!$B$80),-PMT('Assumptions'!$B$79/12,'Assumptions'!$B$80,'Assumptions'!$B$78),0)</f>
        <v/>
      </c>
      <c r="AA24" s="22">
        <f>IF(AND('Assumptions'!$B$76=1,25&gt;'Assumptions'!$B$77,25&lt;='Assumptions'!$B$77+'Assumptions'!$B$80),-PMT('Assumptions'!$B$79/12,'Assumptions'!$B$80,'Assumptions'!$B$78),0)</f>
        <v/>
      </c>
      <c r="AB24" s="22">
        <f>IF(AND('Assumptions'!$B$76=1,26&gt;'Assumptions'!$B$77,26&lt;='Assumptions'!$B$77+'Assumptions'!$B$80),-PMT('Assumptions'!$B$79/12,'Assumptions'!$B$80,'Assumptions'!$B$78),0)</f>
        <v/>
      </c>
      <c r="AC24" s="22">
        <f>IF(AND('Assumptions'!$B$76=1,27&gt;'Assumptions'!$B$77,27&lt;='Assumptions'!$B$77+'Assumptions'!$B$80),-PMT('Assumptions'!$B$79/12,'Assumptions'!$B$80,'Assumptions'!$B$78),0)</f>
        <v/>
      </c>
      <c r="AD24" s="22">
        <f>IF(AND('Assumptions'!$B$76=1,28&gt;'Assumptions'!$B$77,28&lt;='Assumptions'!$B$77+'Assumptions'!$B$80),-PMT('Assumptions'!$B$79/12,'Assumptions'!$B$80,'Assumptions'!$B$78),0)</f>
        <v/>
      </c>
      <c r="AE24" s="22">
        <f>IF(AND('Assumptions'!$B$76=1,29&gt;'Assumptions'!$B$77,29&lt;='Assumptions'!$B$77+'Assumptions'!$B$80),-PMT('Assumptions'!$B$79/12,'Assumptions'!$B$80,'Assumptions'!$B$78),0)</f>
        <v/>
      </c>
      <c r="AF24" s="22">
        <f>IF(AND('Assumptions'!$B$76=1,30&gt;'Assumptions'!$B$77,30&lt;='Assumptions'!$B$77+'Assumptions'!$B$80),-PMT('Assumptions'!$B$79/12,'Assumptions'!$B$80,'Assumptions'!$B$78),0)</f>
        <v/>
      </c>
      <c r="AG24" s="22">
        <f>IF(AND('Assumptions'!$B$76=1,31&gt;'Assumptions'!$B$77,31&lt;='Assumptions'!$B$77+'Assumptions'!$B$80),-PMT('Assumptions'!$B$79/12,'Assumptions'!$B$80,'Assumptions'!$B$78),0)</f>
        <v/>
      </c>
      <c r="AH24" s="22">
        <f>IF(AND('Assumptions'!$B$76=1,32&gt;'Assumptions'!$B$77,32&lt;='Assumptions'!$B$77+'Assumptions'!$B$80),-PMT('Assumptions'!$B$79/12,'Assumptions'!$B$80,'Assumptions'!$B$78),0)</f>
        <v/>
      </c>
      <c r="AI24" s="22">
        <f>IF(AND('Assumptions'!$B$76=1,33&gt;'Assumptions'!$B$77,33&lt;='Assumptions'!$B$77+'Assumptions'!$B$80),-PMT('Assumptions'!$B$79/12,'Assumptions'!$B$80,'Assumptions'!$B$78),0)</f>
        <v/>
      </c>
      <c r="AJ24" s="22">
        <f>IF(AND('Assumptions'!$B$76=1,34&gt;'Assumptions'!$B$77,34&lt;='Assumptions'!$B$77+'Assumptions'!$B$80),-PMT('Assumptions'!$B$79/12,'Assumptions'!$B$80,'Assumptions'!$B$78),0)</f>
        <v/>
      </c>
      <c r="AK24" s="22">
        <f>IF(AND('Assumptions'!$B$76=1,35&gt;'Assumptions'!$B$77,35&lt;='Assumptions'!$B$77+'Assumptions'!$B$80),-PMT('Assumptions'!$B$79/12,'Assumptions'!$B$80,'Assumptions'!$B$78),0)</f>
        <v/>
      </c>
      <c r="AL24" s="22">
        <f>IF(AND('Assumptions'!$B$76=1,36&gt;'Assumptions'!$B$77,36&lt;='Assumptions'!$B$77+'Assumptions'!$B$80),-PMT('Assumptions'!$B$79/12,'Assumptions'!$B$80,'Assumptions'!$B$78),0)</f>
        <v/>
      </c>
    </row>
    <row r="25">
      <c r="A25" s="4" t="inlineStr">
        <is>
          <t>Refi balance (end)</t>
        </is>
      </c>
      <c r="C25" s="22">
        <f>IF('Assumptions'!$B$76=0,0,IF(1&lt;'Assumptions'!$B$77,0,IF(1='Assumptions'!$B$77,'Assumptions'!$B$78,MAX(0,0*(1+'Assumptions'!$B$79/12)-C24))))</f>
        <v/>
      </c>
      <c r="D25" s="22">
        <f>IF('Assumptions'!$B$76=0,0,IF(2&lt;'Assumptions'!$B$77,0,IF(2='Assumptions'!$B$77,'Assumptions'!$B$78,MAX(0,C25*(1+'Assumptions'!$B$79/12)-D24))))</f>
        <v/>
      </c>
      <c r="E25" s="22">
        <f>IF('Assumptions'!$B$76=0,0,IF(3&lt;'Assumptions'!$B$77,0,IF(3='Assumptions'!$B$77,'Assumptions'!$B$78,MAX(0,D25*(1+'Assumptions'!$B$79/12)-E24))))</f>
        <v/>
      </c>
      <c r="F25" s="22">
        <f>IF('Assumptions'!$B$76=0,0,IF(4&lt;'Assumptions'!$B$77,0,IF(4='Assumptions'!$B$77,'Assumptions'!$B$78,MAX(0,E25*(1+'Assumptions'!$B$79/12)-F24))))</f>
        <v/>
      </c>
      <c r="G25" s="22">
        <f>IF('Assumptions'!$B$76=0,0,IF(5&lt;'Assumptions'!$B$77,0,IF(5='Assumptions'!$B$77,'Assumptions'!$B$78,MAX(0,F25*(1+'Assumptions'!$B$79/12)-G24))))</f>
        <v/>
      </c>
      <c r="H25" s="22">
        <f>IF('Assumptions'!$B$76=0,0,IF(6&lt;'Assumptions'!$B$77,0,IF(6='Assumptions'!$B$77,'Assumptions'!$B$78,MAX(0,G25*(1+'Assumptions'!$B$79/12)-H24))))</f>
        <v/>
      </c>
      <c r="I25" s="22">
        <f>IF('Assumptions'!$B$76=0,0,IF(7&lt;'Assumptions'!$B$77,0,IF(7='Assumptions'!$B$77,'Assumptions'!$B$78,MAX(0,H25*(1+'Assumptions'!$B$79/12)-I24))))</f>
        <v/>
      </c>
      <c r="J25" s="22">
        <f>IF('Assumptions'!$B$76=0,0,IF(8&lt;'Assumptions'!$B$77,0,IF(8='Assumptions'!$B$77,'Assumptions'!$B$78,MAX(0,I25*(1+'Assumptions'!$B$79/12)-J24))))</f>
        <v/>
      </c>
      <c r="K25" s="22">
        <f>IF('Assumptions'!$B$76=0,0,IF(9&lt;'Assumptions'!$B$77,0,IF(9='Assumptions'!$B$77,'Assumptions'!$B$78,MAX(0,J25*(1+'Assumptions'!$B$79/12)-K24))))</f>
        <v/>
      </c>
      <c r="L25" s="22">
        <f>IF('Assumptions'!$B$76=0,0,IF(10&lt;'Assumptions'!$B$77,0,IF(10='Assumptions'!$B$77,'Assumptions'!$B$78,MAX(0,K25*(1+'Assumptions'!$B$79/12)-L24))))</f>
        <v/>
      </c>
      <c r="M25" s="22">
        <f>IF('Assumptions'!$B$76=0,0,IF(11&lt;'Assumptions'!$B$77,0,IF(11='Assumptions'!$B$77,'Assumptions'!$B$78,MAX(0,L25*(1+'Assumptions'!$B$79/12)-M24))))</f>
        <v/>
      </c>
      <c r="N25" s="22">
        <f>IF('Assumptions'!$B$76=0,0,IF(12&lt;'Assumptions'!$B$77,0,IF(12='Assumptions'!$B$77,'Assumptions'!$B$78,MAX(0,M25*(1+'Assumptions'!$B$79/12)-N24))))</f>
        <v/>
      </c>
      <c r="O25" s="22">
        <f>IF('Assumptions'!$B$76=0,0,IF(13&lt;'Assumptions'!$B$77,0,IF(13='Assumptions'!$B$77,'Assumptions'!$B$78,MAX(0,N25*(1+'Assumptions'!$B$79/12)-O24))))</f>
        <v/>
      </c>
      <c r="P25" s="22">
        <f>IF('Assumptions'!$B$76=0,0,IF(14&lt;'Assumptions'!$B$77,0,IF(14='Assumptions'!$B$77,'Assumptions'!$B$78,MAX(0,O25*(1+'Assumptions'!$B$79/12)-P24))))</f>
        <v/>
      </c>
      <c r="Q25" s="22">
        <f>IF('Assumptions'!$B$76=0,0,IF(15&lt;'Assumptions'!$B$77,0,IF(15='Assumptions'!$B$77,'Assumptions'!$B$78,MAX(0,P25*(1+'Assumptions'!$B$79/12)-Q24))))</f>
        <v/>
      </c>
      <c r="R25" s="22">
        <f>IF('Assumptions'!$B$76=0,0,IF(16&lt;'Assumptions'!$B$77,0,IF(16='Assumptions'!$B$77,'Assumptions'!$B$78,MAX(0,Q25*(1+'Assumptions'!$B$79/12)-R24))))</f>
        <v/>
      </c>
      <c r="S25" s="22">
        <f>IF('Assumptions'!$B$76=0,0,IF(17&lt;'Assumptions'!$B$77,0,IF(17='Assumptions'!$B$77,'Assumptions'!$B$78,MAX(0,R25*(1+'Assumptions'!$B$79/12)-S24))))</f>
        <v/>
      </c>
      <c r="T25" s="22">
        <f>IF('Assumptions'!$B$76=0,0,IF(18&lt;'Assumptions'!$B$77,0,IF(18='Assumptions'!$B$77,'Assumptions'!$B$78,MAX(0,S25*(1+'Assumptions'!$B$79/12)-T24))))</f>
        <v/>
      </c>
      <c r="U25" s="22">
        <f>IF('Assumptions'!$B$76=0,0,IF(19&lt;'Assumptions'!$B$77,0,IF(19='Assumptions'!$B$77,'Assumptions'!$B$78,MAX(0,T25*(1+'Assumptions'!$B$79/12)-U24))))</f>
        <v/>
      </c>
      <c r="V25" s="22">
        <f>IF('Assumptions'!$B$76=0,0,IF(20&lt;'Assumptions'!$B$77,0,IF(20='Assumptions'!$B$77,'Assumptions'!$B$78,MAX(0,U25*(1+'Assumptions'!$B$79/12)-V24))))</f>
        <v/>
      </c>
      <c r="W25" s="22">
        <f>IF('Assumptions'!$B$76=0,0,IF(21&lt;'Assumptions'!$B$77,0,IF(21='Assumptions'!$B$77,'Assumptions'!$B$78,MAX(0,V25*(1+'Assumptions'!$B$79/12)-W24))))</f>
        <v/>
      </c>
      <c r="X25" s="22">
        <f>IF('Assumptions'!$B$76=0,0,IF(22&lt;'Assumptions'!$B$77,0,IF(22='Assumptions'!$B$77,'Assumptions'!$B$78,MAX(0,W25*(1+'Assumptions'!$B$79/12)-X24))))</f>
        <v/>
      </c>
      <c r="Y25" s="22">
        <f>IF('Assumptions'!$B$76=0,0,IF(23&lt;'Assumptions'!$B$77,0,IF(23='Assumptions'!$B$77,'Assumptions'!$B$78,MAX(0,X25*(1+'Assumptions'!$B$79/12)-Y24))))</f>
        <v/>
      </c>
      <c r="Z25" s="22">
        <f>IF('Assumptions'!$B$76=0,0,IF(24&lt;'Assumptions'!$B$77,0,IF(24='Assumptions'!$B$77,'Assumptions'!$B$78,MAX(0,Y25*(1+'Assumptions'!$B$79/12)-Z24))))</f>
        <v/>
      </c>
      <c r="AA25" s="22">
        <f>IF('Assumptions'!$B$76=0,0,IF(25&lt;'Assumptions'!$B$77,0,IF(25='Assumptions'!$B$77,'Assumptions'!$B$78,MAX(0,Z25*(1+'Assumptions'!$B$79/12)-AA24))))</f>
        <v/>
      </c>
      <c r="AB25" s="22">
        <f>IF('Assumptions'!$B$76=0,0,IF(26&lt;'Assumptions'!$B$77,0,IF(26='Assumptions'!$B$77,'Assumptions'!$B$78,MAX(0,AA25*(1+'Assumptions'!$B$79/12)-AB24))))</f>
        <v/>
      </c>
      <c r="AC25" s="22">
        <f>IF('Assumptions'!$B$76=0,0,IF(27&lt;'Assumptions'!$B$77,0,IF(27='Assumptions'!$B$77,'Assumptions'!$B$78,MAX(0,AB25*(1+'Assumptions'!$B$79/12)-AC24))))</f>
        <v/>
      </c>
      <c r="AD25" s="22">
        <f>IF('Assumptions'!$B$76=0,0,IF(28&lt;'Assumptions'!$B$77,0,IF(28='Assumptions'!$B$77,'Assumptions'!$B$78,MAX(0,AC25*(1+'Assumptions'!$B$79/12)-AD24))))</f>
        <v/>
      </c>
      <c r="AE25" s="22">
        <f>IF('Assumptions'!$B$76=0,0,IF(29&lt;'Assumptions'!$B$77,0,IF(29='Assumptions'!$B$77,'Assumptions'!$B$78,MAX(0,AD25*(1+'Assumptions'!$B$79/12)-AE24))))</f>
        <v/>
      </c>
      <c r="AF25" s="22">
        <f>IF('Assumptions'!$B$76=0,0,IF(30&lt;'Assumptions'!$B$77,0,IF(30='Assumptions'!$B$77,'Assumptions'!$B$78,MAX(0,AE25*(1+'Assumptions'!$B$79/12)-AF24))))</f>
        <v/>
      </c>
      <c r="AG25" s="22">
        <f>IF('Assumptions'!$B$76=0,0,IF(31&lt;'Assumptions'!$B$77,0,IF(31='Assumptions'!$B$77,'Assumptions'!$B$78,MAX(0,AF25*(1+'Assumptions'!$B$79/12)-AG24))))</f>
        <v/>
      </c>
      <c r="AH25" s="22">
        <f>IF('Assumptions'!$B$76=0,0,IF(32&lt;'Assumptions'!$B$77,0,IF(32='Assumptions'!$B$77,'Assumptions'!$B$78,MAX(0,AG25*(1+'Assumptions'!$B$79/12)-AH24))))</f>
        <v/>
      </c>
      <c r="AI25" s="22">
        <f>IF('Assumptions'!$B$76=0,0,IF(33&lt;'Assumptions'!$B$77,0,IF(33='Assumptions'!$B$77,'Assumptions'!$B$78,MAX(0,AH25*(1+'Assumptions'!$B$79/12)-AI24))))</f>
        <v/>
      </c>
      <c r="AJ25" s="22">
        <f>IF('Assumptions'!$B$76=0,0,IF(34&lt;'Assumptions'!$B$77,0,IF(34='Assumptions'!$B$77,'Assumptions'!$B$78,MAX(0,AI25*(1+'Assumptions'!$B$79/12)-AJ24))))</f>
        <v/>
      </c>
      <c r="AK25" s="22">
        <f>IF('Assumptions'!$B$76=0,0,IF(35&lt;'Assumptions'!$B$77,0,IF(35='Assumptions'!$B$77,'Assumptions'!$B$78,MAX(0,AJ25*(1+'Assumptions'!$B$79/12)-AK24))))</f>
        <v/>
      </c>
      <c r="AL25" s="22">
        <f>IF('Assumptions'!$B$76=0,0,IF(36&lt;'Assumptions'!$B$77,0,IF(36='Assumptions'!$B$77,'Assumptions'!$B$78,MAX(0,AK25*(1+'Assumptions'!$B$79/12)-AL24))))</f>
        <v/>
      </c>
    </row>
    <row r="26">
      <c r="A26" s="4" t="inlineStr">
        <is>
          <t>Refi interest</t>
        </is>
      </c>
      <c r="C26" s="22">
        <f>0*'Assumptions'!$B$79/12*(C24&gt;0)</f>
        <v/>
      </c>
      <c r="D26" s="22">
        <f>C25*'Assumptions'!$B$79/12*(D24&gt;0)</f>
        <v/>
      </c>
      <c r="E26" s="22">
        <f>D25*'Assumptions'!$B$79/12*(E24&gt;0)</f>
        <v/>
      </c>
      <c r="F26" s="22">
        <f>E25*'Assumptions'!$B$79/12*(F24&gt;0)</f>
        <v/>
      </c>
      <c r="G26" s="22">
        <f>F25*'Assumptions'!$B$79/12*(G24&gt;0)</f>
        <v/>
      </c>
      <c r="H26" s="22">
        <f>G25*'Assumptions'!$B$79/12*(H24&gt;0)</f>
        <v/>
      </c>
      <c r="I26" s="22">
        <f>H25*'Assumptions'!$B$79/12*(I24&gt;0)</f>
        <v/>
      </c>
      <c r="J26" s="22">
        <f>I25*'Assumptions'!$B$79/12*(J24&gt;0)</f>
        <v/>
      </c>
      <c r="K26" s="22">
        <f>J25*'Assumptions'!$B$79/12*(K24&gt;0)</f>
        <v/>
      </c>
      <c r="L26" s="22">
        <f>K25*'Assumptions'!$B$79/12*(L24&gt;0)</f>
        <v/>
      </c>
      <c r="M26" s="22">
        <f>L25*'Assumptions'!$B$79/12*(M24&gt;0)</f>
        <v/>
      </c>
      <c r="N26" s="22">
        <f>M25*'Assumptions'!$B$79/12*(N24&gt;0)</f>
        <v/>
      </c>
      <c r="O26" s="22">
        <f>N25*'Assumptions'!$B$79/12*(O24&gt;0)</f>
        <v/>
      </c>
      <c r="P26" s="22">
        <f>O25*'Assumptions'!$B$79/12*(P24&gt;0)</f>
        <v/>
      </c>
      <c r="Q26" s="22">
        <f>P25*'Assumptions'!$B$79/12*(Q24&gt;0)</f>
        <v/>
      </c>
      <c r="R26" s="22">
        <f>Q25*'Assumptions'!$B$79/12*(R24&gt;0)</f>
        <v/>
      </c>
      <c r="S26" s="22">
        <f>R25*'Assumptions'!$B$79/12*(S24&gt;0)</f>
        <v/>
      </c>
      <c r="T26" s="22">
        <f>S25*'Assumptions'!$B$79/12*(T24&gt;0)</f>
        <v/>
      </c>
      <c r="U26" s="22">
        <f>T25*'Assumptions'!$B$79/12*(U24&gt;0)</f>
        <v/>
      </c>
      <c r="V26" s="22">
        <f>U25*'Assumptions'!$B$79/12*(V24&gt;0)</f>
        <v/>
      </c>
      <c r="W26" s="22">
        <f>V25*'Assumptions'!$B$79/12*(W24&gt;0)</f>
        <v/>
      </c>
      <c r="X26" s="22">
        <f>W25*'Assumptions'!$B$79/12*(X24&gt;0)</f>
        <v/>
      </c>
      <c r="Y26" s="22">
        <f>X25*'Assumptions'!$B$79/12*(Y24&gt;0)</f>
        <v/>
      </c>
      <c r="Z26" s="22">
        <f>Y25*'Assumptions'!$B$79/12*(Z24&gt;0)</f>
        <v/>
      </c>
      <c r="AA26" s="22">
        <f>Z25*'Assumptions'!$B$79/12*(AA24&gt;0)</f>
        <v/>
      </c>
      <c r="AB26" s="22">
        <f>AA25*'Assumptions'!$B$79/12*(AB24&gt;0)</f>
        <v/>
      </c>
      <c r="AC26" s="22">
        <f>AB25*'Assumptions'!$B$79/12*(AC24&gt;0)</f>
        <v/>
      </c>
      <c r="AD26" s="22">
        <f>AC25*'Assumptions'!$B$79/12*(AD24&gt;0)</f>
        <v/>
      </c>
      <c r="AE26" s="22">
        <f>AD25*'Assumptions'!$B$79/12*(AE24&gt;0)</f>
        <v/>
      </c>
      <c r="AF26" s="22">
        <f>AE25*'Assumptions'!$B$79/12*(AF24&gt;0)</f>
        <v/>
      </c>
      <c r="AG26" s="22">
        <f>AF25*'Assumptions'!$B$79/12*(AG24&gt;0)</f>
        <v/>
      </c>
      <c r="AH26" s="22">
        <f>AG25*'Assumptions'!$B$79/12*(AH24&gt;0)</f>
        <v/>
      </c>
      <c r="AI26" s="22">
        <f>AH25*'Assumptions'!$B$79/12*(AI24&gt;0)</f>
        <v/>
      </c>
      <c r="AJ26" s="22">
        <f>AI25*'Assumptions'!$B$79/12*(AJ24&gt;0)</f>
        <v/>
      </c>
      <c r="AK26" s="22">
        <f>AJ25*'Assumptions'!$B$79/12*(AK24&gt;0)</f>
        <v/>
      </c>
      <c r="AL26" s="22">
        <f>AK25*'Assumptions'!$B$79/12*(AL24&gt;0)</f>
        <v/>
      </c>
    </row>
    <row r="27">
      <c r="A27" s="4" t="inlineStr">
        <is>
          <t>SBA payment (P&amp;I) / interest</t>
        </is>
      </c>
      <c r="C27" s="22">
        <f>IF(AND('Assumptions'!$B$81=1,1&gt;'Assumptions'!$B$82),-PMT('Assumptions'!$B$84/12,'Assumptions'!$B$85,'Assumptions'!$B$83),0)</f>
        <v/>
      </c>
      <c r="D27" s="22">
        <f>IF(AND('Assumptions'!$B$81=1,2&gt;'Assumptions'!$B$82),-PMT('Assumptions'!$B$84/12,'Assumptions'!$B$85,'Assumptions'!$B$83),0)</f>
        <v/>
      </c>
      <c r="E27" s="22">
        <f>IF(AND('Assumptions'!$B$81=1,3&gt;'Assumptions'!$B$82),-PMT('Assumptions'!$B$84/12,'Assumptions'!$B$85,'Assumptions'!$B$83),0)</f>
        <v/>
      </c>
      <c r="F27" s="22">
        <f>IF(AND('Assumptions'!$B$81=1,4&gt;'Assumptions'!$B$82),-PMT('Assumptions'!$B$84/12,'Assumptions'!$B$85,'Assumptions'!$B$83),0)</f>
        <v/>
      </c>
      <c r="G27" s="22">
        <f>IF(AND('Assumptions'!$B$81=1,5&gt;'Assumptions'!$B$82),-PMT('Assumptions'!$B$84/12,'Assumptions'!$B$85,'Assumptions'!$B$83),0)</f>
        <v/>
      </c>
      <c r="H27" s="22">
        <f>IF(AND('Assumptions'!$B$81=1,6&gt;'Assumptions'!$B$82),-PMT('Assumptions'!$B$84/12,'Assumptions'!$B$85,'Assumptions'!$B$83),0)</f>
        <v/>
      </c>
      <c r="I27" s="22">
        <f>IF(AND('Assumptions'!$B$81=1,7&gt;'Assumptions'!$B$82),-PMT('Assumptions'!$B$84/12,'Assumptions'!$B$85,'Assumptions'!$B$83),0)</f>
        <v/>
      </c>
      <c r="J27" s="22">
        <f>IF(AND('Assumptions'!$B$81=1,8&gt;'Assumptions'!$B$82),-PMT('Assumptions'!$B$84/12,'Assumptions'!$B$85,'Assumptions'!$B$83),0)</f>
        <v/>
      </c>
      <c r="K27" s="22">
        <f>IF(AND('Assumptions'!$B$81=1,9&gt;'Assumptions'!$B$82),-PMT('Assumptions'!$B$84/12,'Assumptions'!$B$85,'Assumptions'!$B$83),0)</f>
        <v/>
      </c>
      <c r="L27" s="22">
        <f>IF(AND('Assumptions'!$B$81=1,10&gt;'Assumptions'!$B$82),-PMT('Assumptions'!$B$84/12,'Assumptions'!$B$85,'Assumptions'!$B$83),0)</f>
        <v/>
      </c>
      <c r="M27" s="22">
        <f>IF(AND('Assumptions'!$B$81=1,11&gt;'Assumptions'!$B$82),-PMT('Assumptions'!$B$84/12,'Assumptions'!$B$85,'Assumptions'!$B$83),0)</f>
        <v/>
      </c>
      <c r="N27" s="22">
        <f>IF(AND('Assumptions'!$B$81=1,12&gt;'Assumptions'!$B$82),-PMT('Assumptions'!$B$84/12,'Assumptions'!$B$85,'Assumptions'!$B$83),0)</f>
        <v/>
      </c>
      <c r="O27" s="22">
        <f>IF(AND('Assumptions'!$B$81=1,13&gt;'Assumptions'!$B$82),-PMT('Assumptions'!$B$84/12,'Assumptions'!$B$85,'Assumptions'!$B$83),0)</f>
        <v/>
      </c>
      <c r="P27" s="22">
        <f>IF(AND('Assumptions'!$B$81=1,14&gt;'Assumptions'!$B$82),-PMT('Assumptions'!$B$84/12,'Assumptions'!$B$85,'Assumptions'!$B$83),0)</f>
        <v/>
      </c>
      <c r="Q27" s="22">
        <f>IF(AND('Assumptions'!$B$81=1,15&gt;'Assumptions'!$B$82),-PMT('Assumptions'!$B$84/12,'Assumptions'!$B$85,'Assumptions'!$B$83),0)</f>
        <v/>
      </c>
      <c r="R27" s="22">
        <f>IF(AND('Assumptions'!$B$81=1,16&gt;'Assumptions'!$B$82),-PMT('Assumptions'!$B$84/12,'Assumptions'!$B$85,'Assumptions'!$B$83),0)</f>
        <v/>
      </c>
      <c r="S27" s="22">
        <f>IF(AND('Assumptions'!$B$81=1,17&gt;'Assumptions'!$B$82),-PMT('Assumptions'!$B$84/12,'Assumptions'!$B$85,'Assumptions'!$B$83),0)</f>
        <v/>
      </c>
      <c r="T27" s="22">
        <f>IF(AND('Assumptions'!$B$81=1,18&gt;'Assumptions'!$B$82),-PMT('Assumptions'!$B$84/12,'Assumptions'!$B$85,'Assumptions'!$B$83),0)</f>
        <v/>
      </c>
      <c r="U27" s="22">
        <f>IF(AND('Assumptions'!$B$81=1,19&gt;'Assumptions'!$B$82),-PMT('Assumptions'!$B$84/12,'Assumptions'!$B$85,'Assumptions'!$B$83),0)</f>
        <v/>
      </c>
      <c r="V27" s="22">
        <f>IF(AND('Assumptions'!$B$81=1,20&gt;'Assumptions'!$B$82),-PMT('Assumptions'!$B$84/12,'Assumptions'!$B$85,'Assumptions'!$B$83),0)</f>
        <v/>
      </c>
      <c r="W27" s="22">
        <f>IF(AND('Assumptions'!$B$81=1,21&gt;'Assumptions'!$B$82),-PMT('Assumptions'!$B$84/12,'Assumptions'!$B$85,'Assumptions'!$B$83),0)</f>
        <v/>
      </c>
      <c r="X27" s="22">
        <f>IF(AND('Assumptions'!$B$81=1,22&gt;'Assumptions'!$B$82),-PMT('Assumptions'!$B$84/12,'Assumptions'!$B$85,'Assumptions'!$B$83),0)</f>
        <v/>
      </c>
      <c r="Y27" s="22">
        <f>IF(AND('Assumptions'!$B$81=1,23&gt;'Assumptions'!$B$82),-PMT('Assumptions'!$B$84/12,'Assumptions'!$B$85,'Assumptions'!$B$83),0)</f>
        <v/>
      </c>
      <c r="Z27" s="22">
        <f>IF(AND('Assumptions'!$B$81=1,24&gt;'Assumptions'!$B$82),-PMT('Assumptions'!$B$84/12,'Assumptions'!$B$85,'Assumptions'!$B$83),0)</f>
        <v/>
      </c>
      <c r="AA27" s="22">
        <f>IF(AND('Assumptions'!$B$81=1,25&gt;'Assumptions'!$B$82),-PMT('Assumptions'!$B$84/12,'Assumptions'!$B$85,'Assumptions'!$B$83),0)</f>
        <v/>
      </c>
      <c r="AB27" s="22">
        <f>IF(AND('Assumptions'!$B$81=1,26&gt;'Assumptions'!$B$82),-PMT('Assumptions'!$B$84/12,'Assumptions'!$B$85,'Assumptions'!$B$83),0)</f>
        <v/>
      </c>
      <c r="AC27" s="22">
        <f>IF(AND('Assumptions'!$B$81=1,27&gt;'Assumptions'!$B$82),-PMT('Assumptions'!$B$84/12,'Assumptions'!$B$85,'Assumptions'!$B$83),0)</f>
        <v/>
      </c>
      <c r="AD27" s="22">
        <f>IF(AND('Assumptions'!$B$81=1,28&gt;'Assumptions'!$B$82),-PMT('Assumptions'!$B$84/12,'Assumptions'!$B$85,'Assumptions'!$B$83),0)</f>
        <v/>
      </c>
      <c r="AE27" s="22">
        <f>IF(AND('Assumptions'!$B$81=1,29&gt;'Assumptions'!$B$82),-PMT('Assumptions'!$B$84/12,'Assumptions'!$B$85,'Assumptions'!$B$83),0)</f>
        <v/>
      </c>
      <c r="AF27" s="22">
        <f>IF(AND('Assumptions'!$B$81=1,30&gt;'Assumptions'!$B$82),-PMT('Assumptions'!$B$84/12,'Assumptions'!$B$85,'Assumptions'!$B$83),0)</f>
        <v/>
      </c>
      <c r="AG27" s="22">
        <f>IF(AND('Assumptions'!$B$81=1,31&gt;'Assumptions'!$B$82),-PMT('Assumptions'!$B$84/12,'Assumptions'!$B$85,'Assumptions'!$B$83),0)</f>
        <v/>
      </c>
      <c r="AH27" s="22">
        <f>IF(AND('Assumptions'!$B$81=1,32&gt;'Assumptions'!$B$82),-PMT('Assumptions'!$B$84/12,'Assumptions'!$B$85,'Assumptions'!$B$83),0)</f>
        <v/>
      </c>
      <c r="AI27" s="22">
        <f>IF(AND('Assumptions'!$B$81=1,33&gt;'Assumptions'!$B$82),-PMT('Assumptions'!$B$84/12,'Assumptions'!$B$85,'Assumptions'!$B$83),0)</f>
        <v/>
      </c>
      <c r="AJ27" s="22">
        <f>IF(AND('Assumptions'!$B$81=1,34&gt;'Assumptions'!$B$82),-PMT('Assumptions'!$B$84/12,'Assumptions'!$B$85,'Assumptions'!$B$83),0)</f>
        <v/>
      </c>
      <c r="AK27" s="22">
        <f>IF(AND('Assumptions'!$B$81=1,35&gt;'Assumptions'!$B$82),-PMT('Assumptions'!$B$84/12,'Assumptions'!$B$85,'Assumptions'!$B$83),0)</f>
        <v/>
      </c>
      <c r="AL27" s="22">
        <f>IF(AND('Assumptions'!$B$81=1,36&gt;'Assumptions'!$B$82),-PMT('Assumptions'!$B$84/12,'Assumptions'!$B$85,'Assumptions'!$B$83),0)</f>
        <v/>
      </c>
    </row>
    <row r="28">
      <c r="A28" s="4" t="inlineStr">
        <is>
          <t>Balloon refinance amount (funds Jan balloon when refi OFF)</t>
        </is>
      </c>
      <c r="B28" s="22">
        <f>IF('Assumptions'!$B$76=1,0,SUMPRODUCT(($C$4:$AL$4='Assumptions'!$B$73)*($C$20:$AL$20+$C$21:$AL$21)))</f>
        <v/>
      </c>
    </row>
    <row r="29">
      <c r="A29" s="4" t="inlineStr">
        <is>
          <t>Balloon-refi payment (P&amp;I, from month after balloon)</t>
        </is>
      </c>
      <c r="C29" s="22">
        <f>IF(AND('Assumptions'!$B$76=0,1&gt;'Assumptions'!$B$73,1&lt;='Assumptions'!$B$73+'Assumptions'!$B$75),-PMT('Assumptions'!$B$74/12,'Assumptions'!$B$75,$B$28),0)</f>
        <v/>
      </c>
      <c r="D29" s="22">
        <f>IF(AND('Assumptions'!$B$76=0,2&gt;'Assumptions'!$B$73,2&lt;='Assumptions'!$B$73+'Assumptions'!$B$75),-PMT('Assumptions'!$B$74/12,'Assumptions'!$B$75,$B$28),0)</f>
        <v/>
      </c>
      <c r="E29" s="22">
        <f>IF(AND('Assumptions'!$B$76=0,3&gt;'Assumptions'!$B$73,3&lt;='Assumptions'!$B$73+'Assumptions'!$B$75),-PMT('Assumptions'!$B$74/12,'Assumptions'!$B$75,$B$28),0)</f>
        <v/>
      </c>
      <c r="F29" s="22">
        <f>IF(AND('Assumptions'!$B$76=0,4&gt;'Assumptions'!$B$73,4&lt;='Assumptions'!$B$73+'Assumptions'!$B$75),-PMT('Assumptions'!$B$74/12,'Assumptions'!$B$75,$B$28),0)</f>
        <v/>
      </c>
      <c r="G29" s="22">
        <f>IF(AND('Assumptions'!$B$76=0,5&gt;'Assumptions'!$B$73,5&lt;='Assumptions'!$B$73+'Assumptions'!$B$75),-PMT('Assumptions'!$B$74/12,'Assumptions'!$B$75,$B$28),0)</f>
        <v/>
      </c>
      <c r="H29" s="22">
        <f>IF(AND('Assumptions'!$B$76=0,6&gt;'Assumptions'!$B$73,6&lt;='Assumptions'!$B$73+'Assumptions'!$B$75),-PMT('Assumptions'!$B$74/12,'Assumptions'!$B$75,$B$28),0)</f>
        <v/>
      </c>
      <c r="I29" s="22">
        <f>IF(AND('Assumptions'!$B$76=0,7&gt;'Assumptions'!$B$73,7&lt;='Assumptions'!$B$73+'Assumptions'!$B$75),-PMT('Assumptions'!$B$74/12,'Assumptions'!$B$75,$B$28),0)</f>
        <v/>
      </c>
      <c r="J29" s="22">
        <f>IF(AND('Assumptions'!$B$76=0,8&gt;'Assumptions'!$B$73,8&lt;='Assumptions'!$B$73+'Assumptions'!$B$75),-PMT('Assumptions'!$B$74/12,'Assumptions'!$B$75,$B$28),0)</f>
        <v/>
      </c>
      <c r="K29" s="22">
        <f>IF(AND('Assumptions'!$B$76=0,9&gt;'Assumptions'!$B$73,9&lt;='Assumptions'!$B$73+'Assumptions'!$B$75),-PMT('Assumptions'!$B$74/12,'Assumptions'!$B$75,$B$28),0)</f>
        <v/>
      </c>
      <c r="L29" s="22">
        <f>IF(AND('Assumptions'!$B$76=0,10&gt;'Assumptions'!$B$73,10&lt;='Assumptions'!$B$73+'Assumptions'!$B$75),-PMT('Assumptions'!$B$74/12,'Assumptions'!$B$75,$B$28),0)</f>
        <v/>
      </c>
      <c r="M29" s="22">
        <f>IF(AND('Assumptions'!$B$76=0,11&gt;'Assumptions'!$B$73,11&lt;='Assumptions'!$B$73+'Assumptions'!$B$75),-PMT('Assumptions'!$B$74/12,'Assumptions'!$B$75,$B$28),0)</f>
        <v/>
      </c>
      <c r="N29" s="22">
        <f>IF(AND('Assumptions'!$B$76=0,12&gt;'Assumptions'!$B$73,12&lt;='Assumptions'!$B$73+'Assumptions'!$B$75),-PMT('Assumptions'!$B$74/12,'Assumptions'!$B$75,$B$28),0)</f>
        <v/>
      </c>
      <c r="O29" s="22">
        <f>IF(AND('Assumptions'!$B$76=0,13&gt;'Assumptions'!$B$73,13&lt;='Assumptions'!$B$73+'Assumptions'!$B$75),-PMT('Assumptions'!$B$74/12,'Assumptions'!$B$75,$B$28),0)</f>
        <v/>
      </c>
      <c r="P29" s="22">
        <f>IF(AND('Assumptions'!$B$76=0,14&gt;'Assumptions'!$B$73,14&lt;='Assumptions'!$B$73+'Assumptions'!$B$75),-PMT('Assumptions'!$B$74/12,'Assumptions'!$B$75,$B$28),0)</f>
        <v/>
      </c>
      <c r="Q29" s="22">
        <f>IF(AND('Assumptions'!$B$76=0,15&gt;'Assumptions'!$B$73,15&lt;='Assumptions'!$B$73+'Assumptions'!$B$75),-PMT('Assumptions'!$B$74/12,'Assumptions'!$B$75,$B$28),0)</f>
        <v/>
      </c>
      <c r="R29" s="22">
        <f>IF(AND('Assumptions'!$B$76=0,16&gt;'Assumptions'!$B$73,16&lt;='Assumptions'!$B$73+'Assumptions'!$B$75),-PMT('Assumptions'!$B$74/12,'Assumptions'!$B$75,$B$28),0)</f>
        <v/>
      </c>
      <c r="S29" s="22">
        <f>IF(AND('Assumptions'!$B$76=0,17&gt;'Assumptions'!$B$73,17&lt;='Assumptions'!$B$73+'Assumptions'!$B$75),-PMT('Assumptions'!$B$74/12,'Assumptions'!$B$75,$B$28),0)</f>
        <v/>
      </c>
      <c r="T29" s="22">
        <f>IF(AND('Assumptions'!$B$76=0,18&gt;'Assumptions'!$B$73,18&lt;='Assumptions'!$B$73+'Assumptions'!$B$75),-PMT('Assumptions'!$B$74/12,'Assumptions'!$B$75,$B$28),0)</f>
        <v/>
      </c>
      <c r="U29" s="22">
        <f>IF(AND('Assumptions'!$B$76=0,19&gt;'Assumptions'!$B$73,19&lt;='Assumptions'!$B$73+'Assumptions'!$B$75),-PMT('Assumptions'!$B$74/12,'Assumptions'!$B$75,$B$28),0)</f>
        <v/>
      </c>
      <c r="V29" s="22">
        <f>IF(AND('Assumptions'!$B$76=0,20&gt;'Assumptions'!$B$73,20&lt;='Assumptions'!$B$73+'Assumptions'!$B$75),-PMT('Assumptions'!$B$74/12,'Assumptions'!$B$75,$B$28),0)</f>
        <v/>
      </c>
      <c r="W29" s="22">
        <f>IF(AND('Assumptions'!$B$76=0,21&gt;'Assumptions'!$B$73,21&lt;='Assumptions'!$B$73+'Assumptions'!$B$75),-PMT('Assumptions'!$B$74/12,'Assumptions'!$B$75,$B$28),0)</f>
        <v/>
      </c>
      <c r="X29" s="22">
        <f>IF(AND('Assumptions'!$B$76=0,22&gt;'Assumptions'!$B$73,22&lt;='Assumptions'!$B$73+'Assumptions'!$B$75),-PMT('Assumptions'!$B$74/12,'Assumptions'!$B$75,$B$28),0)</f>
        <v/>
      </c>
      <c r="Y29" s="22">
        <f>IF(AND('Assumptions'!$B$76=0,23&gt;'Assumptions'!$B$73,23&lt;='Assumptions'!$B$73+'Assumptions'!$B$75),-PMT('Assumptions'!$B$74/12,'Assumptions'!$B$75,$B$28),0)</f>
        <v/>
      </c>
      <c r="Z29" s="22">
        <f>IF(AND('Assumptions'!$B$76=0,24&gt;'Assumptions'!$B$73,24&lt;='Assumptions'!$B$73+'Assumptions'!$B$75),-PMT('Assumptions'!$B$74/12,'Assumptions'!$B$75,$B$28),0)</f>
        <v/>
      </c>
      <c r="AA29" s="22">
        <f>IF(AND('Assumptions'!$B$76=0,25&gt;'Assumptions'!$B$73,25&lt;='Assumptions'!$B$73+'Assumptions'!$B$75),-PMT('Assumptions'!$B$74/12,'Assumptions'!$B$75,$B$28),0)</f>
        <v/>
      </c>
      <c r="AB29" s="22">
        <f>IF(AND('Assumptions'!$B$76=0,26&gt;'Assumptions'!$B$73,26&lt;='Assumptions'!$B$73+'Assumptions'!$B$75),-PMT('Assumptions'!$B$74/12,'Assumptions'!$B$75,$B$28),0)</f>
        <v/>
      </c>
      <c r="AC29" s="22">
        <f>IF(AND('Assumptions'!$B$76=0,27&gt;'Assumptions'!$B$73,27&lt;='Assumptions'!$B$73+'Assumptions'!$B$75),-PMT('Assumptions'!$B$74/12,'Assumptions'!$B$75,$B$28),0)</f>
        <v/>
      </c>
      <c r="AD29" s="22">
        <f>IF(AND('Assumptions'!$B$76=0,28&gt;'Assumptions'!$B$73,28&lt;='Assumptions'!$B$73+'Assumptions'!$B$75),-PMT('Assumptions'!$B$74/12,'Assumptions'!$B$75,$B$28),0)</f>
        <v/>
      </c>
      <c r="AE29" s="22">
        <f>IF(AND('Assumptions'!$B$76=0,29&gt;'Assumptions'!$B$73,29&lt;='Assumptions'!$B$73+'Assumptions'!$B$75),-PMT('Assumptions'!$B$74/12,'Assumptions'!$B$75,$B$28),0)</f>
        <v/>
      </c>
      <c r="AF29" s="22">
        <f>IF(AND('Assumptions'!$B$76=0,30&gt;'Assumptions'!$B$73,30&lt;='Assumptions'!$B$73+'Assumptions'!$B$75),-PMT('Assumptions'!$B$74/12,'Assumptions'!$B$75,$B$28),0)</f>
        <v/>
      </c>
      <c r="AG29" s="22">
        <f>IF(AND('Assumptions'!$B$76=0,31&gt;'Assumptions'!$B$73,31&lt;='Assumptions'!$B$73+'Assumptions'!$B$75),-PMT('Assumptions'!$B$74/12,'Assumptions'!$B$75,$B$28),0)</f>
        <v/>
      </c>
      <c r="AH29" s="22">
        <f>IF(AND('Assumptions'!$B$76=0,32&gt;'Assumptions'!$B$73,32&lt;='Assumptions'!$B$73+'Assumptions'!$B$75),-PMT('Assumptions'!$B$74/12,'Assumptions'!$B$75,$B$28),0)</f>
        <v/>
      </c>
      <c r="AI29" s="22">
        <f>IF(AND('Assumptions'!$B$76=0,33&gt;'Assumptions'!$B$73,33&lt;='Assumptions'!$B$73+'Assumptions'!$B$75),-PMT('Assumptions'!$B$74/12,'Assumptions'!$B$75,$B$28),0)</f>
        <v/>
      </c>
      <c r="AJ29" s="22">
        <f>IF(AND('Assumptions'!$B$76=0,34&gt;'Assumptions'!$B$73,34&lt;='Assumptions'!$B$73+'Assumptions'!$B$75),-PMT('Assumptions'!$B$74/12,'Assumptions'!$B$75,$B$28),0)</f>
        <v/>
      </c>
      <c r="AK29" s="22">
        <f>IF(AND('Assumptions'!$B$76=0,35&gt;'Assumptions'!$B$73,35&lt;='Assumptions'!$B$73+'Assumptions'!$B$75),-PMT('Assumptions'!$B$74/12,'Assumptions'!$B$75,$B$28),0)</f>
        <v/>
      </c>
      <c r="AL29" s="22">
        <f>IF(AND('Assumptions'!$B$76=0,36&gt;'Assumptions'!$B$73,36&lt;='Assumptions'!$B$73+'Assumptions'!$B$75),-PMT('Assumptions'!$B$74/12,'Assumptions'!$B$75,$B$28),0)</f>
        <v/>
      </c>
    </row>
    <row r="30">
      <c r="A30" s="4" t="inlineStr">
        <is>
          <t>Balloon-refi balance (end)</t>
        </is>
      </c>
      <c r="C30" s="22">
        <f>IF('Assumptions'!$B$76=1,0,IF(1&lt;'Assumptions'!$B$73,0,IF(1='Assumptions'!$B$73,$B$28,MAX(0,0*(1+'Assumptions'!$B$74/12)-C29))))</f>
        <v/>
      </c>
      <c r="D30" s="22">
        <f>IF('Assumptions'!$B$76=1,0,IF(2&lt;'Assumptions'!$B$73,0,IF(2='Assumptions'!$B$73,$B$28,MAX(0,C30*(1+'Assumptions'!$B$74/12)-D29))))</f>
        <v/>
      </c>
      <c r="E30" s="22">
        <f>IF('Assumptions'!$B$76=1,0,IF(3&lt;'Assumptions'!$B$73,0,IF(3='Assumptions'!$B$73,$B$28,MAX(0,D30*(1+'Assumptions'!$B$74/12)-E29))))</f>
        <v/>
      </c>
      <c r="F30" s="22">
        <f>IF('Assumptions'!$B$76=1,0,IF(4&lt;'Assumptions'!$B$73,0,IF(4='Assumptions'!$B$73,$B$28,MAX(0,E30*(1+'Assumptions'!$B$74/12)-F29))))</f>
        <v/>
      </c>
      <c r="G30" s="22">
        <f>IF('Assumptions'!$B$76=1,0,IF(5&lt;'Assumptions'!$B$73,0,IF(5='Assumptions'!$B$73,$B$28,MAX(0,F30*(1+'Assumptions'!$B$74/12)-G29))))</f>
        <v/>
      </c>
      <c r="H30" s="22">
        <f>IF('Assumptions'!$B$76=1,0,IF(6&lt;'Assumptions'!$B$73,0,IF(6='Assumptions'!$B$73,$B$28,MAX(0,G30*(1+'Assumptions'!$B$74/12)-H29))))</f>
        <v/>
      </c>
      <c r="I30" s="22">
        <f>IF('Assumptions'!$B$76=1,0,IF(7&lt;'Assumptions'!$B$73,0,IF(7='Assumptions'!$B$73,$B$28,MAX(0,H30*(1+'Assumptions'!$B$74/12)-I29))))</f>
        <v/>
      </c>
      <c r="J30" s="22">
        <f>IF('Assumptions'!$B$76=1,0,IF(8&lt;'Assumptions'!$B$73,0,IF(8='Assumptions'!$B$73,$B$28,MAX(0,I30*(1+'Assumptions'!$B$74/12)-J29))))</f>
        <v/>
      </c>
      <c r="K30" s="22">
        <f>IF('Assumptions'!$B$76=1,0,IF(9&lt;'Assumptions'!$B$73,0,IF(9='Assumptions'!$B$73,$B$28,MAX(0,J30*(1+'Assumptions'!$B$74/12)-K29))))</f>
        <v/>
      </c>
      <c r="L30" s="22">
        <f>IF('Assumptions'!$B$76=1,0,IF(10&lt;'Assumptions'!$B$73,0,IF(10='Assumptions'!$B$73,$B$28,MAX(0,K30*(1+'Assumptions'!$B$74/12)-L29))))</f>
        <v/>
      </c>
      <c r="M30" s="22">
        <f>IF('Assumptions'!$B$76=1,0,IF(11&lt;'Assumptions'!$B$73,0,IF(11='Assumptions'!$B$73,$B$28,MAX(0,L30*(1+'Assumptions'!$B$74/12)-M29))))</f>
        <v/>
      </c>
      <c r="N30" s="22">
        <f>IF('Assumptions'!$B$76=1,0,IF(12&lt;'Assumptions'!$B$73,0,IF(12='Assumptions'!$B$73,$B$28,MAX(0,M30*(1+'Assumptions'!$B$74/12)-N29))))</f>
        <v/>
      </c>
      <c r="O30" s="22">
        <f>IF('Assumptions'!$B$76=1,0,IF(13&lt;'Assumptions'!$B$73,0,IF(13='Assumptions'!$B$73,$B$28,MAX(0,N30*(1+'Assumptions'!$B$74/12)-O29))))</f>
        <v/>
      </c>
      <c r="P30" s="22">
        <f>IF('Assumptions'!$B$76=1,0,IF(14&lt;'Assumptions'!$B$73,0,IF(14='Assumptions'!$B$73,$B$28,MAX(0,O30*(1+'Assumptions'!$B$74/12)-P29))))</f>
        <v/>
      </c>
      <c r="Q30" s="22">
        <f>IF('Assumptions'!$B$76=1,0,IF(15&lt;'Assumptions'!$B$73,0,IF(15='Assumptions'!$B$73,$B$28,MAX(0,P30*(1+'Assumptions'!$B$74/12)-Q29))))</f>
        <v/>
      </c>
      <c r="R30" s="22">
        <f>IF('Assumptions'!$B$76=1,0,IF(16&lt;'Assumptions'!$B$73,0,IF(16='Assumptions'!$B$73,$B$28,MAX(0,Q30*(1+'Assumptions'!$B$74/12)-R29))))</f>
        <v/>
      </c>
      <c r="S30" s="22">
        <f>IF('Assumptions'!$B$76=1,0,IF(17&lt;'Assumptions'!$B$73,0,IF(17='Assumptions'!$B$73,$B$28,MAX(0,R30*(1+'Assumptions'!$B$74/12)-S29))))</f>
        <v/>
      </c>
      <c r="T30" s="22">
        <f>IF('Assumptions'!$B$76=1,0,IF(18&lt;'Assumptions'!$B$73,0,IF(18='Assumptions'!$B$73,$B$28,MAX(0,S30*(1+'Assumptions'!$B$74/12)-T29))))</f>
        <v/>
      </c>
      <c r="U30" s="22">
        <f>IF('Assumptions'!$B$76=1,0,IF(19&lt;'Assumptions'!$B$73,0,IF(19='Assumptions'!$B$73,$B$28,MAX(0,T30*(1+'Assumptions'!$B$74/12)-U29))))</f>
        <v/>
      </c>
      <c r="V30" s="22">
        <f>IF('Assumptions'!$B$76=1,0,IF(20&lt;'Assumptions'!$B$73,0,IF(20='Assumptions'!$B$73,$B$28,MAX(0,U30*(1+'Assumptions'!$B$74/12)-V29))))</f>
        <v/>
      </c>
      <c r="W30" s="22">
        <f>IF('Assumptions'!$B$76=1,0,IF(21&lt;'Assumptions'!$B$73,0,IF(21='Assumptions'!$B$73,$B$28,MAX(0,V30*(1+'Assumptions'!$B$74/12)-W29))))</f>
        <v/>
      </c>
      <c r="X30" s="22">
        <f>IF('Assumptions'!$B$76=1,0,IF(22&lt;'Assumptions'!$B$73,0,IF(22='Assumptions'!$B$73,$B$28,MAX(0,W30*(1+'Assumptions'!$B$74/12)-X29))))</f>
        <v/>
      </c>
      <c r="Y30" s="22">
        <f>IF('Assumptions'!$B$76=1,0,IF(23&lt;'Assumptions'!$B$73,0,IF(23='Assumptions'!$B$73,$B$28,MAX(0,X30*(1+'Assumptions'!$B$74/12)-Y29))))</f>
        <v/>
      </c>
      <c r="Z30" s="22">
        <f>IF('Assumptions'!$B$76=1,0,IF(24&lt;'Assumptions'!$B$73,0,IF(24='Assumptions'!$B$73,$B$28,MAX(0,Y30*(1+'Assumptions'!$B$74/12)-Z29))))</f>
        <v/>
      </c>
      <c r="AA30" s="22">
        <f>IF('Assumptions'!$B$76=1,0,IF(25&lt;'Assumptions'!$B$73,0,IF(25='Assumptions'!$B$73,$B$28,MAX(0,Z30*(1+'Assumptions'!$B$74/12)-AA29))))</f>
        <v/>
      </c>
      <c r="AB30" s="22">
        <f>IF('Assumptions'!$B$76=1,0,IF(26&lt;'Assumptions'!$B$73,0,IF(26='Assumptions'!$B$73,$B$28,MAX(0,AA30*(1+'Assumptions'!$B$74/12)-AB29))))</f>
        <v/>
      </c>
      <c r="AC30" s="22">
        <f>IF('Assumptions'!$B$76=1,0,IF(27&lt;'Assumptions'!$B$73,0,IF(27='Assumptions'!$B$73,$B$28,MAX(0,AB30*(1+'Assumptions'!$B$74/12)-AC29))))</f>
        <v/>
      </c>
      <c r="AD30" s="22">
        <f>IF('Assumptions'!$B$76=1,0,IF(28&lt;'Assumptions'!$B$73,0,IF(28='Assumptions'!$B$73,$B$28,MAX(0,AC30*(1+'Assumptions'!$B$74/12)-AD29))))</f>
        <v/>
      </c>
      <c r="AE30" s="22">
        <f>IF('Assumptions'!$B$76=1,0,IF(29&lt;'Assumptions'!$B$73,0,IF(29='Assumptions'!$B$73,$B$28,MAX(0,AD30*(1+'Assumptions'!$B$74/12)-AE29))))</f>
        <v/>
      </c>
      <c r="AF30" s="22">
        <f>IF('Assumptions'!$B$76=1,0,IF(30&lt;'Assumptions'!$B$73,0,IF(30='Assumptions'!$B$73,$B$28,MAX(0,AE30*(1+'Assumptions'!$B$74/12)-AF29))))</f>
        <v/>
      </c>
      <c r="AG30" s="22">
        <f>IF('Assumptions'!$B$76=1,0,IF(31&lt;'Assumptions'!$B$73,0,IF(31='Assumptions'!$B$73,$B$28,MAX(0,AF30*(1+'Assumptions'!$B$74/12)-AG29))))</f>
        <v/>
      </c>
      <c r="AH30" s="22">
        <f>IF('Assumptions'!$B$76=1,0,IF(32&lt;'Assumptions'!$B$73,0,IF(32='Assumptions'!$B$73,$B$28,MAX(0,AG30*(1+'Assumptions'!$B$74/12)-AH29))))</f>
        <v/>
      </c>
      <c r="AI30" s="22">
        <f>IF('Assumptions'!$B$76=1,0,IF(33&lt;'Assumptions'!$B$73,0,IF(33='Assumptions'!$B$73,$B$28,MAX(0,AH30*(1+'Assumptions'!$B$74/12)-AI29))))</f>
        <v/>
      </c>
      <c r="AJ30" s="22">
        <f>IF('Assumptions'!$B$76=1,0,IF(34&lt;'Assumptions'!$B$73,0,IF(34='Assumptions'!$B$73,$B$28,MAX(0,AI30*(1+'Assumptions'!$B$74/12)-AJ29))))</f>
        <v/>
      </c>
      <c r="AK30" s="22">
        <f>IF('Assumptions'!$B$76=1,0,IF(35&lt;'Assumptions'!$B$73,0,IF(35='Assumptions'!$B$73,$B$28,MAX(0,AJ30*(1+'Assumptions'!$B$74/12)-AK29))))</f>
        <v/>
      </c>
      <c r="AL30" s="22">
        <f>IF('Assumptions'!$B$76=1,0,IF(36&lt;'Assumptions'!$B$73,0,IF(36='Assumptions'!$B$73,$B$28,MAX(0,AK30*(1+'Assumptions'!$B$74/12)-AL29))))</f>
        <v/>
      </c>
    </row>
    <row r="31">
      <c r="A31" s="4" t="inlineStr">
        <is>
          <t>Balloon-refi interest</t>
        </is>
      </c>
      <c r="C31" s="22">
        <f>0*'Assumptions'!$B$74/12*(C29&gt;0)</f>
        <v/>
      </c>
      <c r="D31" s="22">
        <f>C30*'Assumptions'!$B$74/12*(D29&gt;0)</f>
        <v/>
      </c>
      <c r="E31" s="22">
        <f>D30*'Assumptions'!$B$74/12*(E29&gt;0)</f>
        <v/>
      </c>
      <c r="F31" s="22">
        <f>E30*'Assumptions'!$B$74/12*(F29&gt;0)</f>
        <v/>
      </c>
      <c r="G31" s="22">
        <f>F30*'Assumptions'!$B$74/12*(G29&gt;0)</f>
        <v/>
      </c>
      <c r="H31" s="22">
        <f>G30*'Assumptions'!$B$74/12*(H29&gt;0)</f>
        <v/>
      </c>
      <c r="I31" s="22">
        <f>H30*'Assumptions'!$B$74/12*(I29&gt;0)</f>
        <v/>
      </c>
      <c r="J31" s="22">
        <f>I30*'Assumptions'!$B$74/12*(J29&gt;0)</f>
        <v/>
      </c>
      <c r="K31" s="22">
        <f>J30*'Assumptions'!$B$74/12*(K29&gt;0)</f>
        <v/>
      </c>
      <c r="L31" s="22">
        <f>K30*'Assumptions'!$B$74/12*(L29&gt;0)</f>
        <v/>
      </c>
      <c r="M31" s="22">
        <f>L30*'Assumptions'!$B$74/12*(M29&gt;0)</f>
        <v/>
      </c>
      <c r="N31" s="22">
        <f>M30*'Assumptions'!$B$74/12*(N29&gt;0)</f>
        <v/>
      </c>
      <c r="O31" s="22">
        <f>N30*'Assumptions'!$B$74/12*(O29&gt;0)</f>
        <v/>
      </c>
      <c r="P31" s="22">
        <f>O30*'Assumptions'!$B$74/12*(P29&gt;0)</f>
        <v/>
      </c>
      <c r="Q31" s="22">
        <f>P30*'Assumptions'!$B$74/12*(Q29&gt;0)</f>
        <v/>
      </c>
      <c r="R31" s="22">
        <f>Q30*'Assumptions'!$B$74/12*(R29&gt;0)</f>
        <v/>
      </c>
      <c r="S31" s="22">
        <f>R30*'Assumptions'!$B$74/12*(S29&gt;0)</f>
        <v/>
      </c>
      <c r="T31" s="22">
        <f>S30*'Assumptions'!$B$74/12*(T29&gt;0)</f>
        <v/>
      </c>
      <c r="U31" s="22">
        <f>T30*'Assumptions'!$B$74/12*(U29&gt;0)</f>
        <v/>
      </c>
      <c r="V31" s="22">
        <f>U30*'Assumptions'!$B$74/12*(V29&gt;0)</f>
        <v/>
      </c>
      <c r="W31" s="22">
        <f>V30*'Assumptions'!$B$74/12*(W29&gt;0)</f>
        <v/>
      </c>
      <c r="X31" s="22">
        <f>W30*'Assumptions'!$B$74/12*(X29&gt;0)</f>
        <v/>
      </c>
      <c r="Y31" s="22">
        <f>X30*'Assumptions'!$B$74/12*(Y29&gt;0)</f>
        <v/>
      </c>
      <c r="Z31" s="22">
        <f>Y30*'Assumptions'!$B$74/12*(Z29&gt;0)</f>
        <v/>
      </c>
      <c r="AA31" s="22">
        <f>Z30*'Assumptions'!$B$74/12*(AA29&gt;0)</f>
        <v/>
      </c>
      <c r="AB31" s="22">
        <f>AA30*'Assumptions'!$B$74/12*(AB29&gt;0)</f>
        <v/>
      </c>
      <c r="AC31" s="22">
        <f>AB30*'Assumptions'!$B$74/12*(AC29&gt;0)</f>
        <v/>
      </c>
      <c r="AD31" s="22">
        <f>AC30*'Assumptions'!$B$74/12*(AD29&gt;0)</f>
        <v/>
      </c>
      <c r="AE31" s="22">
        <f>AD30*'Assumptions'!$B$74/12*(AE29&gt;0)</f>
        <v/>
      </c>
      <c r="AF31" s="22">
        <f>AE30*'Assumptions'!$B$74/12*(AF29&gt;0)</f>
        <v/>
      </c>
      <c r="AG31" s="22">
        <f>AF30*'Assumptions'!$B$74/12*(AG29&gt;0)</f>
        <v/>
      </c>
      <c r="AH31" s="22">
        <f>AG30*'Assumptions'!$B$74/12*(AH29&gt;0)</f>
        <v/>
      </c>
      <c r="AI31" s="22">
        <f>AH30*'Assumptions'!$B$74/12*(AI29&gt;0)</f>
        <v/>
      </c>
      <c r="AJ31" s="22">
        <f>AI30*'Assumptions'!$B$74/12*(AJ29&gt;0)</f>
        <v/>
      </c>
      <c r="AK31" s="22">
        <f>AJ30*'Assumptions'!$B$74/12*(AK29&gt;0)</f>
        <v/>
      </c>
      <c r="AL31" s="22">
        <f>AK30*'Assumptions'!$B$74/12*(AL29&gt;0)</f>
        <v/>
      </c>
    </row>
    <row r="32">
      <c r="A32" s="3" t="inlineStr">
        <is>
          <t>NET INCOME</t>
        </is>
      </c>
    </row>
    <row r="33">
      <c r="A33" s="4" t="inlineStr">
        <is>
          <t>Pre-tax income</t>
        </is>
      </c>
      <c r="C33" s="22">
        <f>C14+C15+C16-C19-C26-C31-IF('Assumptions'!$B$81=1,'Assumptions'!$B$83*'Assumptions'!$B$84/12,0)*(C27&gt;0)</f>
        <v/>
      </c>
      <c r="D33" s="22">
        <f>D14+D15+D16-D19-D26-D31-IF('Assumptions'!$B$81=1,'Assumptions'!$B$83*'Assumptions'!$B$84/12,0)*(D27&gt;0)</f>
        <v/>
      </c>
      <c r="E33" s="22">
        <f>E14+E15+E16-E19-E26-E31-IF('Assumptions'!$B$81=1,'Assumptions'!$B$83*'Assumptions'!$B$84/12,0)*(E27&gt;0)</f>
        <v/>
      </c>
      <c r="F33" s="22">
        <f>F14+F15+F16-F19-F26-F31-IF('Assumptions'!$B$81=1,'Assumptions'!$B$83*'Assumptions'!$B$84/12,0)*(F27&gt;0)</f>
        <v/>
      </c>
      <c r="G33" s="22">
        <f>G14+G15+G16-G19-G26-G31-IF('Assumptions'!$B$81=1,'Assumptions'!$B$83*'Assumptions'!$B$84/12,0)*(G27&gt;0)</f>
        <v/>
      </c>
      <c r="H33" s="22">
        <f>H14+H15+H16-H19-H26-H31-IF('Assumptions'!$B$81=1,'Assumptions'!$B$83*'Assumptions'!$B$84/12,0)*(H27&gt;0)</f>
        <v/>
      </c>
      <c r="I33" s="22">
        <f>I14+I15+I16-I19-I26-I31-IF('Assumptions'!$B$81=1,'Assumptions'!$B$83*'Assumptions'!$B$84/12,0)*(I27&gt;0)</f>
        <v/>
      </c>
      <c r="J33" s="22">
        <f>J14+J15+J16-J19-J26-J31-IF('Assumptions'!$B$81=1,'Assumptions'!$B$83*'Assumptions'!$B$84/12,0)*(J27&gt;0)</f>
        <v/>
      </c>
      <c r="K33" s="22">
        <f>K14+K15+K16-K19-K26-K31-IF('Assumptions'!$B$81=1,'Assumptions'!$B$83*'Assumptions'!$B$84/12,0)*(K27&gt;0)</f>
        <v/>
      </c>
      <c r="L33" s="22">
        <f>L14+L15+L16-L19-L26-L31-IF('Assumptions'!$B$81=1,'Assumptions'!$B$83*'Assumptions'!$B$84/12,0)*(L27&gt;0)</f>
        <v/>
      </c>
      <c r="M33" s="22">
        <f>M14+M15+M16-M19-M26-M31-IF('Assumptions'!$B$81=1,'Assumptions'!$B$83*'Assumptions'!$B$84/12,0)*(M27&gt;0)</f>
        <v/>
      </c>
      <c r="N33" s="22">
        <f>N14+N15+N16-N19-N26-N31-IF('Assumptions'!$B$81=1,'Assumptions'!$B$83*'Assumptions'!$B$84/12,0)*(N27&gt;0)</f>
        <v/>
      </c>
      <c r="O33" s="22">
        <f>O14+O15+O16-O19-O26-O31-IF('Assumptions'!$B$81=1,'Assumptions'!$B$83*'Assumptions'!$B$84/12,0)*(O27&gt;0)</f>
        <v/>
      </c>
      <c r="P33" s="22">
        <f>P14+P15+P16-P19-P26-P31-IF('Assumptions'!$B$81=1,'Assumptions'!$B$83*'Assumptions'!$B$84/12,0)*(P27&gt;0)</f>
        <v/>
      </c>
      <c r="Q33" s="22">
        <f>Q14+Q15+Q16-Q19-Q26-Q31-IF('Assumptions'!$B$81=1,'Assumptions'!$B$83*'Assumptions'!$B$84/12,0)*(Q27&gt;0)</f>
        <v/>
      </c>
      <c r="R33" s="22">
        <f>R14+R15+R16-R19-R26-R31-IF('Assumptions'!$B$81=1,'Assumptions'!$B$83*'Assumptions'!$B$84/12,0)*(R27&gt;0)</f>
        <v/>
      </c>
      <c r="S33" s="22">
        <f>S14+S15+S16-S19-S26-S31-IF('Assumptions'!$B$81=1,'Assumptions'!$B$83*'Assumptions'!$B$84/12,0)*(S27&gt;0)</f>
        <v/>
      </c>
      <c r="T33" s="22">
        <f>T14+T15+T16-T19-T26-T31-IF('Assumptions'!$B$81=1,'Assumptions'!$B$83*'Assumptions'!$B$84/12,0)*(T27&gt;0)</f>
        <v/>
      </c>
      <c r="U33" s="22">
        <f>U14+U15+U16-U19-U26-U31-IF('Assumptions'!$B$81=1,'Assumptions'!$B$83*'Assumptions'!$B$84/12,0)*(U27&gt;0)</f>
        <v/>
      </c>
      <c r="V33" s="22">
        <f>V14+V15+V16-V19-V26-V31-IF('Assumptions'!$B$81=1,'Assumptions'!$B$83*'Assumptions'!$B$84/12,0)*(V27&gt;0)</f>
        <v/>
      </c>
      <c r="W33" s="22">
        <f>W14+W15+W16-W19-W26-W31-IF('Assumptions'!$B$81=1,'Assumptions'!$B$83*'Assumptions'!$B$84/12,0)*(W27&gt;0)</f>
        <v/>
      </c>
      <c r="X33" s="22">
        <f>X14+X15+X16-X19-X26-X31-IF('Assumptions'!$B$81=1,'Assumptions'!$B$83*'Assumptions'!$B$84/12,0)*(X27&gt;0)</f>
        <v/>
      </c>
      <c r="Y33" s="22">
        <f>Y14+Y15+Y16-Y19-Y26-Y31-IF('Assumptions'!$B$81=1,'Assumptions'!$B$83*'Assumptions'!$B$84/12,0)*(Y27&gt;0)</f>
        <v/>
      </c>
      <c r="Z33" s="22">
        <f>Z14+Z15+Z16-Z19-Z26-Z31-IF('Assumptions'!$B$81=1,'Assumptions'!$B$83*'Assumptions'!$B$84/12,0)*(Z27&gt;0)</f>
        <v/>
      </c>
      <c r="AA33" s="22">
        <f>AA14+AA15+AA16-AA19-AA26-AA31-IF('Assumptions'!$B$81=1,'Assumptions'!$B$83*'Assumptions'!$B$84/12,0)*(AA27&gt;0)</f>
        <v/>
      </c>
      <c r="AB33" s="22">
        <f>AB14+AB15+AB16-AB19-AB26-AB31-IF('Assumptions'!$B$81=1,'Assumptions'!$B$83*'Assumptions'!$B$84/12,0)*(AB27&gt;0)</f>
        <v/>
      </c>
      <c r="AC33" s="22">
        <f>AC14+AC15+AC16-AC19-AC26-AC31-IF('Assumptions'!$B$81=1,'Assumptions'!$B$83*'Assumptions'!$B$84/12,0)*(AC27&gt;0)</f>
        <v/>
      </c>
      <c r="AD33" s="22">
        <f>AD14+AD15+AD16-AD19-AD26-AD31-IF('Assumptions'!$B$81=1,'Assumptions'!$B$83*'Assumptions'!$B$84/12,0)*(AD27&gt;0)</f>
        <v/>
      </c>
      <c r="AE33" s="22">
        <f>AE14+AE15+AE16-AE19-AE26-AE31-IF('Assumptions'!$B$81=1,'Assumptions'!$B$83*'Assumptions'!$B$84/12,0)*(AE27&gt;0)</f>
        <v/>
      </c>
      <c r="AF33" s="22">
        <f>AF14+AF15+AF16-AF19-AF26-AF31-IF('Assumptions'!$B$81=1,'Assumptions'!$B$83*'Assumptions'!$B$84/12,0)*(AF27&gt;0)</f>
        <v/>
      </c>
      <c r="AG33" s="22">
        <f>AG14+AG15+AG16-AG19-AG26-AG31-IF('Assumptions'!$B$81=1,'Assumptions'!$B$83*'Assumptions'!$B$84/12,0)*(AG27&gt;0)</f>
        <v/>
      </c>
      <c r="AH33" s="22">
        <f>AH14+AH15+AH16-AH19-AH26-AH31-IF('Assumptions'!$B$81=1,'Assumptions'!$B$83*'Assumptions'!$B$84/12,0)*(AH27&gt;0)</f>
        <v/>
      </c>
      <c r="AI33" s="22">
        <f>AI14+AI15+AI16-AI19-AI26-AI31-IF('Assumptions'!$B$81=1,'Assumptions'!$B$83*'Assumptions'!$B$84/12,0)*(AI27&gt;0)</f>
        <v/>
      </c>
      <c r="AJ33" s="22">
        <f>AJ14+AJ15+AJ16-AJ19-AJ26-AJ31-IF('Assumptions'!$B$81=1,'Assumptions'!$B$83*'Assumptions'!$B$84/12,0)*(AJ27&gt;0)</f>
        <v/>
      </c>
      <c r="AK33" s="22">
        <f>AK14+AK15+AK16-AK19-AK26-AK31-IF('Assumptions'!$B$81=1,'Assumptions'!$B$83*'Assumptions'!$B$84/12,0)*(AK27&gt;0)</f>
        <v/>
      </c>
      <c r="AL33" s="22">
        <f>AL14+AL15+AL16-AL19-AL26-AL31-IF('Assumptions'!$B$81=1,'Assumptions'!$B$83*'Assumptions'!$B$84/12,0)*(AL27&gt;0)</f>
        <v/>
      </c>
    </row>
    <row r="34">
      <c r="A34" s="4" t="inlineStr">
        <is>
          <t>TX margin tax</t>
        </is>
      </c>
      <c r="C34" s="22">
        <f>IF(C33&gt;0,C8*'Assumptions'!$B$91,0)</f>
        <v/>
      </c>
      <c r="D34" s="22">
        <f>IF(D33&gt;0,D8*'Assumptions'!$B$91,0)</f>
        <v/>
      </c>
      <c r="E34" s="22">
        <f>IF(E33&gt;0,E8*'Assumptions'!$B$91,0)</f>
        <v/>
      </c>
      <c r="F34" s="22">
        <f>IF(F33&gt;0,F8*'Assumptions'!$B$91,0)</f>
        <v/>
      </c>
      <c r="G34" s="22">
        <f>IF(G33&gt;0,G8*'Assumptions'!$B$91,0)</f>
        <v/>
      </c>
      <c r="H34" s="22">
        <f>IF(H33&gt;0,H8*'Assumptions'!$B$91,0)</f>
        <v/>
      </c>
      <c r="I34" s="22">
        <f>IF(I33&gt;0,I8*'Assumptions'!$B$91,0)</f>
        <v/>
      </c>
      <c r="J34" s="22">
        <f>IF(J33&gt;0,J8*'Assumptions'!$B$91,0)</f>
        <v/>
      </c>
      <c r="K34" s="22">
        <f>IF(K33&gt;0,K8*'Assumptions'!$B$91,0)</f>
        <v/>
      </c>
      <c r="L34" s="22">
        <f>IF(L33&gt;0,L8*'Assumptions'!$B$91,0)</f>
        <v/>
      </c>
      <c r="M34" s="22">
        <f>IF(M33&gt;0,M8*'Assumptions'!$B$91,0)</f>
        <v/>
      </c>
      <c r="N34" s="22">
        <f>IF(N33&gt;0,N8*'Assumptions'!$B$91,0)</f>
        <v/>
      </c>
      <c r="O34" s="22">
        <f>IF(O33&gt;0,O8*'Assumptions'!$B$91,0)</f>
        <v/>
      </c>
      <c r="P34" s="22">
        <f>IF(P33&gt;0,P8*'Assumptions'!$B$91,0)</f>
        <v/>
      </c>
      <c r="Q34" s="22">
        <f>IF(Q33&gt;0,Q8*'Assumptions'!$B$91,0)</f>
        <v/>
      </c>
      <c r="R34" s="22">
        <f>IF(R33&gt;0,R8*'Assumptions'!$B$91,0)</f>
        <v/>
      </c>
      <c r="S34" s="22">
        <f>IF(S33&gt;0,S8*'Assumptions'!$B$91,0)</f>
        <v/>
      </c>
      <c r="T34" s="22">
        <f>IF(T33&gt;0,T8*'Assumptions'!$B$91,0)</f>
        <v/>
      </c>
      <c r="U34" s="22">
        <f>IF(U33&gt;0,U8*'Assumptions'!$B$91,0)</f>
        <v/>
      </c>
      <c r="V34" s="22">
        <f>IF(V33&gt;0,V8*'Assumptions'!$B$91,0)</f>
        <v/>
      </c>
      <c r="W34" s="22">
        <f>IF(W33&gt;0,W8*'Assumptions'!$B$91,0)</f>
        <v/>
      </c>
      <c r="X34" s="22">
        <f>IF(X33&gt;0,X8*'Assumptions'!$B$91,0)</f>
        <v/>
      </c>
      <c r="Y34" s="22">
        <f>IF(Y33&gt;0,Y8*'Assumptions'!$B$91,0)</f>
        <v/>
      </c>
      <c r="Z34" s="22">
        <f>IF(Z33&gt;0,Z8*'Assumptions'!$B$91,0)</f>
        <v/>
      </c>
      <c r="AA34" s="22">
        <f>IF(AA33&gt;0,AA8*'Assumptions'!$B$91,0)</f>
        <v/>
      </c>
      <c r="AB34" s="22">
        <f>IF(AB33&gt;0,AB8*'Assumptions'!$B$91,0)</f>
        <v/>
      </c>
      <c r="AC34" s="22">
        <f>IF(AC33&gt;0,AC8*'Assumptions'!$B$91,0)</f>
        <v/>
      </c>
      <c r="AD34" s="22">
        <f>IF(AD33&gt;0,AD8*'Assumptions'!$B$91,0)</f>
        <v/>
      </c>
      <c r="AE34" s="22">
        <f>IF(AE33&gt;0,AE8*'Assumptions'!$B$91,0)</f>
        <v/>
      </c>
      <c r="AF34" s="22">
        <f>IF(AF33&gt;0,AF8*'Assumptions'!$B$91,0)</f>
        <v/>
      </c>
      <c r="AG34" s="22">
        <f>IF(AG33&gt;0,AG8*'Assumptions'!$B$91,0)</f>
        <v/>
      </c>
      <c r="AH34" s="22">
        <f>IF(AH33&gt;0,AH8*'Assumptions'!$B$91,0)</f>
        <v/>
      </c>
      <c r="AI34" s="22">
        <f>IF(AI33&gt;0,AI8*'Assumptions'!$B$91,0)</f>
        <v/>
      </c>
      <c r="AJ34" s="22">
        <f>IF(AJ33&gt;0,AJ8*'Assumptions'!$B$91,0)</f>
        <v/>
      </c>
      <c r="AK34" s="22">
        <f>IF(AK33&gt;0,AK8*'Assumptions'!$B$91,0)</f>
        <v/>
      </c>
      <c r="AL34" s="22">
        <f>IF(AL33&gt;0,AL8*'Assumptions'!$B$91,0)</f>
        <v/>
      </c>
    </row>
    <row r="35">
      <c r="A35" s="12" t="inlineStr">
        <is>
          <t>NET INCOME</t>
        </is>
      </c>
      <c r="C35" s="27">
        <f>C33-C34</f>
        <v/>
      </c>
      <c r="D35" s="27">
        <f>D33-D34</f>
        <v/>
      </c>
      <c r="E35" s="27">
        <f>E33-E34</f>
        <v/>
      </c>
      <c r="F35" s="27">
        <f>F33-F34</f>
        <v/>
      </c>
      <c r="G35" s="27">
        <f>G33-G34</f>
        <v/>
      </c>
      <c r="H35" s="27">
        <f>H33-H34</f>
        <v/>
      </c>
      <c r="I35" s="27">
        <f>I33-I34</f>
        <v/>
      </c>
      <c r="J35" s="27">
        <f>J33-J34</f>
        <v/>
      </c>
      <c r="K35" s="27">
        <f>K33-K34</f>
        <v/>
      </c>
      <c r="L35" s="27">
        <f>L33-L34</f>
        <v/>
      </c>
      <c r="M35" s="27">
        <f>M33-M34</f>
        <v/>
      </c>
      <c r="N35" s="27">
        <f>N33-N34</f>
        <v/>
      </c>
      <c r="O35" s="27">
        <f>O33-O34</f>
        <v/>
      </c>
      <c r="P35" s="27">
        <f>P33-P34</f>
        <v/>
      </c>
      <c r="Q35" s="27">
        <f>Q33-Q34</f>
        <v/>
      </c>
      <c r="R35" s="27">
        <f>R33-R34</f>
        <v/>
      </c>
      <c r="S35" s="27">
        <f>S33-S34</f>
        <v/>
      </c>
      <c r="T35" s="27">
        <f>T33-T34</f>
        <v/>
      </c>
      <c r="U35" s="27">
        <f>U33-U34</f>
        <v/>
      </c>
      <c r="V35" s="27">
        <f>V33-V34</f>
        <v/>
      </c>
      <c r="W35" s="27">
        <f>W33-W34</f>
        <v/>
      </c>
      <c r="X35" s="27">
        <f>X33-X34</f>
        <v/>
      </c>
      <c r="Y35" s="27">
        <f>Y33-Y34</f>
        <v/>
      </c>
      <c r="Z35" s="27">
        <f>Z33-Z34</f>
        <v/>
      </c>
      <c r="AA35" s="27">
        <f>AA33-AA34</f>
        <v/>
      </c>
      <c r="AB35" s="27">
        <f>AB33-AB34</f>
        <v/>
      </c>
      <c r="AC35" s="27">
        <f>AC33-AC34</f>
        <v/>
      </c>
      <c r="AD35" s="27">
        <f>AD33-AD34</f>
        <v/>
      </c>
      <c r="AE35" s="27">
        <f>AE33-AE34</f>
        <v/>
      </c>
      <c r="AF35" s="27">
        <f>AF33-AF34</f>
        <v/>
      </c>
      <c r="AG35" s="27">
        <f>AG33-AG34</f>
        <v/>
      </c>
      <c r="AH35" s="27">
        <f>AH33-AH34</f>
        <v/>
      </c>
      <c r="AI35" s="27">
        <f>AI33-AI34</f>
        <v/>
      </c>
      <c r="AJ35" s="27">
        <f>AJ33-AJ34</f>
        <v/>
      </c>
      <c r="AK35" s="27">
        <f>AK33-AK34</f>
        <v/>
      </c>
      <c r="AL35" s="27">
        <f>AL33-AL34</f>
        <v/>
      </c>
    </row>
    <row r="36">
      <c r="A36" s="3" t="inlineStr">
        <is>
          <t>CASH (direct method)</t>
        </is>
      </c>
    </row>
    <row r="37">
      <c r="A37" s="4" t="inlineStr">
        <is>
          <t>Cash collected</t>
        </is>
      </c>
      <c r="C37" s="29">
        <f>'Collections'!C11</f>
        <v/>
      </c>
      <c r="D37" s="29">
        <f>'Collections'!D11</f>
        <v/>
      </c>
      <c r="E37" s="29">
        <f>'Collections'!E11</f>
        <v/>
      </c>
      <c r="F37" s="29">
        <f>'Collections'!F11</f>
        <v/>
      </c>
      <c r="G37" s="29">
        <f>'Collections'!G11</f>
        <v/>
      </c>
      <c r="H37" s="29">
        <f>'Collections'!H11</f>
        <v/>
      </c>
      <c r="I37" s="29">
        <f>'Collections'!I11</f>
        <v/>
      </c>
      <c r="J37" s="29">
        <f>'Collections'!J11</f>
        <v/>
      </c>
      <c r="K37" s="29">
        <f>'Collections'!K11</f>
        <v/>
      </c>
      <c r="L37" s="29">
        <f>'Collections'!L11</f>
        <v/>
      </c>
      <c r="M37" s="29">
        <f>'Collections'!M11</f>
        <v/>
      </c>
      <c r="N37" s="29">
        <f>'Collections'!N11</f>
        <v/>
      </c>
      <c r="O37" s="29">
        <f>'Collections'!O11</f>
        <v/>
      </c>
      <c r="P37" s="29">
        <f>'Collections'!P11</f>
        <v/>
      </c>
      <c r="Q37" s="29">
        <f>'Collections'!Q11</f>
        <v/>
      </c>
      <c r="R37" s="29">
        <f>'Collections'!R11</f>
        <v/>
      </c>
      <c r="S37" s="29">
        <f>'Collections'!S11</f>
        <v/>
      </c>
      <c r="T37" s="29">
        <f>'Collections'!T11</f>
        <v/>
      </c>
      <c r="U37" s="29">
        <f>'Collections'!U11</f>
        <v/>
      </c>
      <c r="V37" s="29">
        <f>'Collections'!V11</f>
        <v/>
      </c>
      <c r="W37" s="29">
        <f>'Collections'!W11</f>
        <v/>
      </c>
      <c r="X37" s="29">
        <f>'Collections'!X11</f>
        <v/>
      </c>
      <c r="Y37" s="29">
        <f>'Collections'!Y11</f>
        <v/>
      </c>
      <c r="Z37" s="29">
        <f>'Collections'!Z11</f>
        <v/>
      </c>
      <c r="AA37" s="29">
        <f>'Collections'!AA11</f>
        <v/>
      </c>
      <c r="AB37" s="29">
        <f>'Collections'!AB11</f>
        <v/>
      </c>
      <c r="AC37" s="29">
        <f>'Collections'!AC11</f>
        <v/>
      </c>
      <c r="AD37" s="29">
        <f>'Collections'!AD11</f>
        <v/>
      </c>
      <c r="AE37" s="29">
        <f>'Collections'!AE11</f>
        <v/>
      </c>
      <c r="AF37" s="29">
        <f>'Collections'!AF11</f>
        <v/>
      </c>
      <c r="AG37" s="29">
        <f>'Collections'!AG11</f>
        <v/>
      </c>
      <c r="AH37" s="29">
        <f>'Collections'!AH11</f>
        <v/>
      </c>
      <c r="AI37" s="29">
        <f>'Collections'!AI11</f>
        <v/>
      </c>
      <c r="AJ37" s="29">
        <f>'Collections'!AJ11</f>
        <v/>
      </c>
      <c r="AK37" s="29">
        <f>'Collections'!AK11</f>
        <v/>
      </c>
      <c r="AL37" s="29">
        <f>'Collections'!AL11</f>
        <v/>
      </c>
    </row>
    <row r="38">
      <c r="A38" s="4" t="inlineStr">
        <is>
          <t>Payroll &amp; labor paid (in month)</t>
        </is>
      </c>
      <c r="C38" s="22">
        <f>-'Payroll'!I37</f>
        <v/>
      </c>
      <c r="D38" s="22">
        <f>-'Payroll'!J37</f>
        <v/>
      </c>
      <c r="E38" s="22">
        <f>-'Payroll'!K37</f>
        <v/>
      </c>
      <c r="F38" s="22">
        <f>-'Payroll'!L37</f>
        <v/>
      </c>
      <c r="G38" s="22">
        <f>-'Payroll'!M37</f>
        <v/>
      </c>
      <c r="H38" s="22">
        <f>-'Payroll'!N37</f>
        <v/>
      </c>
      <c r="I38" s="22">
        <f>-'Payroll'!O37</f>
        <v/>
      </c>
      <c r="J38" s="22">
        <f>-'Payroll'!P37</f>
        <v/>
      </c>
      <c r="K38" s="22">
        <f>-'Payroll'!Q37</f>
        <v/>
      </c>
      <c r="L38" s="22">
        <f>-'Payroll'!R37</f>
        <v/>
      </c>
      <c r="M38" s="22">
        <f>-'Payroll'!S37</f>
        <v/>
      </c>
      <c r="N38" s="22">
        <f>-'Payroll'!T37</f>
        <v/>
      </c>
      <c r="O38" s="22">
        <f>-'Payroll'!U37</f>
        <v/>
      </c>
      <c r="P38" s="22">
        <f>-'Payroll'!V37</f>
        <v/>
      </c>
      <c r="Q38" s="22">
        <f>-'Payroll'!W37</f>
        <v/>
      </c>
      <c r="R38" s="22">
        <f>-'Payroll'!X37</f>
        <v/>
      </c>
      <c r="S38" s="22">
        <f>-'Payroll'!Y37</f>
        <v/>
      </c>
      <c r="T38" s="22">
        <f>-'Payroll'!Z37</f>
        <v/>
      </c>
      <c r="U38" s="22">
        <f>-'Payroll'!AA37</f>
        <v/>
      </c>
      <c r="V38" s="22">
        <f>-'Payroll'!AB37</f>
        <v/>
      </c>
      <c r="W38" s="22">
        <f>-'Payroll'!AC37</f>
        <v/>
      </c>
      <c r="X38" s="22">
        <f>-'Payroll'!AD37</f>
        <v/>
      </c>
      <c r="Y38" s="22">
        <f>-'Payroll'!AE37</f>
        <v/>
      </c>
      <c r="Z38" s="22">
        <f>-'Payroll'!AF37</f>
        <v/>
      </c>
      <c r="AA38" s="22">
        <f>-'Payroll'!AG37</f>
        <v/>
      </c>
      <c r="AB38" s="22">
        <f>-'Payroll'!AH37</f>
        <v/>
      </c>
      <c r="AC38" s="22">
        <f>-'Payroll'!AI37</f>
        <v/>
      </c>
      <c r="AD38" s="22">
        <f>-'Payroll'!AJ37</f>
        <v/>
      </c>
      <c r="AE38" s="22">
        <f>-'Payroll'!AK37</f>
        <v/>
      </c>
      <c r="AF38" s="22">
        <f>-'Payroll'!AL37</f>
        <v/>
      </c>
      <c r="AG38" s="22">
        <f>-'Payroll'!AM37</f>
        <v/>
      </c>
      <c r="AH38" s="22">
        <f>-'Payroll'!AN37</f>
        <v/>
      </c>
      <c r="AI38" s="22">
        <f>-'Payroll'!AO37</f>
        <v/>
      </c>
      <c r="AJ38" s="22">
        <f>-'Payroll'!AP37</f>
        <v/>
      </c>
      <c r="AK38" s="22">
        <f>-'Payroll'!AQ37</f>
        <v/>
      </c>
      <c r="AL38" s="22">
        <f>-'Payroll'!AR37</f>
        <v/>
      </c>
    </row>
    <row r="39">
      <c r="A39" s="4" t="inlineStr">
        <is>
          <t>Vendors: G&amp;A (in month) + patient costs &amp; mileage (net-30)</t>
        </is>
      </c>
      <c r="C39" s="22">
        <f>-C12-C13-0</f>
        <v/>
      </c>
      <c r="D39" s="22">
        <f>-D12-D13-(C10+C11)</f>
        <v/>
      </c>
      <c r="E39" s="22">
        <f>-E12-E13-(D10+D11)</f>
        <v/>
      </c>
      <c r="F39" s="22">
        <f>-F12-F13-(E10+E11)</f>
        <v/>
      </c>
      <c r="G39" s="22">
        <f>-G12-G13-(F10+F11)</f>
        <v/>
      </c>
      <c r="H39" s="22">
        <f>-H12-H13-(G10+G11)</f>
        <v/>
      </c>
      <c r="I39" s="22">
        <f>-I12-I13-(H10+H11)</f>
        <v/>
      </c>
      <c r="J39" s="22">
        <f>-J12-J13-(I10+I11)</f>
        <v/>
      </c>
      <c r="K39" s="22">
        <f>-K12-K13-(J10+J11)</f>
        <v/>
      </c>
      <c r="L39" s="22">
        <f>-L12-L13-(K10+K11)</f>
        <v/>
      </c>
      <c r="M39" s="22">
        <f>-M12-M13-(L10+L11)</f>
        <v/>
      </c>
      <c r="N39" s="22">
        <f>-N12-N13-(M10+M11)</f>
        <v/>
      </c>
      <c r="O39" s="22">
        <f>-O12-O13-(N10+N11)</f>
        <v/>
      </c>
      <c r="P39" s="22">
        <f>-P12-P13-(O10+O11)</f>
        <v/>
      </c>
      <c r="Q39" s="22">
        <f>-Q12-Q13-(P10+P11)</f>
        <v/>
      </c>
      <c r="R39" s="22">
        <f>-R12-R13-(Q10+Q11)</f>
        <v/>
      </c>
      <c r="S39" s="22">
        <f>-S12-S13-(R10+R11)</f>
        <v/>
      </c>
      <c r="T39" s="22">
        <f>-T12-T13-(S10+S11)</f>
        <v/>
      </c>
      <c r="U39" s="22">
        <f>-U12-U13-(T10+T11)</f>
        <v/>
      </c>
      <c r="V39" s="22">
        <f>-V12-V13-(U10+U11)</f>
        <v/>
      </c>
      <c r="W39" s="22">
        <f>-W12-W13-(V10+V11)</f>
        <v/>
      </c>
      <c r="X39" s="22">
        <f>-X12-X13-(W10+W11)</f>
        <v/>
      </c>
      <c r="Y39" s="22">
        <f>-Y12-Y13-(X10+X11)</f>
        <v/>
      </c>
      <c r="Z39" s="22">
        <f>-Z12-Z13-(Y10+Y11)</f>
        <v/>
      </c>
      <c r="AA39" s="22">
        <f>-AA12-AA13-(Z10+Z11)</f>
        <v/>
      </c>
      <c r="AB39" s="22">
        <f>-AB12-AB13-(AA10+AA11)</f>
        <v/>
      </c>
      <c r="AC39" s="22">
        <f>-AC12-AC13-(AB10+AB11)</f>
        <v/>
      </c>
      <c r="AD39" s="22">
        <f>-AD12-AD13-(AC10+AC11)</f>
        <v/>
      </c>
      <c r="AE39" s="22">
        <f>-AE12-AE13-(AD10+AD11)</f>
        <v/>
      </c>
      <c r="AF39" s="22">
        <f>-AF12-AF13-(AE10+AE11)</f>
        <v/>
      </c>
      <c r="AG39" s="22">
        <f>-AG12-AG13-(AF10+AF11)</f>
        <v/>
      </c>
      <c r="AH39" s="22">
        <f>-AH12-AH13-(AG10+AG11)</f>
        <v/>
      </c>
      <c r="AI39" s="22">
        <f>-AI12-AI13-(AH10+AH11)</f>
        <v/>
      </c>
      <c r="AJ39" s="22">
        <f>-AJ12-AJ13-(AI10+AI11)</f>
        <v/>
      </c>
      <c r="AK39" s="22">
        <f>-AK12-AK13-(AJ10+AJ11)</f>
        <v/>
      </c>
      <c r="AL39" s="22">
        <f>-AL12-AL13-(AK10+AK11)</f>
        <v/>
      </c>
    </row>
    <row r="40">
      <c r="A40" s="4" t="inlineStr">
        <is>
          <t>Seller payments (incl. down M1, interest at payoff)</t>
        </is>
      </c>
      <c r="C40" s="22">
        <f>-C20-C21-'Assumptions'!$B$68</f>
        <v/>
      </c>
      <c r="D40" s="22">
        <f>-D20-D21</f>
        <v/>
      </c>
      <c r="E40" s="22">
        <f>-E20-E21</f>
        <v/>
      </c>
      <c r="F40" s="22">
        <f>-F20-F21</f>
        <v/>
      </c>
      <c r="G40" s="22">
        <f>-G20-G21</f>
        <v/>
      </c>
      <c r="H40" s="22">
        <f>-H20-H21</f>
        <v/>
      </c>
      <c r="I40" s="22">
        <f>-I20-I21</f>
        <v/>
      </c>
      <c r="J40" s="22">
        <f>-J20-J21</f>
        <v/>
      </c>
      <c r="K40" s="22">
        <f>-K20-K21</f>
        <v/>
      </c>
      <c r="L40" s="22">
        <f>-L20-L21</f>
        <v/>
      </c>
      <c r="M40" s="22">
        <f>-M20-M21</f>
        <v/>
      </c>
      <c r="N40" s="22">
        <f>-N20-N21</f>
        <v/>
      </c>
      <c r="O40" s="22">
        <f>-O20-O21</f>
        <v/>
      </c>
      <c r="P40" s="22">
        <f>-P20-P21</f>
        <v/>
      </c>
      <c r="Q40" s="22">
        <f>-Q20-Q21</f>
        <v/>
      </c>
      <c r="R40" s="22">
        <f>-R20-R21</f>
        <v/>
      </c>
      <c r="S40" s="22">
        <f>-S20-S21</f>
        <v/>
      </c>
      <c r="T40" s="22">
        <f>-T20-T21</f>
        <v/>
      </c>
      <c r="U40" s="22">
        <f>-U20-U21</f>
        <v/>
      </c>
      <c r="V40" s="22">
        <f>-V20-V21</f>
        <v/>
      </c>
      <c r="W40" s="22">
        <f>-W20-W21</f>
        <v/>
      </c>
      <c r="X40" s="22">
        <f>-X20-X21</f>
        <v/>
      </c>
      <c r="Y40" s="22">
        <f>-Y20-Y21</f>
        <v/>
      </c>
      <c r="Z40" s="22">
        <f>-Z20-Z21</f>
        <v/>
      </c>
      <c r="AA40" s="22">
        <f>-AA20-AA21</f>
        <v/>
      </c>
      <c r="AB40" s="22">
        <f>-AB20-AB21</f>
        <v/>
      </c>
      <c r="AC40" s="22">
        <f>-AC20-AC21</f>
        <v/>
      </c>
      <c r="AD40" s="22">
        <f>-AD20-AD21</f>
        <v/>
      </c>
      <c r="AE40" s="22">
        <f>-AE20-AE21</f>
        <v/>
      </c>
      <c r="AF40" s="22">
        <f>-AF20-AF21</f>
        <v/>
      </c>
      <c r="AG40" s="22">
        <f>-AG20-AG21</f>
        <v/>
      </c>
      <c r="AH40" s="22">
        <f>-AH20-AH21</f>
        <v/>
      </c>
      <c r="AI40" s="22">
        <f>-AI20-AI21</f>
        <v/>
      </c>
      <c r="AJ40" s="22">
        <f>-AJ20-AJ21</f>
        <v/>
      </c>
      <c r="AK40" s="22">
        <f>-AK20-AK21</f>
        <v/>
      </c>
      <c r="AL40" s="22">
        <f>-AL20-AL21</f>
        <v/>
      </c>
    </row>
    <row r="41">
      <c r="A41" s="4" t="inlineStr">
        <is>
          <t>Financing: refi/SBA/balloon-refi proceeds and payments</t>
        </is>
      </c>
      <c r="C41" s="22">
        <f>IF(AND('Assumptions'!$B$76=1,1='Assumptions'!$B$77),'Assumptions'!$B$78,0)-C24+IF(AND('Assumptions'!$B$76=0,1='Assumptions'!$B$73),$B$28,0)-C29+IF(AND('Assumptions'!$B$81=1,1='Assumptions'!$B$82),'Assumptions'!$B$83,0)-C27</f>
        <v/>
      </c>
      <c r="D41" s="22">
        <f>IF(AND('Assumptions'!$B$76=1,2='Assumptions'!$B$77),'Assumptions'!$B$78,0)-D24+IF(AND('Assumptions'!$B$76=0,2='Assumptions'!$B$73),$B$28,0)-D29+IF(AND('Assumptions'!$B$81=1,2='Assumptions'!$B$82),'Assumptions'!$B$83,0)-D27</f>
        <v/>
      </c>
      <c r="E41" s="22">
        <f>IF(AND('Assumptions'!$B$76=1,3='Assumptions'!$B$77),'Assumptions'!$B$78,0)-E24+IF(AND('Assumptions'!$B$76=0,3='Assumptions'!$B$73),$B$28,0)-E29+IF(AND('Assumptions'!$B$81=1,3='Assumptions'!$B$82),'Assumptions'!$B$83,0)-E27</f>
        <v/>
      </c>
      <c r="F41" s="22">
        <f>IF(AND('Assumptions'!$B$76=1,4='Assumptions'!$B$77),'Assumptions'!$B$78,0)-F24+IF(AND('Assumptions'!$B$76=0,4='Assumptions'!$B$73),$B$28,0)-F29+IF(AND('Assumptions'!$B$81=1,4='Assumptions'!$B$82),'Assumptions'!$B$83,0)-F27</f>
        <v/>
      </c>
      <c r="G41" s="22">
        <f>IF(AND('Assumptions'!$B$76=1,5='Assumptions'!$B$77),'Assumptions'!$B$78,0)-G24+IF(AND('Assumptions'!$B$76=0,5='Assumptions'!$B$73),$B$28,0)-G29+IF(AND('Assumptions'!$B$81=1,5='Assumptions'!$B$82),'Assumptions'!$B$83,0)-G27</f>
        <v/>
      </c>
      <c r="H41" s="22">
        <f>IF(AND('Assumptions'!$B$76=1,6='Assumptions'!$B$77),'Assumptions'!$B$78,0)-H24+IF(AND('Assumptions'!$B$76=0,6='Assumptions'!$B$73),$B$28,0)-H29+IF(AND('Assumptions'!$B$81=1,6='Assumptions'!$B$82),'Assumptions'!$B$83,0)-H27</f>
        <v/>
      </c>
      <c r="I41" s="22">
        <f>IF(AND('Assumptions'!$B$76=1,7='Assumptions'!$B$77),'Assumptions'!$B$78,0)-I24+IF(AND('Assumptions'!$B$76=0,7='Assumptions'!$B$73),$B$28,0)-I29+IF(AND('Assumptions'!$B$81=1,7='Assumptions'!$B$82),'Assumptions'!$B$83,0)-I27</f>
        <v/>
      </c>
      <c r="J41" s="22">
        <f>IF(AND('Assumptions'!$B$76=1,8='Assumptions'!$B$77),'Assumptions'!$B$78,0)-J24+IF(AND('Assumptions'!$B$76=0,8='Assumptions'!$B$73),$B$28,0)-J29+IF(AND('Assumptions'!$B$81=1,8='Assumptions'!$B$82),'Assumptions'!$B$83,0)-J27</f>
        <v/>
      </c>
      <c r="K41" s="22">
        <f>IF(AND('Assumptions'!$B$76=1,9='Assumptions'!$B$77),'Assumptions'!$B$78,0)-K24+IF(AND('Assumptions'!$B$76=0,9='Assumptions'!$B$73),$B$28,0)-K29+IF(AND('Assumptions'!$B$81=1,9='Assumptions'!$B$82),'Assumptions'!$B$83,0)-K27</f>
        <v/>
      </c>
      <c r="L41" s="22">
        <f>IF(AND('Assumptions'!$B$76=1,10='Assumptions'!$B$77),'Assumptions'!$B$78,0)-L24+IF(AND('Assumptions'!$B$76=0,10='Assumptions'!$B$73),$B$28,0)-L29+IF(AND('Assumptions'!$B$81=1,10='Assumptions'!$B$82),'Assumptions'!$B$83,0)-L27</f>
        <v/>
      </c>
      <c r="M41" s="22">
        <f>IF(AND('Assumptions'!$B$76=1,11='Assumptions'!$B$77),'Assumptions'!$B$78,0)-M24+IF(AND('Assumptions'!$B$76=0,11='Assumptions'!$B$73),$B$28,0)-M29+IF(AND('Assumptions'!$B$81=1,11='Assumptions'!$B$82),'Assumptions'!$B$83,0)-M27</f>
        <v/>
      </c>
      <c r="N41" s="22">
        <f>IF(AND('Assumptions'!$B$76=1,12='Assumptions'!$B$77),'Assumptions'!$B$78,0)-N24+IF(AND('Assumptions'!$B$76=0,12='Assumptions'!$B$73),$B$28,0)-N29+IF(AND('Assumptions'!$B$81=1,12='Assumptions'!$B$82),'Assumptions'!$B$83,0)-N27</f>
        <v/>
      </c>
      <c r="O41" s="22">
        <f>IF(AND('Assumptions'!$B$76=1,13='Assumptions'!$B$77),'Assumptions'!$B$78,0)-O24+IF(AND('Assumptions'!$B$76=0,13='Assumptions'!$B$73),$B$28,0)-O29+IF(AND('Assumptions'!$B$81=1,13='Assumptions'!$B$82),'Assumptions'!$B$83,0)-O27</f>
        <v/>
      </c>
      <c r="P41" s="22">
        <f>IF(AND('Assumptions'!$B$76=1,14='Assumptions'!$B$77),'Assumptions'!$B$78,0)-P24+IF(AND('Assumptions'!$B$76=0,14='Assumptions'!$B$73),$B$28,0)-P29+IF(AND('Assumptions'!$B$81=1,14='Assumptions'!$B$82),'Assumptions'!$B$83,0)-P27</f>
        <v/>
      </c>
      <c r="Q41" s="22">
        <f>IF(AND('Assumptions'!$B$76=1,15='Assumptions'!$B$77),'Assumptions'!$B$78,0)-Q24+IF(AND('Assumptions'!$B$76=0,15='Assumptions'!$B$73),$B$28,0)-Q29+IF(AND('Assumptions'!$B$81=1,15='Assumptions'!$B$82),'Assumptions'!$B$83,0)-Q27</f>
        <v/>
      </c>
      <c r="R41" s="22">
        <f>IF(AND('Assumptions'!$B$76=1,16='Assumptions'!$B$77),'Assumptions'!$B$78,0)-R24+IF(AND('Assumptions'!$B$76=0,16='Assumptions'!$B$73),$B$28,0)-R29+IF(AND('Assumptions'!$B$81=1,16='Assumptions'!$B$82),'Assumptions'!$B$83,0)-R27</f>
        <v/>
      </c>
      <c r="S41" s="22">
        <f>IF(AND('Assumptions'!$B$76=1,17='Assumptions'!$B$77),'Assumptions'!$B$78,0)-S24+IF(AND('Assumptions'!$B$76=0,17='Assumptions'!$B$73),$B$28,0)-S29+IF(AND('Assumptions'!$B$81=1,17='Assumptions'!$B$82),'Assumptions'!$B$83,0)-S27</f>
        <v/>
      </c>
      <c r="T41" s="22">
        <f>IF(AND('Assumptions'!$B$76=1,18='Assumptions'!$B$77),'Assumptions'!$B$78,0)-T24+IF(AND('Assumptions'!$B$76=0,18='Assumptions'!$B$73),$B$28,0)-T29+IF(AND('Assumptions'!$B$81=1,18='Assumptions'!$B$82),'Assumptions'!$B$83,0)-T27</f>
        <v/>
      </c>
      <c r="U41" s="22">
        <f>IF(AND('Assumptions'!$B$76=1,19='Assumptions'!$B$77),'Assumptions'!$B$78,0)-U24+IF(AND('Assumptions'!$B$76=0,19='Assumptions'!$B$73),$B$28,0)-U29+IF(AND('Assumptions'!$B$81=1,19='Assumptions'!$B$82),'Assumptions'!$B$83,0)-U27</f>
        <v/>
      </c>
      <c r="V41" s="22">
        <f>IF(AND('Assumptions'!$B$76=1,20='Assumptions'!$B$77),'Assumptions'!$B$78,0)-V24+IF(AND('Assumptions'!$B$76=0,20='Assumptions'!$B$73),$B$28,0)-V29+IF(AND('Assumptions'!$B$81=1,20='Assumptions'!$B$82),'Assumptions'!$B$83,0)-V27</f>
        <v/>
      </c>
      <c r="W41" s="22">
        <f>IF(AND('Assumptions'!$B$76=1,21='Assumptions'!$B$77),'Assumptions'!$B$78,0)-W24+IF(AND('Assumptions'!$B$76=0,21='Assumptions'!$B$73),$B$28,0)-W29+IF(AND('Assumptions'!$B$81=1,21='Assumptions'!$B$82),'Assumptions'!$B$83,0)-W27</f>
        <v/>
      </c>
      <c r="X41" s="22">
        <f>IF(AND('Assumptions'!$B$76=1,22='Assumptions'!$B$77),'Assumptions'!$B$78,0)-X24+IF(AND('Assumptions'!$B$76=0,22='Assumptions'!$B$73),$B$28,0)-X29+IF(AND('Assumptions'!$B$81=1,22='Assumptions'!$B$82),'Assumptions'!$B$83,0)-X27</f>
        <v/>
      </c>
      <c r="Y41" s="22">
        <f>IF(AND('Assumptions'!$B$76=1,23='Assumptions'!$B$77),'Assumptions'!$B$78,0)-Y24+IF(AND('Assumptions'!$B$76=0,23='Assumptions'!$B$73),$B$28,0)-Y29+IF(AND('Assumptions'!$B$81=1,23='Assumptions'!$B$82),'Assumptions'!$B$83,0)-Y27</f>
        <v/>
      </c>
      <c r="Z41" s="22">
        <f>IF(AND('Assumptions'!$B$76=1,24='Assumptions'!$B$77),'Assumptions'!$B$78,0)-Z24+IF(AND('Assumptions'!$B$76=0,24='Assumptions'!$B$73),$B$28,0)-Z29+IF(AND('Assumptions'!$B$81=1,24='Assumptions'!$B$82),'Assumptions'!$B$83,0)-Z27</f>
        <v/>
      </c>
      <c r="AA41" s="22">
        <f>IF(AND('Assumptions'!$B$76=1,25='Assumptions'!$B$77),'Assumptions'!$B$78,0)-AA24+IF(AND('Assumptions'!$B$76=0,25='Assumptions'!$B$73),$B$28,0)-AA29+IF(AND('Assumptions'!$B$81=1,25='Assumptions'!$B$82),'Assumptions'!$B$83,0)-AA27</f>
        <v/>
      </c>
      <c r="AB41" s="22">
        <f>IF(AND('Assumptions'!$B$76=1,26='Assumptions'!$B$77),'Assumptions'!$B$78,0)-AB24+IF(AND('Assumptions'!$B$76=0,26='Assumptions'!$B$73),$B$28,0)-AB29+IF(AND('Assumptions'!$B$81=1,26='Assumptions'!$B$82),'Assumptions'!$B$83,0)-AB27</f>
        <v/>
      </c>
      <c r="AC41" s="22">
        <f>IF(AND('Assumptions'!$B$76=1,27='Assumptions'!$B$77),'Assumptions'!$B$78,0)-AC24+IF(AND('Assumptions'!$B$76=0,27='Assumptions'!$B$73),$B$28,0)-AC29+IF(AND('Assumptions'!$B$81=1,27='Assumptions'!$B$82),'Assumptions'!$B$83,0)-AC27</f>
        <v/>
      </c>
      <c r="AD41" s="22">
        <f>IF(AND('Assumptions'!$B$76=1,28='Assumptions'!$B$77),'Assumptions'!$B$78,0)-AD24+IF(AND('Assumptions'!$B$76=0,28='Assumptions'!$B$73),$B$28,0)-AD29+IF(AND('Assumptions'!$B$81=1,28='Assumptions'!$B$82),'Assumptions'!$B$83,0)-AD27</f>
        <v/>
      </c>
      <c r="AE41" s="22">
        <f>IF(AND('Assumptions'!$B$76=1,29='Assumptions'!$B$77),'Assumptions'!$B$78,0)-AE24+IF(AND('Assumptions'!$B$76=0,29='Assumptions'!$B$73),$B$28,0)-AE29+IF(AND('Assumptions'!$B$81=1,29='Assumptions'!$B$82),'Assumptions'!$B$83,0)-AE27</f>
        <v/>
      </c>
      <c r="AF41" s="22">
        <f>IF(AND('Assumptions'!$B$76=1,30='Assumptions'!$B$77),'Assumptions'!$B$78,0)-AF24+IF(AND('Assumptions'!$B$76=0,30='Assumptions'!$B$73),$B$28,0)-AF29+IF(AND('Assumptions'!$B$81=1,30='Assumptions'!$B$82),'Assumptions'!$B$83,0)-AF27</f>
        <v/>
      </c>
      <c r="AG41" s="22">
        <f>IF(AND('Assumptions'!$B$76=1,31='Assumptions'!$B$77),'Assumptions'!$B$78,0)-AG24+IF(AND('Assumptions'!$B$76=0,31='Assumptions'!$B$73),$B$28,0)-AG29+IF(AND('Assumptions'!$B$81=1,31='Assumptions'!$B$82),'Assumptions'!$B$83,0)-AG27</f>
        <v/>
      </c>
      <c r="AH41" s="22">
        <f>IF(AND('Assumptions'!$B$76=1,32='Assumptions'!$B$77),'Assumptions'!$B$78,0)-AH24+IF(AND('Assumptions'!$B$76=0,32='Assumptions'!$B$73),$B$28,0)-AH29+IF(AND('Assumptions'!$B$81=1,32='Assumptions'!$B$82),'Assumptions'!$B$83,0)-AH27</f>
        <v/>
      </c>
      <c r="AI41" s="22">
        <f>IF(AND('Assumptions'!$B$76=1,33='Assumptions'!$B$77),'Assumptions'!$B$78,0)-AI24+IF(AND('Assumptions'!$B$76=0,33='Assumptions'!$B$73),$B$28,0)-AI29+IF(AND('Assumptions'!$B$81=1,33='Assumptions'!$B$82),'Assumptions'!$B$83,0)-AI27</f>
        <v/>
      </c>
      <c r="AJ41" s="22">
        <f>IF(AND('Assumptions'!$B$76=1,34='Assumptions'!$B$77),'Assumptions'!$B$78,0)-AJ24+IF(AND('Assumptions'!$B$76=0,34='Assumptions'!$B$73),$B$28,0)-AJ29+IF(AND('Assumptions'!$B$81=1,34='Assumptions'!$B$82),'Assumptions'!$B$83,0)-AJ27</f>
        <v/>
      </c>
      <c r="AK41" s="22">
        <f>IF(AND('Assumptions'!$B$76=1,35='Assumptions'!$B$77),'Assumptions'!$B$78,0)-AK24+IF(AND('Assumptions'!$B$76=0,35='Assumptions'!$B$73),$B$28,0)-AK29+IF(AND('Assumptions'!$B$81=1,35='Assumptions'!$B$82),'Assumptions'!$B$83,0)-AK27</f>
        <v/>
      </c>
      <c r="AL41" s="22">
        <f>IF(AND('Assumptions'!$B$76=1,36='Assumptions'!$B$77),'Assumptions'!$B$78,0)-AL24+IF(AND('Assumptions'!$B$76=0,36='Assumptions'!$B$73),$B$28,0)-AL29+IF(AND('Assumptions'!$B$81=1,36='Assumptions'!$B$82),'Assumptions'!$B$83,0)-AL27</f>
        <v/>
      </c>
    </row>
    <row r="42">
      <c r="A42" s="12" t="inlineStr">
        <is>
          <t>ENDING CASH</t>
        </is>
      </c>
      <c r="C42" s="23">
        <f>'Assumptions'!$B$88+C37+C38+C39+C40+C41</f>
        <v/>
      </c>
      <c r="D42" s="23">
        <f>C42+D37+D38+D39+D40+D41</f>
        <v/>
      </c>
      <c r="E42" s="23">
        <f>D42+E37+E38+E39+E40+E41</f>
        <v/>
      </c>
      <c r="F42" s="23">
        <f>E42+F37+F38+F39+F40+F41</f>
        <v/>
      </c>
      <c r="G42" s="23">
        <f>F42+G37+G38+G39+G40+G41</f>
        <v/>
      </c>
      <c r="H42" s="23">
        <f>G42+H37+H38+H39+H40+H41</f>
        <v/>
      </c>
      <c r="I42" s="23">
        <f>H42+I37+I38+I39+I40+I41</f>
        <v/>
      </c>
      <c r="J42" s="23">
        <f>I42+J37+J38+J39+J40+J41</f>
        <v/>
      </c>
      <c r="K42" s="23">
        <f>J42+K37+K38+K39+K40+K41</f>
        <v/>
      </c>
      <c r="L42" s="23">
        <f>K42+L37+L38+L39+L40+L41</f>
        <v/>
      </c>
      <c r="M42" s="23">
        <f>L42+M37+M38+M39+M40+M41</f>
        <v/>
      </c>
      <c r="N42" s="23">
        <f>M42+N37+N38+N39+N40+N41</f>
        <v/>
      </c>
      <c r="O42" s="23">
        <f>N42+O37+O38+O39+O40+O41</f>
        <v/>
      </c>
      <c r="P42" s="23">
        <f>O42+P37+P38+P39+P40+P41</f>
        <v/>
      </c>
      <c r="Q42" s="23">
        <f>P42+Q37+Q38+Q39+Q40+Q41</f>
        <v/>
      </c>
      <c r="R42" s="23">
        <f>Q42+R37+R38+R39+R40+R41</f>
        <v/>
      </c>
      <c r="S42" s="23">
        <f>R42+S37+S38+S39+S40+S41</f>
        <v/>
      </c>
      <c r="T42" s="23">
        <f>S42+T37+T38+T39+T40+T41</f>
        <v/>
      </c>
      <c r="U42" s="23">
        <f>T42+U37+U38+U39+U40+U41</f>
        <v/>
      </c>
      <c r="V42" s="23">
        <f>U42+V37+V38+V39+V40+V41</f>
        <v/>
      </c>
      <c r="W42" s="23">
        <f>V42+W37+W38+W39+W40+W41</f>
        <v/>
      </c>
      <c r="X42" s="23">
        <f>W42+X37+X38+X39+X40+X41</f>
        <v/>
      </c>
      <c r="Y42" s="23">
        <f>X42+Y37+Y38+Y39+Y40+Y41</f>
        <v/>
      </c>
      <c r="Z42" s="23">
        <f>Y42+Z37+Z38+Z39+Z40+Z41</f>
        <v/>
      </c>
      <c r="AA42" s="23">
        <f>Z42+AA37+AA38+AA39+AA40+AA41</f>
        <v/>
      </c>
      <c r="AB42" s="23">
        <f>AA42+AB37+AB38+AB39+AB40+AB41</f>
        <v/>
      </c>
      <c r="AC42" s="23">
        <f>AB42+AC37+AC38+AC39+AC40+AC41</f>
        <v/>
      </c>
      <c r="AD42" s="23">
        <f>AC42+AD37+AD38+AD39+AD40+AD41</f>
        <v/>
      </c>
      <c r="AE42" s="23">
        <f>AD42+AE37+AE38+AE39+AE40+AE41</f>
        <v/>
      </c>
      <c r="AF42" s="23">
        <f>AE42+AF37+AF38+AF39+AF40+AF41</f>
        <v/>
      </c>
      <c r="AG42" s="23">
        <f>AF42+AG37+AG38+AG39+AG40+AG41</f>
        <v/>
      </c>
      <c r="AH42" s="23">
        <f>AG42+AH37+AH38+AH39+AH40+AH41</f>
        <v/>
      </c>
      <c r="AI42" s="23">
        <f>AH42+AI37+AI38+AI39+AI40+AI41</f>
        <v/>
      </c>
      <c r="AJ42" s="23">
        <f>AI42+AJ37+AJ38+AJ39+AJ40+AJ41</f>
        <v/>
      </c>
      <c r="AK42" s="23">
        <f>AJ42+AK37+AK38+AK39+AK40+AK41</f>
        <v/>
      </c>
      <c r="AL42" s="23">
        <f>AK42+AL37+AL38+AL39+AL40+AL41</f>
        <v/>
      </c>
    </row>
    <row r="43">
      <c r="A43" s="4" t="inlineStr">
        <is>
          <t>DSCR (EBITDA / recurring debt service)</t>
        </is>
      </c>
      <c r="C43" s="30">
        <f>IF((C24+C29+C27+IF(AND(1&gt;='Assumptions'!$B$70,1&lt;='Assumptions'!$B$71,'Assumptions'!$B$76=0),'Assumptions'!$B$69,0))&gt;0,C14/(C24+C29+C27+IF(AND(1&gt;='Assumptions'!$B$70,1&lt;='Assumptions'!$B$71,'Assumptions'!$B$76=0),'Assumptions'!$B$69,0)),"-")</f>
        <v/>
      </c>
      <c r="D43" s="30">
        <f>IF((D24+D29+D27+IF(AND(2&gt;='Assumptions'!$B$70,2&lt;='Assumptions'!$B$71,'Assumptions'!$B$76=0),'Assumptions'!$B$69,0))&gt;0,D14/(D24+D29+D27+IF(AND(2&gt;='Assumptions'!$B$70,2&lt;='Assumptions'!$B$71,'Assumptions'!$B$76=0),'Assumptions'!$B$69,0)),"-")</f>
        <v/>
      </c>
      <c r="E43" s="30">
        <f>IF((E24+E29+E27+IF(AND(3&gt;='Assumptions'!$B$70,3&lt;='Assumptions'!$B$71,'Assumptions'!$B$76=0),'Assumptions'!$B$69,0))&gt;0,E14/(E24+E29+E27+IF(AND(3&gt;='Assumptions'!$B$70,3&lt;='Assumptions'!$B$71,'Assumptions'!$B$76=0),'Assumptions'!$B$69,0)),"-")</f>
        <v/>
      </c>
      <c r="F43" s="30">
        <f>IF((F24+F29+F27+IF(AND(4&gt;='Assumptions'!$B$70,4&lt;='Assumptions'!$B$71,'Assumptions'!$B$76=0),'Assumptions'!$B$69,0))&gt;0,F14/(F24+F29+F27+IF(AND(4&gt;='Assumptions'!$B$70,4&lt;='Assumptions'!$B$71,'Assumptions'!$B$76=0),'Assumptions'!$B$69,0)),"-")</f>
        <v/>
      </c>
      <c r="G43" s="30">
        <f>IF((G24+G29+G27+IF(AND(5&gt;='Assumptions'!$B$70,5&lt;='Assumptions'!$B$71,'Assumptions'!$B$76=0),'Assumptions'!$B$69,0))&gt;0,G14/(G24+G29+G27+IF(AND(5&gt;='Assumptions'!$B$70,5&lt;='Assumptions'!$B$71,'Assumptions'!$B$76=0),'Assumptions'!$B$69,0)),"-")</f>
        <v/>
      </c>
      <c r="H43" s="30">
        <f>IF((H24+H29+H27+IF(AND(6&gt;='Assumptions'!$B$70,6&lt;='Assumptions'!$B$71,'Assumptions'!$B$76=0),'Assumptions'!$B$69,0))&gt;0,H14/(H24+H29+H27+IF(AND(6&gt;='Assumptions'!$B$70,6&lt;='Assumptions'!$B$71,'Assumptions'!$B$76=0),'Assumptions'!$B$69,0)),"-")</f>
        <v/>
      </c>
      <c r="I43" s="30">
        <f>IF((I24+I29+I27+IF(AND(7&gt;='Assumptions'!$B$70,7&lt;='Assumptions'!$B$71,'Assumptions'!$B$76=0),'Assumptions'!$B$69,0))&gt;0,I14/(I24+I29+I27+IF(AND(7&gt;='Assumptions'!$B$70,7&lt;='Assumptions'!$B$71,'Assumptions'!$B$76=0),'Assumptions'!$B$69,0)),"-")</f>
        <v/>
      </c>
      <c r="J43" s="30">
        <f>IF((J24+J29+J27+IF(AND(8&gt;='Assumptions'!$B$70,8&lt;='Assumptions'!$B$71,'Assumptions'!$B$76=0),'Assumptions'!$B$69,0))&gt;0,J14/(J24+J29+J27+IF(AND(8&gt;='Assumptions'!$B$70,8&lt;='Assumptions'!$B$71,'Assumptions'!$B$76=0),'Assumptions'!$B$69,0)),"-")</f>
        <v/>
      </c>
      <c r="K43" s="30">
        <f>IF((K24+K29+K27+IF(AND(9&gt;='Assumptions'!$B$70,9&lt;='Assumptions'!$B$71,'Assumptions'!$B$76=0),'Assumptions'!$B$69,0))&gt;0,K14/(K24+K29+K27+IF(AND(9&gt;='Assumptions'!$B$70,9&lt;='Assumptions'!$B$71,'Assumptions'!$B$76=0),'Assumptions'!$B$69,0)),"-")</f>
        <v/>
      </c>
      <c r="L43" s="30">
        <f>IF((L24+L29+L27+IF(AND(10&gt;='Assumptions'!$B$70,10&lt;='Assumptions'!$B$71,'Assumptions'!$B$76=0),'Assumptions'!$B$69,0))&gt;0,L14/(L24+L29+L27+IF(AND(10&gt;='Assumptions'!$B$70,10&lt;='Assumptions'!$B$71,'Assumptions'!$B$76=0),'Assumptions'!$B$69,0)),"-")</f>
        <v/>
      </c>
      <c r="M43" s="30">
        <f>IF((M24+M29+M27+IF(AND(11&gt;='Assumptions'!$B$70,11&lt;='Assumptions'!$B$71,'Assumptions'!$B$76=0),'Assumptions'!$B$69,0))&gt;0,M14/(M24+M29+M27+IF(AND(11&gt;='Assumptions'!$B$70,11&lt;='Assumptions'!$B$71,'Assumptions'!$B$76=0),'Assumptions'!$B$69,0)),"-")</f>
        <v/>
      </c>
      <c r="N43" s="30">
        <f>IF((N24+N29+N27+IF(AND(12&gt;='Assumptions'!$B$70,12&lt;='Assumptions'!$B$71,'Assumptions'!$B$76=0),'Assumptions'!$B$69,0))&gt;0,N14/(N24+N29+N27+IF(AND(12&gt;='Assumptions'!$B$70,12&lt;='Assumptions'!$B$71,'Assumptions'!$B$76=0),'Assumptions'!$B$69,0)),"-")</f>
        <v/>
      </c>
      <c r="O43" s="30">
        <f>IF((O24+O29+O27+IF(AND(13&gt;='Assumptions'!$B$70,13&lt;='Assumptions'!$B$71,'Assumptions'!$B$76=0),'Assumptions'!$B$69,0))&gt;0,O14/(O24+O29+O27+IF(AND(13&gt;='Assumptions'!$B$70,13&lt;='Assumptions'!$B$71,'Assumptions'!$B$76=0),'Assumptions'!$B$69,0)),"-")</f>
        <v/>
      </c>
      <c r="P43" s="30">
        <f>IF((P24+P29+P27+IF(AND(14&gt;='Assumptions'!$B$70,14&lt;='Assumptions'!$B$71,'Assumptions'!$B$76=0),'Assumptions'!$B$69,0))&gt;0,P14/(P24+P29+P27+IF(AND(14&gt;='Assumptions'!$B$70,14&lt;='Assumptions'!$B$71,'Assumptions'!$B$76=0),'Assumptions'!$B$69,0)),"-")</f>
        <v/>
      </c>
      <c r="Q43" s="30">
        <f>IF((Q24+Q29+Q27+IF(AND(15&gt;='Assumptions'!$B$70,15&lt;='Assumptions'!$B$71,'Assumptions'!$B$76=0),'Assumptions'!$B$69,0))&gt;0,Q14/(Q24+Q29+Q27+IF(AND(15&gt;='Assumptions'!$B$70,15&lt;='Assumptions'!$B$71,'Assumptions'!$B$76=0),'Assumptions'!$B$69,0)),"-")</f>
        <v/>
      </c>
      <c r="R43" s="30">
        <f>IF((R24+R29+R27+IF(AND(16&gt;='Assumptions'!$B$70,16&lt;='Assumptions'!$B$71,'Assumptions'!$B$76=0),'Assumptions'!$B$69,0))&gt;0,R14/(R24+R29+R27+IF(AND(16&gt;='Assumptions'!$B$70,16&lt;='Assumptions'!$B$71,'Assumptions'!$B$76=0),'Assumptions'!$B$69,0)),"-")</f>
        <v/>
      </c>
      <c r="S43" s="30">
        <f>IF((S24+S29+S27+IF(AND(17&gt;='Assumptions'!$B$70,17&lt;='Assumptions'!$B$71,'Assumptions'!$B$76=0),'Assumptions'!$B$69,0))&gt;0,S14/(S24+S29+S27+IF(AND(17&gt;='Assumptions'!$B$70,17&lt;='Assumptions'!$B$71,'Assumptions'!$B$76=0),'Assumptions'!$B$69,0)),"-")</f>
        <v/>
      </c>
      <c r="T43" s="30">
        <f>IF((T24+T29+T27+IF(AND(18&gt;='Assumptions'!$B$70,18&lt;='Assumptions'!$B$71,'Assumptions'!$B$76=0),'Assumptions'!$B$69,0))&gt;0,T14/(T24+T29+T27+IF(AND(18&gt;='Assumptions'!$B$70,18&lt;='Assumptions'!$B$71,'Assumptions'!$B$76=0),'Assumptions'!$B$69,0)),"-")</f>
        <v/>
      </c>
      <c r="U43" s="30">
        <f>IF((U24+U29+U27+IF(AND(19&gt;='Assumptions'!$B$70,19&lt;='Assumptions'!$B$71,'Assumptions'!$B$76=0),'Assumptions'!$B$69,0))&gt;0,U14/(U24+U29+U27+IF(AND(19&gt;='Assumptions'!$B$70,19&lt;='Assumptions'!$B$71,'Assumptions'!$B$76=0),'Assumptions'!$B$69,0)),"-")</f>
        <v/>
      </c>
      <c r="V43" s="30">
        <f>IF((V24+V29+V27+IF(AND(20&gt;='Assumptions'!$B$70,20&lt;='Assumptions'!$B$71,'Assumptions'!$B$76=0),'Assumptions'!$B$69,0))&gt;0,V14/(V24+V29+V27+IF(AND(20&gt;='Assumptions'!$B$70,20&lt;='Assumptions'!$B$71,'Assumptions'!$B$76=0),'Assumptions'!$B$69,0)),"-")</f>
        <v/>
      </c>
      <c r="W43" s="30">
        <f>IF((W24+W29+W27+IF(AND(21&gt;='Assumptions'!$B$70,21&lt;='Assumptions'!$B$71,'Assumptions'!$B$76=0),'Assumptions'!$B$69,0))&gt;0,W14/(W24+W29+W27+IF(AND(21&gt;='Assumptions'!$B$70,21&lt;='Assumptions'!$B$71,'Assumptions'!$B$76=0),'Assumptions'!$B$69,0)),"-")</f>
        <v/>
      </c>
      <c r="X43" s="30">
        <f>IF((X24+X29+X27+IF(AND(22&gt;='Assumptions'!$B$70,22&lt;='Assumptions'!$B$71,'Assumptions'!$B$76=0),'Assumptions'!$B$69,0))&gt;0,X14/(X24+X29+X27+IF(AND(22&gt;='Assumptions'!$B$70,22&lt;='Assumptions'!$B$71,'Assumptions'!$B$76=0),'Assumptions'!$B$69,0)),"-")</f>
        <v/>
      </c>
      <c r="Y43" s="30">
        <f>IF((Y24+Y29+Y27+IF(AND(23&gt;='Assumptions'!$B$70,23&lt;='Assumptions'!$B$71,'Assumptions'!$B$76=0),'Assumptions'!$B$69,0))&gt;0,Y14/(Y24+Y29+Y27+IF(AND(23&gt;='Assumptions'!$B$70,23&lt;='Assumptions'!$B$71,'Assumptions'!$B$76=0),'Assumptions'!$B$69,0)),"-")</f>
        <v/>
      </c>
      <c r="Z43" s="30">
        <f>IF((Z24+Z29+Z27+IF(AND(24&gt;='Assumptions'!$B$70,24&lt;='Assumptions'!$B$71,'Assumptions'!$B$76=0),'Assumptions'!$B$69,0))&gt;0,Z14/(Z24+Z29+Z27+IF(AND(24&gt;='Assumptions'!$B$70,24&lt;='Assumptions'!$B$71,'Assumptions'!$B$76=0),'Assumptions'!$B$69,0)),"-")</f>
        <v/>
      </c>
      <c r="AA43" s="30">
        <f>IF((AA24+AA29+AA27+IF(AND(25&gt;='Assumptions'!$B$70,25&lt;='Assumptions'!$B$71,'Assumptions'!$B$76=0),'Assumptions'!$B$69,0))&gt;0,AA14/(AA24+AA29+AA27+IF(AND(25&gt;='Assumptions'!$B$70,25&lt;='Assumptions'!$B$71,'Assumptions'!$B$76=0),'Assumptions'!$B$69,0)),"-")</f>
        <v/>
      </c>
      <c r="AB43" s="30">
        <f>IF((AB24+AB29+AB27+IF(AND(26&gt;='Assumptions'!$B$70,26&lt;='Assumptions'!$B$71,'Assumptions'!$B$76=0),'Assumptions'!$B$69,0))&gt;0,AB14/(AB24+AB29+AB27+IF(AND(26&gt;='Assumptions'!$B$70,26&lt;='Assumptions'!$B$71,'Assumptions'!$B$76=0),'Assumptions'!$B$69,0)),"-")</f>
        <v/>
      </c>
      <c r="AC43" s="30">
        <f>IF((AC24+AC29+AC27+IF(AND(27&gt;='Assumptions'!$B$70,27&lt;='Assumptions'!$B$71,'Assumptions'!$B$76=0),'Assumptions'!$B$69,0))&gt;0,AC14/(AC24+AC29+AC27+IF(AND(27&gt;='Assumptions'!$B$70,27&lt;='Assumptions'!$B$71,'Assumptions'!$B$76=0),'Assumptions'!$B$69,0)),"-")</f>
        <v/>
      </c>
      <c r="AD43" s="30">
        <f>IF((AD24+AD29+AD27+IF(AND(28&gt;='Assumptions'!$B$70,28&lt;='Assumptions'!$B$71,'Assumptions'!$B$76=0),'Assumptions'!$B$69,0))&gt;0,AD14/(AD24+AD29+AD27+IF(AND(28&gt;='Assumptions'!$B$70,28&lt;='Assumptions'!$B$71,'Assumptions'!$B$76=0),'Assumptions'!$B$69,0)),"-")</f>
        <v/>
      </c>
      <c r="AE43" s="30">
        <f>IF((AE24+AE29+AE27+IF(AND(29&gt;='Assumptions'!$B$70,29&lt;='Assumptions'!$B$71,'Assumptions'!$B$76=0),'Assumptions'!$B$69,0))&gt;0,AE14/(AE24+AE29+AE27+IF(AND(29&gt;='Assumptions'!$B$70,29&lt;='Assumptions'!$B$71,'Assumptions'!$B$76=0),'Assumptions'!$B$69,0)),"-")</f>
        <v/>
      </c>
      <c r="AF43" s="30">
        <f>IF((AF24+AF29+AF27+IF(AND(30&gt;='Assumptions'!$B$70,30&lt;='Assumptions'!$B$71,'Assumptions'!$B$76=0),'Assumptions'!$B$69,0))&gt;0,AF14/(AF24+AF29+AF27+IF(AND(30&gt;='Assumptions'!$B$70,30&lt;='Assumptions'!$B$71,'Assumptions'!$B$76=0),'Assumptions'!$B$69,0)),"-")</f>
        <v/>
      </c>
      <c r="AG43" s="30">
        <f>IF((AG24+AG29+AG27+IF(AND(31&gt;='Assumptions'!$B$70,31&lt;='Assumptions'!$B$71,'Assumptions'!$B$76=0),'Assumptions'!$B$69,0))&gt;0,AG14/(AG24+AG29+AG27+IF(AND(31&gt;='Assumptions'!$B$70,31&lt;='Assumptions'!$B$71,'Assumptions'!$B$76=0),'Assumptions'!$B$69,0)),"-")</f>
        <v/>
      </c>
      <c r="AH43" s="30">
        <f>IF((AH24+AH29+AH27+IF(AND(32&gt;='Assumptions'!$B$70,32&lt;='Assumptions'!$B$71,'Assumptions'!$B$76=0),'Assumptions'!$B$69,0))&gt;0,AH14/(AH24+AH29+AH27+IF(AND(32&gt;='Assumptions'!$B$70,32&lt;='Assumptions'!$B$71,'Assumptions'!$B$76=0),'Assumptions'!$B$69,0)),"-")</f>
        <v/>
      </c>
      <c r="AI43" s="30">
        <f>IF((AI24+AI29+AI27+IF(AND(33&gt;='Assumptions'!$B$70,33&lt;='Assumptions'!$B$71,'Assumptions'!$B$76=0),'Assumptions'!$B$69,0))&gt;0,AI14/(AI24+AI29+AI27+IF(AND(33&gt;='Assumptions'!$B$70,33&lt;='Assumptions'!$B$71,'Assumptions'!$B$76=0),'Assumptions'!$B$69,0)),"-")</f>
        <v/>
      </c>
      <c r="AJ43" s="30">
        <f>IF((AJ24+AJ29+AJ27+IF(AND(34&gt;='Assumptions'!$B$70,34&lt;='Assumptions'!$B$71,'Assumptions'!$B$76=0),'Assumptions'!$B$69,0))&gt;0,AJ14/(AJ24+AJ29+AJ27+IF(AND(34&gt;='Assumptions'!$B$70,34&lt;='Assumptions'!$B$71,'Assumptions'!$B$76=0),'Assumptions'!$B$69,0)),"-")</f>
        <v/>
      </c>
      <c r="AK43" s="30">
        <f>IF((AK24+AK29+AK27+IF(AND(35&gt;='Assumptions'!$B$70,35&lt;='Assumptions'!$B$71,'Assumptions'!$B$76=0),'Assumptions'!$B$69,0))&gt;0,AK14/(AK24+AK29+AK27+IF(AND(35&gt;='Assumptions'!$B$70,35&lt;='Assumptions'!$B$71,'Assumptions'!$B$76=0),'Assumptions'!$B$69,0)),"-")</f>
        <v/>
      </c>
      <c r="AL43" s="30">
        <f>IF((AL24+AL29+AL27+IF(AND(36&gt;='Assumptions'!$B$70,36&lt;='Assumptions'!$B$71,'Assumptions'!$B$76=0),'Assumptions'!$B$69,0))&gt;0,AL14/(AL24+AL29+AL27+IF(AND(36&gt;='Assumptions'!$B$70,36&lt;='Assumptions'!$B$71,'Assumptions'!$B$76=0),'Assumptions'!$B$69,0)),"-")</f>
        <v/>
      </c>
    </row>
  </sheetData>
  <mergeCells count="7">
    <mergeCell ref="A17:N17"/>
    <mergeCell ref="A6:N6"/>
    <mergeCell ref="A2:N2"/>
    <mergeCell ref="A23:N23"/>
    <mergeCell ref="A32:N32"/>
    <mergeCell ref="A36:N36"/>
    <mergeCell ref="A1:N1"/>
  </mergeCells>
  <conditionalFormatting sqref="C42:AL42">
    <cfRule type="cellIs" priority="1" operator="lessThan" dxfId="0">
      <formula>'Assumptions'!$B$89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O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First 13 weeks (Jul-Sep 2026), the danger zone. Payroll on the 15th/EOM; vendor bills by calendar day; receipts from Collections.</t>
        </is>
      </c>
    </row>
    <row r="4">
      <c r="C4" s="14" t="inlineStr">
        <is>
          <t>W1</t>
        </is>
      </c>
      <c r="D4" s="14" t="inlineStr">
        <is>
          <t>W2</t>
        </is>
      </c>
      <c r="E4" s="14" t="inlineStr">
        <is>
          <t>W3</t>
        </is>
      </c>
      <c r="F4" s="14" t="inlineStr">
        <is>
          <t>W4</t>
        </is>
      </c>
      <c r="G4" s="14" t="inlineStr">
        <is>
          <t>W5</t>
        </is>
      </c>
      <c r="H4" s="14" t="inlineStr">
        <is>
          <t>W6</t>
        </is>
      </c>
      <c r="I4" s="14" t="inlineStr">
        <is>
          <t>W7</t>
        </is>
      </c>
      <c r="J4" s="14" t="inlineStr">
        <is>
          <t>W8</t>
        </is>
      </c>
      <c r="K4" s="14" t="inlineStr">
        <is>
          <t>W9</t>
        </is>
      </c>
      <c r="L4" s="14" t="inlineStr">
        <is>
          <t>W10</t>
        </is>
      </c>
      <c r="M4" s="14" t="inlineStr">
        <is>
          <t>W11</t>
        </is>
      </c>
      <c r="N4" s="14" t="inlineStr">
        <is>
          <t>W12</t>
        </is>
      </c>
      <c r="O4" s="14" t="inlineStr">
        <is>
          <t>W13</t>
        </is>
      </c>
    </row>
    <row r="5">
      <c r="A5" s="4" t="inlineStr">
        <is>
          <t>Cash received</t>
        </is>
      </c>
      <c r="C5" s="29">
        <f>Collections!C16</f>
        <v/>
      </c>
      <c r="D5" s="29">
        <f>Collections!D16</f>
        <v/>
      </c>
      <c r="E5" s="29">
        <f>Collections!E16</f>
        <v/>
      </c>
      <c r="F5" s="29">
        <f>Collections!F16</f>
        <v/>
      </c>
      <c r="G5" s="29">
        <f>Collections!G16</f>
        <v/>
      </c>
      <c r="H5" s="29">
        <f>Collections!H16</f>
        <v/>
      </c>
      <c r="I5" s="29">
        <f>Collections!I16</f>
        <v/>
      </c>
      <c r="J5" s="29">
        <f>Collections!J16</f>
        <v/>
      </c>
      <c r="K5" s="29">
        <f>Collections!K16</f>
        <v/>
      </c>
      <c r="L5" s="29">
        <f>Collections!L16</f>
        <v/>
      </c>
      <c r="M5" s="29">
        <f>Collections!M16</f>
        <v/>
      </c>
      <c r="N5" s="29">
        <f>Collections!N16</f>
        <v/>
      </c>
      <c r="O5" s="29">
        <f>Collections!O16</f>
        <v/>
      </c>
    </row>
    <row r="6">
      <c r="A6" s="4" t="inlineStr">
        <is>
          <t>Payroll (semi-monthly: 15th &amp; EOM)</t>
        </is>
      </c>
      <c r="C6" s="22">
        <f>0</f>
        <v/>
      </c>
      <c r="D6" s="22">
        <f>0</f>
        <v/>
      </c>
      <c r="E6" s="22">
        <f>-'Payroll'!I37/2</f>
        <v/>
      </c>
      <c r="F6" s="22">
        <f>0</f>
        <v/>
      </c>
      <c r="G6" s="22">
        <f>-'Payroll'!I37/2</f>
        <v/>
      </c>
      <c r="H6" s="22">
        <f>0</f>
        <v/>
      </c>
      <c r="I6" s="22">
        <f>-'Payroll'!J37/2</f>
        <v/>
      </c>
      <c r="J6" s="22">
        <f>0</f>
        <v/>
      </c>
      <c r="K6" s="22">
        <f>-'Payroll'!J37/2</f>
        <v/>
      </c>
      <c r="L6" s="22">
        <f>0</f>
        <v/>
      </c>
      <c r="M6" s="22">
        <f>-'Payroll'!K37/2</f>
        <v/>
      </c>
      <c r="N6" s="22">
        <f>0</f>
        <v/>
      </c>
      <c r="O6" s="22">
        <f>-'Payroll'!K37/2</f>
        <v/>
      </c>
    </row>
    <row r="7">
      <c r="A7" s="4" t="inlineStr">
        <is>
          <t>Vendor bills (G&amp;A calendar day)</t>
        </is>
      </c>
      <c r="C7" s="22">
        <f>-SUMPRODUCT((Assumptions!$D$51:$D$64&gt;=1)*(Assumptions!$D$51:$D$64&lt;=8)*(MOD(1-1,Assumptions!$C$51:$C$64)=0)*Assumptions!$B$51:$B$64)</f>
        <v/>
      </c>
      <c r="D7" s="22">
        <f>-SUMPRODUCT((Assumptions!$D$51:$D$64&gt;=9)*(Assumptions!$D$51:$D$64&lt;=15)*(MOD(1-1,Assumptions!$C$51:$C$64)=0)*Assumptions!$B$51:$B$64)</f>
        <v/>
      </c>
      <c r="E7" s="22">
        <f>-SUMPRODUCT((Assumptions!$D$51:$D$64&gt;=16)*(Assumptions!$D$51:$D$64&lt;=23)*(MOD(1-1,Assumptions!$C$51:$C$64)=0)*Assumptions!$B$51:$B$64)</f>
        <v/>
      </c>
      <c r="F7" s="22">
        <f>-SUMPRODUCT((Assumptions!$D$51:$D$64&gt;=24)*(Assumptions!$D$51:$D$64&lt;=30)*(MOD(1-1,Assumptions!$C$51:$C$64)=0)*Assumptions!$B$51:$B$64)</f>
        <v/>
      </c>
      <c r="G7" s="22">
        <f>-SUMPRODUCT((Assumptions!$D$51:$D$64&gt;=1)*(Assumptions!$D$51:$D$64&lt;=6)*(MOD(2-1,Assumptions!$C$51:$C$64)=0)*Assumptions!$B$51:$B$64)</f>
        <v/>
      </c>
      <c r="H7" s="22">
        <f>-SUMPRODUCT((Assumptions!$D$51:$D$64&gt;=7)*(Assumptions!$D$51:$D$64&lt;=12)*(MOD(2-1,Assumptions!$C$51:$C$64)=0)*Assumptions!$B$51:$B$64)</f>
        <v/>
      </c>
      <c r="I7" s="22">
        <f>-SUMPRODUCT((Assumptions!$D$51:$D$64&gt;=13)*(Assumptions!$D$51:$D$64&lt;=18)*(MOD(2-1,Assumptions!$C$51:$C$64)=0)*Assumptions!$B$51:$B$64)</f>
        <v/>
      </c>
      <c r="J7" s="22">
        <f>-SUMPRODUCT((Assumptions!$D$51:$D$64&gt;=19)*(Assumptions!$D$51:$D$64&lt;=24)*(MOD(2-1,Assumptions!$C$51:$C$64)=0)*Assumptions!$B$51:$B$64)</f>
        <v/>
      </c>
      <c r="K7" s="22">
        <f>-SUMPRODUCT((Assumptions!$D$51:$D$64&gt;=25)*(Assumptions!$D$51:$D$64&lt;=30)*(MOD(2-1,Assumptions!$C$51:$C$64)=0)*Assumptions!$B$51:$B$64)</f>
        <v/>
      </c>
      <c r="L7" s="22">
        <f>-SUMPRODUCT((Assumptions!$D$51:$D$64&gt;=1)*(Assumptions!$D$51:$D$64&lt;=8)*(MOD(3-1,Assumptions!$C$51:$C$64)=0)*Assumptions!$B$51:$B$64)</f>
        <v/>
      </c>
      <c r="M7" s="22">
        <f>-SUMPRODUCT((Assumptions!$D$51:$D$64&gt;=9)*(Assumptions!$D$51:$D$64&lt;=15)*(MOD(3-1,Assumptions!$C$51:$C$64)=0)*Assumptions!$B$51:$B$64)</f>
        <v/>
      </c>
      <c r="N7" s="22">
        <f>-SUMPRODUCT((Assumptions!$D$51:$D$64&gt;=16)*(Assumptions!$D$51:$D$64&lt;=23)*(MOD(3-1,Assumptions!$C$51:$C$64)=0)*Assumptions!$B$51:$B$64)</f>
        <v/>
      </c>
      <c r="O7" s="22">
        <f>-SUMPRODUCT((Assumptions!$D$51:$D$64&gt;=24)*(Assumptions!$D$51:$D$64&lt;=30)*(MOD(3-1,Assumptions!$C$51:$C$64)=0)*Assumptions!$B$51:$B$64)</f>
        <v/>
      </c>
    </row>
    <row r="8">
      <c r="A8" s="4" t="inlineStr">
        <is>
          <t>Patient costs + mileage (net-30: paid 15th of following month)</t>
        </is>
      </c>
      <c r="C8" s="22">
        <f>0</f>
        <v/>
      </c>
      <c r="D8" s="22">
        <f>0</f>
        <v/>
      </c>
      <c r="E8" s="22">
        <f>0</f>
        <v/>
      </c>
      <c r="F8" s="22">
        <f>0</f>
        <v/>
      </c>
      <c r="G8" s="22">
        <f>0</f>
        <v/>
      </c>
      <c r="H8" s="22">
        <f>0</f>
        <v/>
      </c>
      <c r="I8" s="22">
        <f>-('Monthly x36'!C10+'Monthly x36'!C11)</f>
        <v/>
      </c>
      <c r="J8" s="22">
        <f>0</f>
        <v/>
      </c>
      <c r="K8" s="22">
        <f>0</f>
        <v/>
      </c>
      <c r="L8" s="22">
        <f>0</f>
        <v/>
      </c>
      <c r="M8" s="22">
        <f>-('Monthly x36'!D10+'Monthly x36'!D11)</f>
        <v/>
      </c>
      <c r="N8" s="22">
        <f>0</f>
        <v/>
      </c>
      <c r="O8" s="22">
        <f>0</f>
        <v/>
      </c>
    </row>
    <row r="9">
      <c r="A9" s="4" t="inlineStr">
        <is>
          <t>Fees (billing/QR, with receipts)</t>
        </is>
      </c>
      <c r="C9" s="22">
        <f>-'Monthly x36'!C13/4</f>
        <v/>
      </c>
      <c r="D9" s="22">
        <f>-'Monthly x36'!C13/4</f>
        <v/>
      </c>
      <c r="E9" s="22">
        <f>-'Monthly x36'!C13/4</f>
        <v/>
      </c>
      <c r="F9" s="22">
        <f>-'Monthly x36'!C13/4</f>
        <v/>
      </c>
      <c r="G9" s="22">
        <f>-'Monthly x36'!D13/5</f>
        <v/>
      </c>
      <c r="H9" s="22">
        <f>-'Monthly x36'!D13/5</f>
        <v/>
      </c>
      <c r="I9" s="22">
        <f>-'Monthly x36'!D13/5</f>
        <v/>
      </c>
      <c r="J9" s="22">
        <f>-'Monthly x36'!D13/5</f>
        <v/>
      </c>
      <c r="K9" s="22">
        <f>-'Monthly x36'!D13/5</f>
        <v/>
      </c>
      <c r="L9" s="22">
        <f>-'Monthly x36'!E13/4</f>
        <v/>
      </c>
      <c r="M9" s="22">
        <f>-'Monthly x36'!E13/4</f>
        <v/>
      </c>
      <c r="N9" s="22">
        <f>-'Monthly x36'!E13/4</f>
        <v/>
      </c>
      <c r="O9" s="22">
        <f>-'Monthly x36'!E13/4</f>
        <v/>
      </c>
    </row>
    <row r="10">
      <c r="A10" s="4" t="inlineStr">
        <is>
          <t>Seller: down payment (wk 1) / Sept payment (wk 11) / refi if ON (wk 13)</t>
        </is>
      </c>
      <c r="C10" s="22">
        <f>-'Assumptions'!$B$68</f>
        <v/>
      </c>
      <c r="D10" s="22">
        <f>0</f>
        <v/>
      </c>
      <c r="E10" s="22">
        <f>0</f>
        <v/>
      </c>
      <c r="F10" s="22">
        <f>0</f>
        <v/>
      </c>
      <c r="G10" s="22">
        <f>0</f>
        <v/>
      </c>
      <c r="H10" s="22">
        <f>0</f>
        <v/>
      </c>
      <c r="I10" s="22">
        <f>0</f>
        <v/>
      </c>
      <c r="J10" s="22">
        <f>0</f>
        <v/>
      </c>
      <c r="K10" s="22">
        <f>0</f>
        <v/>
      </c>
      <c r="L10" s="22">
        <f>0</f>
        <v/>
      </c>
      <c r="M10" s="22">
        <f>-IF(AND('Assumptions'!$B$76=0,'Assumptions'!$B$70&lt;=3),'Assumptions'!$B$69,0)</f>
        <v/>
      </c>
      <c r="N10" s="22">
        <f>0</f>
        <v/>
      </c>
      <c r="O10" s="22">
        <f>IF('Assumptions'!$B$76=1,'Assumptions'!$B$78-('Monthly x36'!E18+SUM('Monthly x36'!$C$19:$E$19)),0)</f>
        <v/>
      </c>
    </row>
    <row r="11">
      <c r="A11" s="4" t="inlineStr">
        <is>
          <t>SBA proceeds (if toggled, lands 1st week of funding month)</t>
        </is>
      </c>
      <c r="C11" s="22">
        <f>IF(OR(AND('Assumptions'!$B$81=1,'Assumptions'!$B$82=1,1=1),AND('Assumptions'!$B$81=1,'Assumptions'!$B$82=2,1=5),AND('Assumptions'!$B$81=1,'Assumptions'!$B$82=3,1=10)),'Assumptions'!$B$83,0)</f>
        <v/>
      </c>
      <c r="D11" s="22">
        <f>IF(OR(AND('Assumptions'!$B$81=1,'Assumptions'!$B$82=1,2=1),AND('Assumptions'!$B$81=1,'Assumptions'!$B$82=2,2=5),AND('Assumptions'!$B$81=1,'Assumptions'!$B$82=3,2=10)),'Assumptions'!$B$83,0)</f>
        <v/>
      </c>
      <c r="E11" s="22">
        <f>IF(OR(AND('Assumptions'!$B$81=1,'Assumptions'!$B$82=1,3=1),AND('Assumptions'!$B$81=1,'Assumptions'!$B$82=2,3=5),AND('Assumptions'!$B$81=1,'Assumptions'!$B$82=3,3=10)),'Assumptions'!$B$83,0)</f>
        <v/>
      </c>
      <c r="F11" s="22">
        <f>IF(OR(AND('Assumptions'!$B$81=1,'Assumptions'!$B$82=1,4=1),AND('Assumptions'!$B$81=1,'Assumptions'!$B$82=2,4=5),AND('Assumptions'!$B$81=1,'Assumptions'!$B$82=3,4=10)),'Assumptions'!$B$83,0)</f>
        <v/>
      </c>
      <c r="G11" s="22">
        <f>IF(OR(AND('Assumptions'!$B$81=1,'Assumptions'!$B$82=1,5=1),AND('Assumptions'!$B$81=1,'Assumptions'!$B$82=2,5=5),AND('Assumptions'!$B$81=1,'Assumptions'!$B$82=3,5=10)),'Assumptions'!$B$83,0)</f>
        <v/>
      </c>
      <c r="H11" s="22">
        <f>IF(OR(AND('Assumptions'!$B$81=1,'Assumptions'!$B$82=1,6=1),AND('Assumptions'!$B$81=1,'Assumptions'!$B$82=2,6=5),AND('Assumptions'!$B$81=1,'Assumptions'!$B$82=3,6=10)),'Assumptions'!$B$83,0)</f>
        <v/>
      </c>
      <c r="I11" s="22">
        <f>IF(OR(AND('Assumptions'!$B$81=1,'Assumptions'!$B$82=1,7=1),AND('Assumptions'!$B$81=1,'Assumptions'!$B$82=2,7=5),AND('Assumptions'!$B$81=1,'Assumptions'!$B$82=3,7=10)),'Assumptions'!$B$83,0)</f>
        <v/>
      </c>
      <c r="J11" s="22">
        <f>IF(OR(AND('Assumptions'!$B$81=1,'Assumptions'!$B$82=1,8=1),AND('Assumptions'!$B$81=1,'Assumptions'!$B$82=2,8=5),AND('Assumptions'!$B$81=1,'Assumptions'!$B$82=3,8=10)),'Assumptions'!$B$83,0)</f>
        <v/>
      </c>
      <c r="K11" s="22">
        <f>IF(OR(AND('Assumptions'!$B$81=1,'Assumptions'!$B$82=1,9=1),AND('Assumptions'!$B$81=1,'Assumptions'!$B$82=2,9=5),AND('Assumptions'!$B$81=1,'Assumptions'!$B$82=3,9=10)),'Assumptions'!$B$83,0)</f>
        <v/>
      </c>
      <c r="L11" s="22">
        <f>IF(OR(AND('Assumptions'!$B$81=1,'Assumptions'!$B$82=1,10=1),AND('Assumptions'!$B$81=1,'Assumptions'!$B$82=2,10=5),AND('Assumptions'!$B$81=1,'Assumptions'!$B$82=3,10=10)),'Assumptions'!$B$83,0)</f>
        <v/>
      </c>
      <c r="M11" s="22">
        <f>IF(OR(AND('Assumptions'!$B$81=1,'Assumptions'!$B$82=1,11=1),AND('Assumptions'!$B$81=1,'Assumptions'!$B$82=2,11=5),AND('Assumptions'!$B$81=1,'Assumptions'!$B$82=3,11=10)),'Assumptions'!$B$83,0)</f>
        <v/>
      </c>
      <c r="N11" s="22">
        <f>IF(OR(AND('Assumptions'!$B$81=1,'Assumptions'!$B$82=1,12=1),AND('Assumptions'!$B$81=1,'Assumptions'!$B$82=2,12=5),AND('Assumptions'!$B$81=1,'Assumptions'!$B$82=3,12=10)),'Assumptions'!$B$83,0)</f>
        <v/>
      </c>
      <c r="O11" s="22">
        <f>IF(OR(AND('Assumptions'!$B$81=1,'Assumptions'!$B$82=1,13=1),AND('Assumptions'!$B$81=1,'Assumptions'!$B$82=2,13=5),AND('Assumptions'!$B$81=1,'Assumptions'!$B$82=3,13=10)),'Assumptions'!$B$83,0)</f>
        <v/>
      </c>
    </row>
    <row r="12">
      <c r="A12" s="12" t="inlineStr">
        <is>
          <t>ENDING CASH</t>
        </is>
      </c>
      <c r="C12" s="23">
        <f>'Assumptions'!$B$88+C5+C6+C7+C8+C9+C10+C11</f>
        <v/>
      </c>
      <c r="D12" s="23">
        <f>C12+D5+D6+D7+D8+D9+D10+D11</f>
        <v/>
      </c>
      <c r="E12" s="23">
        <f>D12+E5+E6+E7+E8+E9+E10+E11</f>
        <v/>
      </c>
      <c r="F12" s="23">
        <f>E12+F5+F6+F7+F8+F9+F10+F11</f>
        <v/>
      </c>
      <c r="G12" s="23">
        <f>F12+G5+G6+G7+G8+G9+G10+G11</f>
        <v/>
      </c>
      <c r="H12" s="23">
        <f>G12+H5+H6+H7+H8+H9+H10+H11</f>
        <v/>
      </c>
      <c r="I12" s="23">
        <f>H12+I5+I6+I7+I8+I9+I10+I11</f>
        <v/>
      </c>
      <c r="J12" s="23">
        <f>I12+J5+J6+J7+J8+J9+J10+J11</f>
        <v/>
      </c>
      <c r="K12" s="23">
        <f>J12+K5+K6+K7+K8+K9+K10+K11</f>
        <v/>
      </c>
      <c r="L12" s="23">
        <f>K12+L5+L6+L7+L8+L9+L10+L11</f>
        <v/>
      </c>
      <c r="M12" s="23">
        <f>L12+M5+M6+M7+M8+M9+M10+M11</f>
        <v/>
      </c>
      <c r="N12" s="23">
        <f>M12+N5+N6+N7+N8+N9+N10+N11</f>
        <v/>
      </c>
      <c r="O12" s="23">
        <f>N12+O5+O6+O7+O8+O9+O10+O11</f>
        <v/>
      </c>
    </row>
    <row r="14">
      <c r="A14" s="9" t="inlineStr">
        <is>
          <t>Note: weekly receipts spread each month's collections evenly across its weeks; payroll halves on the 15th/EOM; vendor hits per the Assumptions bill calendar. Precision is operational, not accounting-grade.</t>
        </is>
      </c>
    </row>
  </sheetData>
  <mergeCells count="2">
    <mergeCell ref="A2:N2"/>
    <mergeCell ref="A1:N1"/>
  </mergeCells>
  <conditionalFormatting sqref="C12:O12">
    <cfRule type="cellIs" priority="1" operator="lessThan" dxfId="0">
      <formula>'Assumptions'!$B$89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F8F00"/>
    <outlinePr summaryBelow="1" summaryRight="1"/>
    <pageSetUpPr/>
  </sheetPr>
  <dimension ref="A1:N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Enter ACTUALS monthly (blue cells); variance computes automatically. First 12 months.</t>
        </is>
      </c>
    </row>
    <row r="4">
      <c r="A4" s="12" t="inlineStr"/>
      <c r="C4" s="14" t="inlineStr">
        <is>
          <t>Jul-26</t>
        </is>
      </c>
      <c r="D4" s="14" t="inlineStr">
        <is>
          <t>Aug-26</t>
        </is>
      </c>
      <c r="E4" s="14" t="inlineStr">
        <is>
          <t>Sep-26</t>
        </is>
      </c>
      <c r="F4" s="14" t="inlineStr">
        <is>
          <t>Oct-26</t>
        </is>
      </c>
      <c r="G4" s="14" t="inlineStr">
        <is>
          <t>Nov-26</t>
        </is>
      </c>
      <c r="H4" s="14" t="inlineStr">
        <is>
          <t>Dec-26</t>
        </is>
      </c>
      <c r="I4" s="14" t="inlineStr">
        <is>
          <t>Jan-27</t>
        </is>
      </c>
      <c r="J4" s="14" t="inlineStr">
        <is>
          <t>Feb-27</t>
        </is>
      </c>
      <c r="K4" s="14" t="inlineStr">
        <is>
          <t>Mar-27</t>
        </is>
      </c>
      <c r="L4" s="14" t="inlineStr">
        <is>
          <t>Apr-27</t>
        </is>
      </c>
      <c r="M4" s="14" t="inlineStr">
        <is>
          <t>May-27</t>
        </is>
      </c>
      <c r="N4" s="14" t="inlineStr">
        <is>
          <t>Jun-27</t>
        </is>
      </c>
    </row>
    <row r="5">
      <c r="A5" s="12" t="inlineStr">
        <is>
          <t>Net revenue - BUDGET</t>
        </is>
      </c>
      <c r="C5" s="29">
        <f>'Monthly x36'!C8</f>
        <v/>
      </c>
      <c r="D5" s="29">
        <f>'Monthly x36'!D8</f>
        <v/>
      </c>
      <c r="E5" s="29">
        <f>'Monthly x36'!E8</f>
        <v/>
      </c>
      <c r="F5" s="29">
        <f>'Monthly x36'!F8</f>
        <v/>
      </c>
      <c r="G5" s="29">
        <f>'Monthly x36'!G8</f>
        <v/>
      </c>
      <c r="H5" s="29">
        <f>'Monthly x36'!H8</f>
        <v/>
      </c>
      <c r="I5" s="29">
        <f>'Monthly x36'!I8</f>
        <v/>
      </c>
      <c r="J5" s="29">
        <f>'Monthly x36'!J8</f>
        <v/>
      </c>
      <c r="K5" s="29">
        <f>'Monthly x36'!K8</f>
        <v/>
      </c>
      <c r="L5" s="29">
        <f>'Monthly x36'!L8</f>
        <v/>
      </c>
      <c r="M5" s="29">
        <f>'Monthly x36'!M8</f>
        <v/>
      </c>
      <c r="N5" s="29">
        <f>'Monthly x36'!N8</f>
        <v/>
      </c>
    </row>
    <row r="6">
      <c r="A6" s="4" t="inlineStr">
        <is>
          <t>Net revenue - ACTUAL  [enter]</t>
        </is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</row>
    <row r="7">
      <c r="A7" s="9" t="inlineStr">
        <is>
          <t>Net revenue - variance</t>
        </is>
      </c>
      <c r="C7" s="22">
        <f>IF(C6="","",C6-C5)</f>
        <v/>
      </c>
      <c r="D7" s="22">
        <f>IF(D6="","",D6-D5)</f>
        <v/>
      </c>
      <c r="E7" s="22">
        <f>IF(E6="","",E6-E5)</f>
        <v/>
      </c>
      <c r="F7" s="22">
        <f>IF(F6="","",F6-F5)</f>
        <v/>
      </c>
      <c r="G7" s="22">
        <f>IF(G6="","",G6-G5)</f>
        <v/>
      </c>
      <c r="H7" s="22">
        <f>IF(H6="","",H6-H5)</f>
        <v/>
      </c>
      <c r="I7" s="22">
        <f>IF(I6="","",I6-I5)</f>
        <v/>
      </c>
      <c r="J7" s="22">
        <f>IF(J6="","",J6-J5)</f>
        <v/>
      </c>
      <c r="K7" s="22">
        <f>IF(K6="","",K6-K5)</f>
        <v/>
      </c>
      <c r="L7" s="22">
        <f>IF(L6="","",L6-L5)</f>
        <v/>
      </c>
      <c r="M7" s="22">
        <f>IF(M6="","",M6-M5)</f>
        <v/>
      </c>
      <c r="N7" s="22">
        <f>IF(N6="","",N6-N5)</f>
        <v/>
      </c>
    </row>
    <row r="9">
      <c r="A9" s="12" t="inlineStr">
        <is>
          <t>Total labor - BUDGET</t>
        </is>
      </c>
      <c r="C9" s="29">
        <f>'Monthly x36'!C9</f>
        <v/>
      </c>
      <c r="D9" s="29">
        <f>'Monthly x36'!D9</f>
        <v/>
      </c>
      <c r="E9" s="29">
        <f>'Monthly x36'!E9</f>
        <v/>
      </c>
      <c r="F9" s="29">
        <f>'Monthly x36'!F9</f>
        <v/>
      </c>
      <c r="G9" s="29">
        <f>'Monthly x36'!G9</f>
        <v/>
      </c>
      <c r="H9" s="29">
        <f>'Monthly x36'!H9</f>
        <v/>
      </c>
      <c r="I9" s="29">
        <f>'Monthly x36'!I9</f>
        <v/>
      </c>
      <c r="J9" s="29">
        <f>'Monthly x36'!J9</f>
        <v/>
      </c>
      <c r="K9" s="29">
        <f>'Monthly x36'!K9</f>
        <v/>
      </c>
      <c r="L9" s="29">
        <f>'Monthly x36'!L9</f>
        <v/>
      </c>
      <c r="M9" s="29">
        <f>'Monthly x36'!M9</f>
        <v/>
      </c>
      <c r="N9" s="29">
        <f>'Monthly x36'!N9</f>
        <v/>
      </c>
    </row>
    <row r="10">
      <c r="A10" s="4" t="inlineStr">
        <is>
          <t>Total labor - ACTUAL  [enter]</t>
        </is>
      </c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</row>
    <row r="11">
      <c r="A11" s="9" t="inlineStr">
        <is>
          <t>Total labor - variance</t>
        </is>
      </c>
      <c r="C11" s="22">
        <f>IF(C10="","",C10-C9)</f>
        <v/>
      </c>
      <c r="D11" s="22">
        <f>IF(D10="","",D10-D9)</f>
        <v/>
      </c>
      <c r="E11" s="22">
        <f>IF(E10="","",E10-E9)</f>
        <v/>
      </c>
      <c r="F11" s="22">
        <f>IF(F10="","",F10-F9)</f>
        <v/>
      </c>
      <c r="G11" s="22">
        <f>IF(G10="","",G10-G9)</f>
        <v/>
      </c>
      <c r="H11" s="22">
        <f>IF(H10="","",H10-H9)</f>
        <v/>
      </c>
      <c r="I11" s="22">
        <f>IF(I10="","",I10-I9)</f>
        <v/>
      </c>
      <c r="J11" s="22">
        <f>IF(J10="","",J10-J9)</f>
        <v/>
      </c>
      <c r="K11" s="22">
        <f>IF(K10="","",K10-K9)</f>
        <v/>
      </c>
      <c r="L11" s="22">
        <f>IF(L10="","",L10-L9)</f>
        <v/>
      </c>
      <c r="M11" s="22">
        <f>IF(M10="","",M10-M9)</f>
        <v/>
      </c>
      <c r="N11" s="22">
        <f>IF(N10="","",N10-N9)</f>
        <v/>
      </c>
    </row>
    <row r="13">
      <c r="A13" s="12" t="inlineStr">
        <is>
          <t>EBITDA - BUDGET</t>
        </is>
      </c>
      <c r="C13" s="29">
        <f>'Monthly x36'!C14</f>
        <v/>
      </c>
      <c r="D13" s="29">
        <f>'Monthly x36'!D14</f>
        <v/>
      </c>
      <c r="E13" s="29">
        <f>'Monthly x36'!E14</f>
        <v/>
      </c>
      <c r="F13" s="29">
        <f>'Monthly x36'!F14</f>
        <v/>
      </c>
      <c r="G13" s="29">
        <f>'Monthly x36'!G14</f>
        <v/>
      </c>
      <c r="H13" s="29">
        <f>'Monthly x36'!H14</f>
        <v/>
      </c>
      <c r="I13" s="29">
        <f>'Monthly x36'!I14</f>
        <v/>
      </c>
      <c r="J13" s="29">
        <f>'Monthly x36'!J14</f>
        <v/>
      </c>
      <c r="K13" s="29">
        <f>'Monthly x36'!K14</f>
        <v/>
      </c>
      <c r="L13" s="29">
        <f>'Monthly x36'!L14</f>
        <v/>
      </c>
      <c r="M13" s="29">
        <f>'Monthly x36'!M14</f>
        <v/>
      </c>
      <c r="N13" s="29">
        <f>'Monthly x36'!N14</f>
        <v/>
      </c>
    </row>
    <row r="14">
      <c r="A14" s="4" t="inlineStr">
        <is>
          <t>EBITDA - ACTUAL  [enter]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>
      <c r="A15" s="9" t="inlineStr">
        <is>
          <t>EBITDA - variance</t>
        </is>
      </c>
      <c r="C15" s="22">
        <f>IF(C14="","",C14-C13)</f>
        <v/>
      </c>
      <c r="D15" s="22">
        <f>IF(D14="","",D14-D13)</f>
        <v/>
      </c>
      <c r="E15" s="22">
        <f>IF(E14="","",E14-E13)</f>
        <v/>
      </c>
      <c r="F15" s="22">
        <f>IF(F14="","",F14-F13)</f>
        <v/>
      </c>
      <c r="G15" s="22">
        <f>IF(G14="","",G14-G13)</f>
        <v/>
      </c>
      <c r="H15" s="22">
        <f>IF(H14="","",H14-H13)</f>
        <v/>
      </c>
      <c r="I15" s="22">
        <f>IF(I14="","",I14-I13)</f>
        <v/>
      </c>
      <c r="J15" s="22">
        <f>IF(J14="","",J14-J13)</f>
        <v/>
      </c>
      <c r="K15" s="22">
        <f>IF(K14="","",K14-K13)</f>
        <v/>
      </c>
      <c r="L15" s="22">
        <f>IF(L14="","",L14-L13)</f>
        <v/>
      </c>
      <c r="M15" s="22">
        <f>IF(M14="","",M14-M13)</f>
        <v/>
      </c>
      <c r="N15" s="22">
        <f>IF(N14="","",N14-N13)</f>
        <v/>
      </c>
    </row>
    <row r="17">
      <c r="A17" s="12" t="inlineStr">
        <is>
          <t>Ending cash - BUDGET</t>
        </is>
      </c>
      <c r="C17" s="29">
        <f>'Monthly x36'!C42</f>
        <v/>
      </c>
      <c r="D17" s="29">
        <f>'Monthly x36'!D42</f>
        <v/>
      </c>
      <c r="E17" s="29">
        <f>'Monthly x36'!E42</f>
        <v/>
      </c>
      <c r="F17" s="29">
        <f>'Monthly x36'!F42</f>
        <v/>
      </c>
      <c r="G17" s="29">
        <f>'Monthly x36'!G42</f>
        <v/>
      </c>
      <c r="H17" s="29">
        <f>'Monthly x36'!H42</f>
        <v/>
      </c>
      <c r="I17" s="29">
        <f>'Monthly x36'!I42</f>
        <v/>
      </c>
      <c r="J17" s="29">
        <f>'Monthly x36'!J42</f>
        <v/>
      </c>
      <c r="K17" s="29">
        <f>'Monthly x36'!K42</f>
        <v/>
      </c>
      <c r="L17" s="29">
        <f>'Monthly x36'!L42</f>
        <v/>
      </c>
      <c r="M17" s="29">
        <f>'Monthly x36'!M42</f>
        <v/>
      </c>
      <c r="N17" s="29">
        <f>'Monthly x36'!N42</f>
        <v/>
      </c>
    </row>
    <row r="18">
      <c r="A18" s="4" t="inlineStr">
        <is>
          <t>Ending cash - ACTUAL  [enter]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>
      <c r="A19" s="9" t="inlineStr">
        <is>
          <t>Ending cash - variance</t>
        </is>
      </c>
      <c r="C19" s="22">
        <f>IF(C18="","",C18-C17)</f>
        <v/>
      </c>
      <c r="D19" s="22">
        <f>IF(D18="","",D18-D17)</f>
        <v/>
      </c>
      <c r="E19" s="22">
        <f>IF(E18="","",E18-E17)</f>
        <v/>
      </c>
      <c r="F19" s="22">
        <f>IF(F18="","",F18-F17)</f>
        <v/>
      </c>
      <c r="G19" s="22">
        <f>IF(G18="","",G18-G17)</f>
        <v/>
      </c>
      <c r="H19" s="22">
        <f>IF(H18="","",H18-H17)</f>
        <v/>
      </c>
      <c r="I19" s="22">
        <f>IF(I18="","",I18-I17)</f>
        <v/>
      </c>
      <c r="J19" s="22">
        <f>IF(J18="","",J18-J17)</f>
        <v/>
      </c>
      <c r="K19" s="22">
        <f>IF(K18="","",K18-K17)</f>
        <v/>
      </c>
      <c r="L19" s="22">
        <f>IF(L18="","",L18-L17)</f>
        <v/>
      </c>
      <c r="M19" s="22">
        <f>IF(M18="","",M18-M17)</f>
        <v/>
      </c>
      <c r="N19" s="22">
        <f>IF(N18="","",N18-N17)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38135"/>
    <outlinePr summaryBelow="1" summaryRight="1"/>
    <pageSetUpPr/>
  </sheetPr>
  <dimension ref="A1:N26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50" customWidth="1" min="3" max="3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Jim Bullard - position, debt stack, distributable view. Links to the live model.</t>
        </is>
      </c>
    </row>
    <row r="4">
      <c r="A4" s="3" t="inlineStr">
        <is>
          <t>CAP TABLE</t>
        </is>
      </c>
    </row>
    <row r="5">
      <c r="A5" s="4" t="inlineStr">
        <is>
          <t>Geoff Schackmann (Manager, direct)</t>
        </is>
      </c>
      <c r="B5" s="26">
        <f>0.399</f>
        <v/>
      </c>
      <c r="C5" s="9" t="inlineStr">
        <is>
          <t>sole 20%+ owner; personal guaranty</t>
        </is>
      </c>
    </row>
    <row r="6">
      <c r="A6" s="4" t="inlineStr">
        <is>
          <t>James E. Bullard</t>
        </is>
      </c>
      <c r="B6" s="26">
        <f>0.195</f>
        <v/>
      </c>
      <c r="C6" s="9" t="inlineStr">
        <is>
          <t>$195,000 cash; passive; no SBA PG</t>
        </is>
      </c>
    </row>
    <row r="7">
      <c r="A7" s="4" t="inlineStr">
        <is>
          <t>Silas Shelton / Dana Davenport / Brad Woodard</t>
        </is>
      </c>
      <c r="B7" s="26">
        <f>0.399</f>
        <v/>
      </c>
      <c r="C7" s="9" t="inlineStr">
        <is>
          <t>13.3% each, restricted/vesting</t>
        </is>
      </c>
    </row>
    <row r="8">
      <c r="A8" s="4" t="inlineStr">
        <is>
          <t>Unissued pool</t>
        </is>
      </c>
      <c r="B8" s="26">
        <f>0.007</f>
        <v/>
      </c>
      <c r="C8" s="9" t="inlineStr">
        <is>
          <t>reserved</t>
        </is>
      </c>
    </row>
    <row r="10">
      <c r="A10" s="3" t="inlineStr">
        <is>
          <t>DEBT STACK (live)</t>
        </is>
      </c>
    </row>
    <row r="11">
      <c r="A11" s="4" t="inlineStr">
        <is>
          <t>Seller note balance - end of M6 (Dec-26)</t>
        </is>
      </c>
      <c r="B11" s="29">
        <f>'Monthly x36'!H22</f>
        <v/>
      </c>
    </row>
    <row r="12">
      <c r="A12" s="4" t="inlineStr">
        <is>
          <t>Seller fully paid by</t>
        </is>
      </c>
      <c r="B12" s="31">
        <f>IF('Assumptions'!$B$76=1,"Sep-26 (refi)","Jan-27 (balloon)")</f>
        <v/>
      </c>
    </row>
    <row r="13">
      <c r="A13" s="4" t="inlineStr">
        <is>
          <t>Refi balance - end of Yr 1 (if toggled)</t>
        </is>
      </c>
      <c r="B13" s="29">
        <f>'Monthly x36'!N25</f>
        <v/>
      </c>
    </row>
    <row r="15">
      <c r="A15" s="3" t="inlineStr">
        <is>
          <t>YEAR-1 RESULTS (live)</t>
        </is>
      </c>
    </row>
    <row r="16">
      <c r="A16" s="4" t="inlineStr">
        <is>
          <t>FY1 net revenue</t>
        </is>
      </c>
      <c r="B16" s="29">
        <f>SUM('Monthly x36'!C8:N8)</f>
        <v/>
      </c>
    </row>
    <row r="17">
      <c r="A17" s="4" t="inlineStr">
        <is>
          <t>FY1 EBITDA</t>
        </is>
      </c>
      <c r="B17" s="29">
        <f>SUM('Monthly x36'!C14:N14)</f>
        <v/>
      </c>
    </row>
    <row r="18">
      <c r="A18" s="4" t="inlineStr">
        <is>
          <t>FY1 net income</t>
        </is>
      </c>
      <c r="B18" s="29">
        <f>SUM('Monthly x36'!C35:N35)</f>
        <v/>
      </c>
    </row>
    <row r="19">
      <c r="A19" s="4" t="inlineStr">
        <is>
          <t>Cash at end of FY1</t>
        </is>
      </c>
      <c r="B19" s="29">
        <f>'Monthly x36'!N42</f>
        <v/>
      </c>
    </row>
    <row r="21">
      <c r="A21" s="3" t="inlineStr">
        <is>
          <t>DISTRIBUTABLE VIEW (S-corp: strictly pro-rata)</t>
        </is>
      </c>
    </row>
    <row r="22">
      <c r="A22" s="4" t="inlineStr">
        <is>
          <t>Estimated tax distribution rate</t>
        </is>
      </c>
      <c r="B22" s="6" t="n">
        <v>0.3</v>
      </c>
    </row>
    <row r="23">
      <c r="A23" s="4" t="inlineStr">
        <is>
          <t>FY1 tax distributions (all members)</t>
        </is>
      </c>
      <c r="B23" s="22">
        <f>MAX(0,SUM('Monthly x36'!C35:N35))*$B$22</f>
        <v/>
      </c>
    </row>
    <row r="24">
      <c r="A24" s="4" t="inlineStr">
        <is>
          <t xml:space="preserve">  Jim's 19.5% share</t>
        </is>
      </c>
      <c r="B24" s="22">
        <f>$B$23*0.195</f>
        <v/>
      </c>
    </row>
    <row r="25">
      <c r="A25" s="4" t="inlineStr">
        <is>
          <t>Cash above floor at FY1 end (discretionary capacity)</t>
        </is>
      </c>
      <c r="B25" s="22">
        <f>MAX(0,'Monthly x36'!N42-'Assumptions'!$B$89)</f>
        <v/>
      </c>
    </row>
    <row r="26">
      <c r="A26" s="9" t="inlineStr">
        <is>
          <t>Note: distributions are discretionary, subject to solvency, lender covenants, and the S-corp pro-rata requirement; the OA mandates annual tax distributions.</t>
        </is>
      </c>
    </row>
  </sheetData>
  <mergeCells count="6">
    <mergeCell ref="A10:C10"/>
    <mergeCell ref="A2:N2"/>
    <mergeCell ref="A21:C21"/>
    <mergeCell ref="A15:C15"/>
    <mergeCell ref="A4:C4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2026-07-06T04:36:36Z</dcterms:created>
  <dcterms:modified xmlns:dcterms="http://purl.org/dc/terms/" xmlns:xsi="http://www.w3.org/2001/XMLSchema-instance" xsi:type="dcterms:W3CDTF">2026-07-06T04:36:36Z</dcterms:modified>
</cp:coreProperties>
</file>