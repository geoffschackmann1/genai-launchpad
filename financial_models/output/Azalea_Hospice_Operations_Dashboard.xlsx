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puts" sheetId="1" state="visible" r:id="rId1"/>
    <sheet name="Dashboard" sheetId="2" state="visible" r:id="rId2"/>
    <sheet name="Actuals vs Budget" sheetId="3" state="visible" r:id="rId3"/>
    <sheet name="Staffing Tracker" sheetId="4" state="visible" r:id="rId4"/>
    <sheet name="Cap &amp; Payroll" sheetId="5" state="visible" r:id="rId5"/>
    <sheet name="Revenue Model" sheetId="6" state="visible" r:id="rId6"/>
    <sheet name="Staffing &amp; Payroll" sheetId="7" state="visible" r:id="rId7"/>
    <sheet name="Operating Budget" sheetId="8" state="visible" r:id="rId8"/>
    <sheet name="Detailed P&amp;L" sheetId="9" state="visible" r:id="rId9"/>
    <sheet name="Debt Schedule" sheetId="10" state="visible" r:id="rId10"/>
    <sheet name="Cash Flow &amp; BS" sheetId="11" state="visible" r:id="rId11"/>
    <sheet name="Actuals vs Model" sheetId="12" state="visible" r:id="rId12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rhc_escalation">Inputs!$B$14</definedName>
    <definedName name="avg_days_month">Inputs!$B$25</definedName>
    <definedName name="capture_rate">Inputs!$B$28</definedName>
    <definedName name="census_scenario">Inputs!$B$29</definedName>
    <definedName name="rn_caseload">Inputs!$B$70</definedName>
    <definedName name="aide_caseload">Inputs!$B$71</definedName>
    <definedName name="visits_rn_day">Inputs!$B$72</definedName>
    <definedName name="visits_aide_day">Inputs!$B$73</definedName>
    <definedName name="merit">Inputs!$B$74</definedName>
    <definedName name="benefits_load">Inputs!$B$77</definedName>
    <definedName name="health_pm">Inputs!$B$78</definedName>
    <definedName name="med_director">Inputs!$B$81</definedName>
    <definedName name="med_director2">Inputs!$B$82</definedName>
    <definedName name="med_director2_start">Inputs!$B$83</definedName>
    <definedName name="supplies_pd">Inputs!$B$86</definedName>
    <definedName name="dme_pd">Inputs!$B$87</definedName>
    <definedName name="pharmacy_pd">Inputs!$B$88</definedName>
    <definedName name="ga_utilities">Inputs!$B$91</definedName>
    <definedName name="ga_internet">Inputs!$B$92</definedName>
    <definedName name="ga_telephone">Inputs!$B$93</definedName>
    <definedName name="ga_bvtm">Inputs!$B$94</definedName>
    <definedName name="ga_emr">Inputs!$B$95</definedName>
    <definedName name="ga_pcr">Inputs!$B$96</definedName>
    <definedName name="ga_cc">Inputs!$B$97</definedName>
    <definedName name="ga_liability">Inputs!$B$98</definedName>
    <definedName name="ga_training">Inputs!$B$99</definedName>
    <definedName name="ga_other">Inputs!$B$100</definedName>
    <definedName name="ga_bankfees">Inputs!$B$101</definedName>
    <definedName name="ga_rent">Inputs!$B$102</definedName>
    <definedName name="ga_marketing">Inputs!$B$103</definedName>
    <definedName name="billing_fee_pct">Inputs!$B$106</definedName>
    <definedName name="qr_fee_pct">Inputs!$B$107</definedName>
    <definedName name="sba_principal">Inputs!$B$110</definedName>
    <definedName name="sba_rate">Inputs!$B$111</definedName>
    <definedName name="sba_term_mo">Inputs!$B$112</definedName>
    <definedName name="equity">Inputs!$B$113</definedName>
    <definedName name="loc_limit">Inputs!$B$114</definedName>
    <definedName name="loc_rate">Inputs!$B$115</definedName>
    <definedName name="min_cash">Inputs!$B$116</definedName>
    <definedName name="capex">Inputs!$B$117</definedName>
    <definedName name="deprec_yrs">Inputs!$B$118</definedName>
    <definedName name="tx_tax">Inputs!$B$119</definedName>
    <definedName name="license_cost">Inputs!$B$120</definedName>
    <definedName name="license_rate">Inputs!$B$121</definedName>
    <definedName name="license_term">Inputs!$B$122</definedName>
    <definedName name="license_amort_yrs">Inputs!$B$123</definedName>
    <definedName name="su_enroll">Inputs!$B$126</definedName>
    <definedName name="su_license">Inputs!$B$127</definedName>
    <definedName name="su_emr">Inputs!$B$128</definedName>
    <definedName name="su_supplies">Inputs!$B$129</definedName>
    <definedName name="su_legal">Inputs!$B$130</definedName>
    <definedName name="su_conting">Inputs!$B$131</definedName>
    <definedName name="ar_days">Inputs!$B$134</definedName>
    <definedName name="ap_days">Inputs!$B$135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#,##0;(#,##0);&quot;-&quot;"/>
    <numFmt numFmtId="172" formatCode="0.00x;(0.00x);&quot;-&quot;"/>
    <numFmt numFmtId="173" formatCode="#,##0.00;(#,##0.00);&quot;&quot;"/>
    <numFmt numFmtId="174" formatCode="#,##0.00;(#,##0.00)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b val="1"/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0" fillId="0" borderId="7" pivotButton="0" quotePrefix="0" xfId="0"/>
    <xf numFmtId="167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72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left" vertical="center"/>
    </xf>
    <xf numFmtId="169" fontId="10" fillId="0" borderId="0" applyAlignment="1" pivotButton="0" quotePrefix="0" xfId="0">
      <alignment horizontal="right" vertical="center"/>
    </xf>
    <xf numFmtId="167" fontId="6" fillId="8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171" fontId="6" fillId="0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7" fontId="6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72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16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ADC ramp (M1 - Y3 Q4)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Model'!$C$10:$V$10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ADC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Ending cash by period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'Cash Flow &amp; BS'!$C$21:$V$21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Azalea Hospice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14" authorId="0" shapeId="0">
      <text>
        <t>CMS historical 2-3%/yr. Applied to gross rates in Y2 (x1.025) and Y3 (x1.025^2).</t>
      </text>
    </comment>
    <comment ref="B25" authorId="0" shapeId="0">
      <text>
        <t>Used for patient-days; quarters = x3.</t>
      </text>
    </comment>
    <comment ref="B28" authorId="0" shapeId="0">
      <text>
        <t>Base 100% -&gt; steady-state ADC 22. Downside 80% -&gt; ADC ~18. Each Paloma patient must revoke and re-elect Azalea.</t>
      </text>
    </comment>
    <comment ref="B29" authorId="0" shapeId="0">
      <text>
        <t>1 = hold migrated panel flat at steady state (SBA conservative). 2 = grow from new referrals toward ADC ~35-60 (investor upside).</t>
      </text>
    </comment>
    <comment ref="C31" authorId="0" shapeId="0">
      <text>
        <t xml:space="preserve">Migrated panel. M1=12 (~75% migrated), M2=19.8, M3+=22 steady. </t>
      </text>
    </comment>
    <comment ref="D31" authorId="0" shapeId="0">
      <text>
        <t xml:space="preserve">Migrated panel. M1=12 (~75% migrated), M2=19.8, M3+=22 steady. </t>
      </text>
    </comment>
    <comment ref="E31" authorId="0" shapeId="0">
      <text>
        <t>Migrated panel. M1=12 (~75% migrated), M2=19.8, M3+=22 steady. Source: Paloma P&amp;L 2025.</t>
      </text>
    </comment>
    <comment ref="F31" authorId="0" shapeId="0">
      <text>
        <t>Migrated panel. M1=12 (~75% migrated), M2=19.8, M3+=22 steady. Source: Paloma P&amp;L 2025.</t>
      </text>
    </comment>
    <comment ref="G31" authorId="0" shapeId="0">
      <text>
        <t>Migrated panel. M1=12 (~75% migrated), M2=19.8, M3+=22 steady. Source: Paloma P&amp;L 2025.</t>
      </text>
    </comment>
    <comment ref="H31" authorId="0" shapeId="0">
      <text>
        <t>Migrated panel. M1=12 (~75% migrated), M2=19.8, M3+=22 steady. Source: Paloma P&amp;L 2025.</t>
      </text>
    </comment>
    <comment ref="I31" authorId="0" shapeId="0">
      <text>
        <t>Migrated panel. M1=12 (~75% migrated), M2=19.8, M3+=22 steady. Source: Paloma P&amp;L 2025.</t>
      </text>
    </comment>
    <comment ref="J31" authorId="0" shapeId="0">
      <text>
        <t>Migrated panel. M1=12 (~75% migrated), M2=19.8, M3+=22 steady. Source: Paloma P&amp;L 2025.</t>
      </text>
    </comment>
    <comment ref="K31" authorId="0" shapeId="0">
      <text>
        <t>Migrated panel. M1=12 (~75% migrated), M2=19.8, M3+=22 steady. Source: Paloma P&amp;L 2025.</t>
      </text>
    </comment>
    <comment ref="L31" authorId="0" shapeId="0">
      <text>
        <t>Migrated panel. M1=12 (~75% migrated), M2=19.8, M3+=22 steady. Source: Paloma P&amp;L 2025.</t>
      </text>
    </comment>
    <comment ref="M31" authorId="0" shapeId="0">
      <text>
        <t>Migrated panel. M1=12 (~75% migrated), M2=19.8, M3+=22 steady. Source: Paloma P&amp;L 2025.</t>
      </text>
    </comment>
    <comment ref="N31" authorId="0" shapeId="0">
      <text>
        <t>Migrated panel. M1=12 (~75% migrated), M2=19.8, M3+=22 steady. Source: Paloma P&amp;L 2025.</t>
      </text>
    </comment>
    <comment ref="O31" authorId="0" shapeId="0">
      <text>
        <t>Migrated panel. M1=12 (~75% migrated), M2=19.8, M3+=22 steady. Source: Paloma P&amp;L 2025.</t>
      </text>
    </comment>
    <comment ref="P31" authorId="0" shapeId="0">
      <text>
        <t>Migrated panel. M1=12 (~75% migrated), M2=19.8, M3+=22 steady. Source: Paloma P&amp;L 2025.</t>
      </text>
    </comment>
    <comment ref="Q31" authorId="0" shapeId="0">
      <text>
        <t>Migrated panel. M1=12 (~75% migrated), M2=19.8, M3+=22 steady. Source: Paloma P&amp;L 2025.</t>
      </text>
    </comment>
    <comment ref="R31" authorId="0" shapeId="0">
      <text>
        <t>Migrated panel. M1=12 (~75% migrated), M2=19.8, M3+=22 steady. Source: Paloma P&amp;L 2025.</t>
      </text>
    </comment>
    <comment ref="S31" authorId="0" shapeId="0">
      <text>
        <t>Migrated panel. M1=12 (~75% migrated), M2=19.8, M3+=22 steady. Source: Paloma P&amp;L 2025.</t>
      </text>
    </comment>
    <comment ref="T31" authorId="0" shapeId="0">
      <text>
        <t>Migrated panel. M1=12 (~75% migrated), M2=19.8, M3+=22 steady. Source: Paloma P&amp;L 2025.</t>
      </text>
    </comment>
    <comment ref="U31" authorId="0" shapeId="0">
      <text>
        <t>Migrated panel. M1=12 (~75% migrated), M2=19.8, M3+=22 steady. Source: Paloma P&amp;L 2025.</t>
      </text>
    </comment>
    <comment ref="V31" authorId="0" shapeId="0">
      <text>
        <t>Migrated panel. M1=12 (~75% migrated), M2=19.8, M3+=22 steady. Source: Paloma P&amp;L 2025.</t>
      </text>
    </comment>
    <comment ref="C32" authorId="0" shapeId="0">
      <text>
        <t>Growth from Azalea's own referral pipeline.</t>
      </text>
    </comment>
    <comment ref="D32" authorId="0" shapeId="0">
      <text>
        <t>Growth from Azalea's own referral pipeline.</t>
      </text>
    </comment>
    <comment ref="E32" authorId="0" shapeId="0">
      <text>
        <t>Growth from Azalea's own referral pipeline.</t>
      </text>
    </comment>
    <comment ref="F32" authorId="0" shapeId="0">
      <text>
        <t>Growth from Azalea's own referral pipeline.</t>
      </text>
    </comment>
    <comment ref="G32" authorId="0" shapeId="0">
      <text>
        <t>Growth from Azalea's own referral pipeline.</t>
      </text>
    </comment>
    <comment ref="H32" authorId="0" shapeId="0">
      <text>
        <t>Growth from Azalea's own referral pipeline.</t>
      </text>
    </comment>
    <comment ref="I32" authorId="0" shapeId="0">
      <text>
        <t>Growth from Azalea's own referral pipeline.</t>
      </text>
    </comment>
    <comment ref="J32" authorId="0" shapeId="0">
      <text>
        <t>Growth from Azalea's own referral pipeline.</t>
      </text>
    </comment>
    <comment ref="K32" authorId="0" shapeId="0">
      <text>
        <t>Growth from Azalea's own referral pipeline.</t>
      </text>
    </comment>
    <comment ref="L32" authorId="0" shapeId="0">
      <text>
        <t>Growth from Azalea's own referral pipeline.</t>
      </text>
    </comment>
    <comment ref="M32" authorId="0" shapeId="0">
      <text>
        <t>Growth from Azalea's own referral pipeline.</t>
      </text>
    </comment>
    <comment ref="N32" authorId="0" shapeId="0">
      <text>
        <t>Growth from Azalea's own referral pipeline.</t>
      </text>
    </comment>
    <comment ref="O32" authorId="0" shapeId="0">
      <text>
        <t>Growth from Azalea's own referral pipeline.</t>
      </text>
    </comment>
    <comment ref="P32" authorId="0" shapeId="0">
      <text>
        <t>Growth from Azalea's own referral pipeline.</t>
      </text>
    </comment>
    <comment ref="Q32" authorId="0" shapeId="0">
      <text>
        <t>Growth from Azalea's own referral pipeline.</t>
      </text>
    </comment>
    <comment ref="R32" authorId="0" shapeId="0">
      <text>
        <t>Growth from Azalea's own referral pipeline.</t>
      </text>
    </comment>
    <comment ref="S32" authorId="0" shapeId="0">
      <text>
        <t>Growth from Azalea's own referral pipeline.</t>
      </text>
    </comment>
    <comment ref="T32" authorId="0" shapeId="0">
      <text>
        <t>Growth from Azalea's own referral pipeline.</t>
      </text>
    </comment>
    <comment ref="U32" authorId="0" shapeId="0">
      <text>
        <t>Growth from Azalea's own referral pipeline.</t>
      </text>
    </comment>
    <comment ref="V32" authorId="0" shapeId="0">
      <text>
        <t>Growth from Azalea's own referral pipeline.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Source: Paloma payrolls Apr-May 2025.</t>
      </text>
    </comment>
    <comment ref="D42" authorId="0" shapeId="0">
      <text>
        <t>Model month this hire starts full-time.</t>
      </text>
    </comment>
    <comment ref="C43" authorId="0" shapeId="0">
      <text>
        <t>Source: Paloma payrolls Apr-May 2025.</t>
      </text>
    </comment>
    <comment ref="D43" authorId="0" shapeId="0">
      <text>
        <t>Model month this hire starts full-time.</t>
      </text>
    </comment>
    <comment ref="C44" authorId="0" shapeId="0">
      <text>
        <t>Source: Paloma payrolls Apr-May 2025.</t>
      </text>
    </comment>
    <comment ref="D44" authorId="0" shapeId="0">
      <text>
        <t>Model month this hire starts full-time.</t>
      </text>
    </comment>
    <comment ref="C45" authorId="0" shapeId="0">
      <text>
        <t>Source: Paloma payrolls Apr-May 2025.</t>
      </text>
    </comment>
    <comment ref="D45" authorId="0" shapeId="0">
      <text>
        <t>Model month this hire starts full-time.</t>
      </text>
    </comment>
    <comment ref="C46" authorId="0" shapeId="0">
      <text>
        <t>Source: Paloma payrolls Apr-May 2025.</t>
      </text>
    </comment>
    <comment ref="D46" authorId="0" shapeId="0">
      <text>
        <t>Model month this hire starts full-time.</t>
      </text>
    </comment>
    <comment ref="C47" authorId="0" shapeId="0">
      <text>
        <t>Source: Paloma payrolls Apr-May 2025.</t>
      </text>
    </comment>
    <comment ref="D47" authorId="0" shapeId="0">
      <text>
        <t>Model month this hire starts full-time.</t>
      </text>
    </comment>
    <comment ref="C48" authorId="0" shapeId="0">
      <text>
        <t>Source: Paloma payrolls Apr-May 2025.</t>
      </text>
    </comment>
    <comment ref="D48" authorId="0" shapeId="0">
      <text>
        <t>Model month this hire starts full-time.</t>
      </text>
    </comment>
    <comment ref="C49" authorId="0" shapeId="0">
      <text>
        <t>Source: Paloma payrolls Apr-May 2025.</t>
      </text>
    </comment>
    <comment ref="D49" authorId="0" shapeId="0">
      <text>
        <t>Model month this hire starts full-time.</t>
      </text>
    </comment>
    <comment ref="C50" authorId="0" shapeId="0">
      <text>
        <t>Source: Paloma payrolls Apr-May 2025.</t>
      </text>
    </comment>
    <comment ref="D50" authorId="0" shapeId="0">
      <text>
        <t>Model month this hire starts full-time.</t>
      </text>
    </comment>
    <comment ref="C51" authorId="0" shapeId="0">
      <text>
        <t>Source: Paloma payrolls Apr-May 2025.</t>
      </text>
    </comment>
    <comment ref="D51" authorId="0" shapeId="0">
      <text>
        <t>Model month this hire starts full-time.</t>
      </text>
    </comment>
    <comment ref="C52" authorId="0" shapeId="0">
      <text>
        <t>Source: Paloma payrolls Apr-May 2025.</t>
      </text>
    </comment>
    <comment ref="D52" authorId="0" shapeId="0">
      <text>
        <t>Model month this hire starts full-time.</t>
      </text>
    </comment>
    <comment ref="C53" authorId="0" shapeId="0">
      <text>
        <t>Source: Paloma payrolls Apr-May 2025.</t>
      </text>
    </comment>
    <comment ref="D53" authorId="0" shapeId="0">
      <text>
        <t>Model month this hire starts full-time.</t>
      </text>
    </comment>
    <comment ref="C54" authorId="0" shapeId="0">
      <text>
        <t>Source: Paloma payrolls Apr-May 2025.</t>
      </text>
    </comment>
    <comment ref="D54" authorId="0" shapeId="0">
      <text>
        <t>Model month this hire starts full-time.</t>
      </text>
    </comment>
    <comment ref="C55" authorId="0" shapeId="0">
      <text>
        <t>Source: Paloma payrolls Apr-May 2025.</t>
      </text>
    </comment>
    <comment ref="D55" authorId="0" shapeId="0">
      <text>
        <t>Model month this hire starts full-time.</t>
      </text>
    </comment>
    <comment ref="C56" authorId="0" shapeId="0">
      <text>
        <t>Source: Paloma payrolls Apr-May 2025.</t>
      </text>
    </comment>
    <comment ref="D56" authorId="0" shapeId="0">
      <text>
        <t>Model month this hire starts full-time.</t>
      </text>
    </comment>
    <comment ref="C57" authorId="0" shapeId="0">
      <text>
        <t>Source: Paloma payrolls Apr-May 2025.</t>
      </text>
    </comment>
    <comment ref="D57" authorId="0" shapeId="0">
      <text>
        <t>Model month this hire starts full-time.</t>
      </text>
    </comment>
    <comment ref="C58" authorId="0" shapeId="0">
      <text>
        <t>Source: Paloma payrolls Apr-May 2025.</t>
      </text>
    </comment>
    <comment ref="D58" authorId="0" shapeId="0">
      <text>
        <t>Model month this hire starts full-time.</t>
      </text>
    </comment>
    <comment ref="C59" authorId="0" shapeId="0">
      <text>
        <t>PRN run-rate ($/yr). Source: Paloma payrolls.</t>
      </text>
    </comment>
    <comment ref="C63" authorId="0" shapeId="0">
      <text>
        <t>Visits per patient per month.</t>
      </text>
    </comment>
    <comment ref="D63" authorId="0" shapeId="0">
      <text>
        <t>Per-visit pay rate. Source: Paloma payrolls.</t>
      </text>
    </comment>
    <comment ref="C64" authorId="0" shapeId="0">
      <text>
        <t>Visits per patient per month.</t>
      </text>
    </comment>
    <comment ref="D64" authorId="0" shapeId="0">
      <text>
        <t>Per-visit pay rate. Source: Paloma payrolls.</t>
      </text>
    </comment>
    <comment ref="C65" authorId="0" shapeId="0">
      <text>
        <t>Visits per patient per month.</t>
      </text>
    </comment>
    <comment ref="D65" authorId="0" shapeId="0">
      <text>
        <t>Per-visit pay rate. Source: Paloma payrolls.</t>
      </text>
    </comment>
    <comment ref="C66" authorId="0" shapeId="0">
      <text>
        <t>Visits per patient per month.</t>
      </text>
    </comment>
    <comment ref="D66" authorId="0" shapeId="0">
      <text>
        <t>Per-visit pay rate. Source: Paloma payrolls.</t>
      </text>
    </comment>
    <comment ref="C67" authorId="0" shapeId="0">
      <text>
        <t>Visits per patient per month.</t>
      </text>
    </comment>
    <comment ref="D67" authorId="0" shapeId="0">
      <text>
        <t>Per-visit pay rate. Source: Paloma payrolls.</t>
      </text>
    </comment>
    <comment ref="B70" authorId="0" shapeId="0">
      <text>
        <t>Richer 1:12 caseload at scale (was 1:15). Capacity planning benchmark.</t>
      </text>
    </comment>
    <comment ref="B71" authorId="0" shapeId="0">
      <text>
        <t>Richer 1:10 caseload at scale (was 1:12). Capacity planning benchmark.</t>
      </text>
    </comment>
    <comment ref="B72" authorId="0" shapeId="0">
      <text>
        <t>Ops KPI.</t>
      </text>
    </comment>
    <comment ref="B73" authorId="0" shapeId="0">
      <text>
        <t>Ops KPI.</t>
      </text>
    </comment>
    <comment ref="B74" authorId="0" shapeId="0">
      <text>
        <t>Applied to salaried wages from Y2.</t>
      </text>
    </comment>
    <comment ref="B77" authorId="0" shapeId="0">
      <text>
        <t>Blended employer burden (FICA 7.65% + FUTA/SUTA + WC + other). Source: Paloma payrolls Apr-May 2025.</t>
      </text>
    </comment>
    <comment ref="B78" authorId="0" shapeId="0">
      <text>
        <t>Per full-time W-2 employee. FLAG / CONFIRM: go-forward assumption, not in Paloma actuals.</t>
      </text>
    </comment>
    <comment ref="B81" authorId="0" shapeId="0">
      <text>
        <t>1099 contract, flat, NO benefits. Paloma actual ran $1,000/mo; spec models $4,000/mo go-forward. FLAG / CONFIRM: go-forward assumption, not in Paloma actuals.</t>
      </text>
    </comment>
    <comment ref="B82" authorId="0" shapeId="0">
      <text>
        <t>Second MD relationship needed at higher census volumes (e.g., palliative-care specialist or rotating consultant). 1099, no benefits.</t>
      </text>
    </comment>
    <comment ref="B83" authorId="0" shapeId="0">
      <text>
        <t>Defaults to M22 (start of Y2Q4) when census approaches ADC ~38. Editable.</t>
      </text>
    </comment>
    <comment ref="B86" authorId="0" shapeId="0">
      <text>
        <t>Source: Paloma P&amp;L 2025 (Tyler_PL_2025.xlsx).</t>
      </text>
    </comment>
    <comment ref="B87" authorId="0" shapeId="0">
      <text>
        <t>Source: Paloma P&amp;L 2025 (Tyler_PL_2025.xlsx).</t>
      </text>
    </comment>
    <comment ref="B88" authorId="0" shapeId="0">
      <text>
        <t>Source: Paloma P&amp;L 2025 (Tyler_PL_2025.xlsx).</t>
      </text>
    </comment>
    <comment ref="B91" authorId="0" shapeId="0">
      <text>
        <t>Source: Paloma P&amp;L 2025 (Tyler_PL_2025.xlsx).</t>
      </text>
    </comment>
    <comment ref="B92" authorId="0" shapeId="0">
      <text>
        <t>Source: Paloma P&amp;L 2025 (Tyler_PL_2025.xlsx).</t>
      </text>
    </comment>
    <comment ref="B93" authorId="0" shapeId="0">
      <text>
        <t>Source: Paloma P&amp;L 2025 (Tyler_PL_2025.xlsx).</t>
      </text>
    </comment>
    <comment ref="B94" authorId="0" shapeId="0">
      <text>
        <t>Source: Paloma P&amp;L 2025 (Tyler_PL_2025.xlsx).</t>
      </text>
    </comment>
    <comment ref="B95" authorId="0" shapeId="0">
      <text>
        <t>Source: Paloma P&amp;L 2025 (Tyler_PL_2025.xlsx).</t>
      </text>
    </comment>
    <comment ref="B96" authorId="0" shapeId="0">
      <text>
        <t>Source: Paloma P&amp;L 2025 (Tyler_PL_2025.xlsx).</t>
      </text>
    </comment>
    <comment ref="B97" authorId="0" shapeId="0">
      <text>
        <t>Source: Paloma P&amp;L 2025 (Tyler_PL_2025.xlsx).</t>
      </text>
    </comment>
    <comment ref="B98" authorId="0" shapeId="0">
      <text>
        <t>Source: Paloma P&amp;L 2025 (Tyler_PL_2025.xlsx).</t>
      </text>
    </comment>
    <comment ref="B99" authorId="0" shapeId="0">
      <text>
        <t>Source: Paloma P&amp;L 2025 (Tyler_PL_2025.xlsx).</t>
      </text>
    </comment>
    <comment ref="B100" authorId="0" shapeId="0">
      <text>
        <t>Source: Paloma P&amp;L 2025 (Tyler_PL_2025.xlsx).</t>
      </text>
    </comment>
    <comment ref="B101" authorId="0" shapeId="0">
      <text>
        <t>Source: Paloma P&amp;L 2025 (Tyler_PL_2025.xlsx).</t>
      </text>
    </comment>
    <comment ref="B102" authorId="0" shapeId="0">
      <text>
        <t>Paloma actual was $0 (embedded/rent-free). Azalea needs its own lease. FLAG / CONFIRM: go-forward assumption, not in Paloma actuals.</t>
      </text>
    </comment>
    <comment ref="B103" authorId="0" shapeId="0">
      <text>
        <t>Paloma actual was $0. FLAG / CONFIRM: go-forward assumption, not in Paloma actuals.</t>
      </text>
    </comment>
    <comment ref="B106" authorId="0" shapeId="0">
      <text>
        <t>Outsourced billing service at 1.5% of gross revenue (replaces Paloma's flat BCBP fee).</t>
      </text>
    </comment>
    <comment ref="B107" authorId="0" shapeId="0">
      <text>
        <t>Source: Paloma P&amp;L 2025 (Tyler_PL_2025.xlsx).</t>
      </text>
    </comment>
    <comment ref="B110" authorId="0" shapeId="0">
      <text>
        <t>Sized to fund ramp-period operating need + startup costs. FLAG / CONFIRM: go-forward assumption, not in Paloma actuals.</t>
      </text>
    </comment>
    <comment ref="B111" authorId="0" shapeId="0">
      <text>
        <t>FLAG / CONFIRM: go-forward assumption, not in Paloma actuals.</t>
      </text>
    </comment>
    <comment ref="B112" authorId="0" shapeId="0">
      <text>
        <t>10-year amortization. FLAG / CONFIRM: go-forward assumption, not in Paloma actuals.</t>
      </text>
    </comment>
    <comment ref="B113" authorId="0" shapeId="0">
      <text>
        <t>FLAG / CONFIRM: go-forward assumption, not in Paloma actuals.</t>
      </text>
    </comment>
    <comment ref="B114" authorId="0" shapeId="0">
      <text>
        <t>FLAG / CONFIRM: go-forward assumption, not in Paloma actuals.</t>
      </text>
    </comment>
    <comment ref="B115" authorId="0" shapeId="0">
      <text>
        <t>FLAG / CONFIRM: go-forward assumption, not in Paloma actuals.</t>
      </text>
    </comment>
    <comment ref="B116" authorId="0" shapeId="0">
      <text>
        <t>Operating cash buffer; LOC draws to hold this floor. FLAG / CONFIRM: go-forward assumption, not in Paloma actuals.</t>
      </text>
    </comment>
    <comment ref="B117" authorId="0" shapeId="0">
      <text>
        <t>Computers, office furniture; depreciated straight-line. FLAG / CONFIRM: go-forward assumption, not in Paloma actuals.</t>
      </text>
    </comment>
    <comment ref="B118" authorId="0" shapeId="0">
      <text>
        <t>FLAG / CONFIRM: go-forward assumption, not in Paloma actuals.</t>
      </text>
    </comment>
    <comment ref="B119" authorId="0" shapeId="0">
      <text>
        <t>Applied to revenue when pre-tax income positive.</t>
      </text>
    </comment>
    <comment ref="B120" authorId="0" shapeId="0">
      <text>
        <t>CHOW: acquire Hickory Hospice's existing Medicare-certified provider number (San Antonio + Tyler alternative-delivery site). Eliminates 855A enrollment gap - Azalea bills from day 1.</t>
      </text>
    </comment>
    <comment ref="B121" authorId="0" shapeId="0">
      <text>
        <t>Seller financing on the license acquisition.</t>
      </text>
    </comment>
    <comment ref="B122" authorId="0" shapeId="0">
      <text>
        <t>Monthly P+I amortization.</t>
      </text>
    </comment>
    <comment ref="B123" authorId="0" shapeId="0">
      <text>
        <t>GAAP intangible amortization - non-cash, below EBITDA. No effect on DSCR.</t>
      </text>
    </comment>
    <comment ref="B126" authorId="0" shapeId="0">
      <text>
        <t>Preserves Hickory's existing Medicare number; no fresh enrollment delay.</t>
      </text>
    </comment>
    <comment ref="B127" authorId="0" shapeId="0">
      <text>
        <t>FLAG / CONFIRM: go-forward assumption, not in Paloma actuals.</t>
      </text>
    </comment>
    <comment ref="B128" authorId="0" shapeId="0">
      <text>
        <t>FLAG / CONFIRM: go-forward assumption, not in Paloma actuals.</t>
      </text>
    </comment>
    <comment ref="B129" authorId="0" shapeId="0">
      <text>
        <t>FLAG / CONFIRM: go-forward assumption, not in Paloma actuals.</t>
      </text>
    </comment>
    <comment ref="B130" authorId="0" shapeId="0">
      <text>
        <t>FLAG / CONFIRM: go-forward assumption, not in Paloma actuals.</t>
      </text>
    </comment>
    <comment ref="B131" authorId="0" shapeId="0">
      <text>
        <t>FLAG / CONFIRM: go-forward assumption, not in Paloma actuals.</t>
      </text>
    </comment>
    <comment ref="B134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35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Hospice</author>
  </authors>
  <commentList>
    <comment ref="B4" authorId="0" shapeId="0">
      <text>
        <t>Which model month to compare against (uses INDEX into Operating Budget).</t>
      </text>
    </comment>
    <comment ref="C7" authorId="0" shapeId="0">
      <text>
        <t>Enter actual for the reporting month.</t>
      </text>
    </comment>
    <comment ref="C8" authorId="0" shapeId="0">
      <text>
        <t>Enter actual for the reporting month.</t>
      </text>
    </comment>
    <comment ref="C9" authorId="0" shapeId="0">
      <text>
        <t>Enter actual for the reporting month.</t>
      </text>
    </comment>
    <comment ref="C10" authorId="0" shapeId="0">
      <text>
        <t>Enter actual for the reporting month.</t>
      </text>
    </comment>
    <comment ref="C11" authorId="0" shapeId="0">
      <text>
        <t>Enter actual for the reporting month.</t>
      </text>
    </comment>
    <comment ref="C12" authorId="0" shapeId="0">
      <text>
        <t>Enter actual for the reporting month.</t>
      </text>
    </comment>
  </commentList>
</comments>
</file>

<file path=xl/comments/comment3.xml><?xml version="1.0" encoding="utf-8"?>
<comments xmlns="http://schemas.openxmlformats.org/spreadsheetml/2006/main">
  <authors>
    <author>Azalea Hospice</author>
  </authors>
  <commentList>
    <comment ref="C6" authorId="0" shapeId="0">
      <text>
        <t>Migrated panel arrives mid-episode; estimate beneficiaries served / cap year.</t>
      </text>
    </comment>
    <comment ref="B13" authorId="0" shapeId="0">
      <text>
        <t>Source: Paloma payrolls.</t>
      </text>
    </comment>
    <comment ref="C13" authorId="0" shapeId="0">
      <text>
        <t>Source: Paloma payrolls.</t>
      </text>
    </comment>
    <comment ref="B14" authorId="0" shapeId="0">
      <text>
        <t>Source: Paloma payrolls.</t>
      </text>
    </comment>
    <comment ref="C14" authorId="0" shapeId="0">
      <text>
        <t>Source: Paloma payrolls.</t>
      </text>
    </comment>
    <comment ref="B15" authorId="0" shapeId="0">
      <text>
        <t>Source: Paloma payrolls.</t>
      </text>
    </comment>
    <comment ref="C15" authorId="0" shapeId="0">
      <text>
        <t>Source: Paloma payrolls.</t>
      </text>
    </comment>
  </commentList>
</comments>
</file>

<file path=xl/comments/comment4.xml><?xml version="1.0" encoding="utf-8"?>
<comments xmlns="http://schemas.openxmlformats.org/spreadsheetml/2006/main">
  <authors>
    <author>Azalea Hospice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40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Assumptions Engine - CHOW relaunch of Hickory Hospice (San Antonio + Tyler alternative-delivery) | blue = input | black = formula | green = cross-sheet link</t>
        </is>
      </c>
    </row>
    <row r="4">
      <c r="A4" s="3" t="inlineStr">
        <is>
          <t>A.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4">
      <c r="A14" s="4" t="inlineStr">
        <is>
          <t>Medicare RHC rate escalation (annual)</t>
        </is>
      </c>
      <c r="B14" s="7" t="n">
        <v>0.025</v>
      </c>
    </row>
    <row r="16">
      <c r="A16" s="3" t="inlineStr">
        <is>
          <t>A2. DERIVED RATE BUILD (formulas)</t>
        </is>
      </c>
    </row>
    <row r="17">
      <c r="A17" s="4" t="inlineStr">
        <is>
          <t>Wage-index adjustment factor</t>
        </is>
      </c>
      <c r="B17" s="10">
        <f>Inputs!$B$8*Inputs!$B$7+(1-Inputs!$B$8)</f>
        <v/>
      </c>
    </row>
    <row r="18">
      <c r="A18" s="4" t="inlineStr">
        <is>
          <t>Wage-adjusted rate, days 1-60</t>
        </is>
      </c>
      <c r="B18" s="11">
        <f>Inputs!$B$5*Inputs!$B$17</f>
        <v/>
      </c>
    </row>
    <row r="19">
      <c r="A19" s="4" t="inlineStr">
        <is>
          <t>Wage-adjusted rate, days 61+</t>
        </is>
      </c>
      <c r="B19" s="11">
        <f>Inputs!$B$6*Inputs!$B$17</f>
        <v/>
      </c>
    </row>
    <row r="20">
      <c r="A20" s="4" t="inlineStr">
        <is>
          <t>Blended GROSS rate ($/PD)</t>
        </is>
      </c>
      <c r="B20" s="11">
        <f>Inputs!$B$9*Inputs!$B$18+(1-Inputs!$B$9)*Inputs!$B$19</f>
        <v/>
      </c>
    </row>
    <row r="21">
      <c r="A21" s="12" t="inlineStr">
        <is>
          <t>Blended NET rate ($/PD) [model]</t>
        </is>
      </c>
      <c r="B21" s="13">
        <f>Inputs!$B$20*(1-Inputs!$B$10-Inputs!$B$11)</f>
        <v/>
      </c>
    </row>
    <row r="22">
      <c r="A22" s="14" t="inlineStr">
        <is>
          <t>Validation: model net rate vs actual $181</t>
        </is>
      </c>
      <c r="B22" s="11">
        <f>Inputs!$B$21-Inputs!$B$12</f>
        <v/>
      </c>
      <c r="C22" s="15" t="inlineStr">
        <is>
          <t>should be near $0</t>
        </is>
      </c>
    </row>
    <row r="24">
      <c r="A24" s="3" t="inlineStr">
        <is>
          <t>B. TIMING</t>
        </is>
      </c>
    </row>
    <row r="25">
      <c r="A25" s="4" t="inlineStr">
        <is>
          <t>Average days per month</t>
        </is>
      </c>
      <c r="B25" s="16" t="n">
        <v>30.4</v>
      </c>
    </row>
    <row r="27">
      <c r="A27" s="3" t="inlineStr">
        <is>
          <t>C. CENSUS - PATIENT-MIGRATION RAMP (front-loaded M1-M2)</t>
        </is>
      </c>
    </row>
    <row r="28">
      <c r="A28" s="4" t="inlineStr">
        <is>
          <t>Patient-migration capture rate</t>
        </is>
      </c>
      <c r="B28" s="7" t="n">
        <v>1</v>
      </c>
    </row>
    <row r="29">
      <c r="A29" s="4" t="inlineStr">
        <is>
          <t>Census scenario (1=Base flat, 2=Upside growth)</t>
        </is>
      </c>
      <c r="B29" s="17" t="n">
        <v>1</v>
      </c>
    </row>
    <row r="31">
      <c r="A31" s="4" t="inlineStr">
        <is>
          <t>ADC path - BASE (100% capture, flat steady-state)</t>
        </is>
      </c>
      <c r="C31" s="16" t="n">
        <v>12</v>
      </c>
      <c r="D31" s="16" t="n">
        <v>19.8</v>
      </c>
      <c r="E31" s="16" t="n">
        <v>22</v>
      </c>
      <c r="F31" s="16" t="n">
        <v>22.2</v>
      </c>
      <c r="G31" s="16" t="n">
        <v>22.4</v>
      </c>
      <c r="H31" s="16" t="n">
        <v>22.7</v>
      </c>
      <c r="I31" s="16" t="n">
        <v>22.9</v>
      </c>
      <c r="J31" s="16" t="n">
        <v>23.1</v>
      </c>
      <c r="K31" s="16" t="n">
        <v>23.3</v>
      </c>
      <c r="L31" s="16" t="n">
        <v>23.6</v>
      </c>
      <c r="M31" s="16" t="n">
        <v>23.8</v>
      </c>
      <c r="N31" s="16" t="n">
        <v>24</v>
      </c>
      <c r="O31" s="16" t="n">
        <v>30.5</v>
      </c>
      <c r="P31" s="16" t="n">
        <v>37</v>
      </c>
      <c r="Q31" s="16" t="n">
        <v>43.5</v>
      </c>
      <c r="R31" s="16" t="n">
        <v>50</v>
      </c>
      <c r="S31" s="16" t="n">
        <v>51.5</v>
      </c>
      <c r="T31" s="16" t="n">
        <v>53</v>
      </c>
      <c r="U31" s="16" t="n">
        <v>54.5</v>
      </c>
      <c r="V31" s="16" t="n">
        <v>56</v>
      </c>
    </row>
    <row r="32">
      <c r="A32" s="4" t="inlineStr">
        <is>
          <t>ADC path - UPSIDE (referral growth)</t>
        </is>
      </c>
      <c r="C32" s="16" t="n">
        <v>12</v>
      </c>
      <c r="D32" s="16" t="n">
        <v>19.8</v>
      </c>
      <c r="E32" s="16" t="n">
        <v>22</v>
      </c>
      <c r="F32" s="16" t="n">
        <v>23</v>
      </c>
      <c r="G32" s="16" t="n">
        <v>24</v>
      </c>
      <c r="H32" s="16" t="n">
        <v>25</v>
      </c>
      <c r="I32" s="16" t="n">
        <v>26</v>
      </c>
      <c r="J32" s="16" t="n">
        <v>27</v>
      </c>
      <c r="K32" s="16" t="n">
        <v>28</v>
      </c>
      <c r="L32" s="16" t="n">
        <v>29</v>
      </c>
      <c r="M32" s="16" t="n">
        <v>30</v>
      </c>
      <c r="N32" s="16" t="n">
        <v>31</v>
      </c>
      <c r="O32" s="16" t="n">
        <v>33</v>
      </c>
      <c r="P32" s="16" t="n">
        <v>35</v>
      </c>
      <c r="Q32" s="16" t="n">
        <v>37</v>
      </c>
      <c r="R32" s="16" t="n">
        <v>39</v>
      </c>
      <c r="S32" s="16" t="n">
        <v>44</v>
      </c>
      <c r="T32" s="16" t="n">
        <v>50</v>
      </c>
      <c r="U32" s="16" t="n">
        <v>55</v>
      </c>
      <c r="V32" s="16" t="n">
        <v>60</v>
      </c>
    </row>
    <row r="33">
      <c r="A33" s="12" t="inlineStr">
        <is>
          <t>EFFECTIVE ADC = chosen path x capture</t>
        </is>
      </c>
      <c r="C33" s="18">
        <f>IF(Inputs!$B$29=2,C32,C31)*Inputs!$B$28</f>
        <v/>
      </c>
      <c r="D33" s="18">
        <f>IF(Inputs!$B$29=2,D32,D31)*Inputs!$B$28</f>
        <v/>
      </c>
      <c r="E33" s="18">
        <f>IF(Inputs!$B$29=2,E32,E31)*Inputs!$B$28</f>
        <v/>
      </c>
      <c r="F33" s="18">
        <f>IF(Inputs!$B$29=2,F32,F31)*Inputs!$B$28</f>
        <v/>
      </c>
      <c r="G33" s="18">
        <f>IF(Inputs!$B$29=2,G32,G31)*Inputs!$B$28</f>
        <v/>
      </c>
      <c r="H33" s="18">
        <f>IF(Inputs!$B$29=2,H32,H31)*Inputs!$B$28</f>
        <v/>
      </c>
      <c r="I33" s="18">
        <f>IF(Inputs!$B$29=2,I32,I31)*Inputs!$B$28</f>
        <v/>
      </c>
      <c r="J33" s="18">
        <f>IF(Inputs!$B$29=2,J32,J31)*Inputs!$B$28</f>
        <v/>
      </c>
      <c r="K33" s="18">
        <f>IF(Inputs!$B$29=2,K32,K31)*Inputs!$B$28</f>
        <v/>
      </c>
      <c r="L33" s="18">
        <f>IF(Inputs!$B$29=2,L32,L31)*Inputs!$B$28</f>
        <v/>
      </c>
      <c r="M33" s="18">
        <f>IF(Inputs!$B$29=2,M32,M31)*Inputs!$B$28</f>
        <v/>
      </c>
      <c r="N33" s="18">
        <f>IF(Inputs!$B$29=2,N32,N31)*Inputs!$B$28</f>
        <v/>
      </c>
      <c r="O33" s="18">
        <f>IF(Inputs!$B$29=2,O32,O31)*Inputs!$B$28</f>
        <v/>
      </c>
      <c r="P33" s="18">
        <f>IF(Inputs!$B$29=2,P32,P31)*Inputs!$B$28</f>
        <v/>
      </c>
      <c r="Q33" s="18">
        <f>IF(Inputs!$B$29=2,Q32,Q31)*Inputs!$B$28</f>
        <v/>
      </c>
      <c r="R33" s="18">
        <f>IF(Inputs!$B$29=2,R32,R31)*Inputs!$B$28</f>
        <v/>
      </c>
      <c r="S33" s="18">
        <f>IF(Inputs!$B$29=2,S32,S31)*Inputs!$B$28</f>
        <v/>
      </c>
      <c r="T33" s="18">
        <f>IF(Inputs!$B$29=2,T32,T31)*Inputs!$B$28</f>
        <v/>
      </c>
      <c r="U33" s="18">
        <f>IF(Inputs!$B$29=2,U32,U31)*Inputs!$B$28</f>
        <v/>
      </c>
      <c r="V33" s="18">
        <f>IF(Inputs!$B$29=2,V32,V31)*Inputs!$B$28</f>
        <v/>
      </c>
    </row>
    <row r="35">
      <c r="A35" s="3" t="inlineStr">
        <is>
          <t>D. STAGGERED FT ROSTER (named hires)</t>
        </is>
      </c>
    </row>
    <row r="36">
      <c r="A36" s="19" t="inlineStr">
        <is>
          <t>Name</t>
        </is>
      </c>
      <c r="B36" s="19" t="inlineStr">
        <is>
          <t>Role</t>
        </is>
      </c>
      <c r="C36" s="19" t="inlineStr">
        <is>
          <t>Annual salary</t>
        </is>
      </c>
      <c r="D36" s="19" t="inlineStr">
        <is>
          <t>Start month</t>
        </is>
      </c>
      <c r="E36" s="19" t="inlineStr">
        <is>
          <t>Cost group</t>
        </is>
      </c>
      <c r="F36" s="19" t="inlineStr">
        <is>
          <t>Status</t>
        </is>
      </c>
    </row>
    <row r="37">
      <c r="A37" s="4" t="inlineStr">
        <is>
          <t>Brad Woodard</t>
        </is>
      </c>
      <c r="B37" s="20" t="inlineStr">
        <is>
          <t>Administrator / Director</t>
        </is>
      </c>
      <c r="C37" s="9" t="n">
        <v>120000</v>
      </c>
      <c r="D37" s="17" t="n">
        <v>1</v>
      </c>
      <c r="E37" s="20" t="inlineStr">
        <is>
          <t>Indirect (SG&amp;A)</t>
        </is>
      </c>
      <c r="F37" s="20" t="inlineStr">
        <is>
          <t>Filled</t>
        </is>
      </c>
    </row>
    <row r="38">
      <c r="A38" s="4" t="inlineStr">
        <is>
          <t>Angie Frost</t>
        </is>
      </c>
      <c r="B38" s="20" t="inlineStr">
        <is>
          <t>RN Case Manager</t>
        </is>
      </c>
      <c r="C38" s="9" t="n">
        <v>77504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Tanisha Robison</t>
        </is>
      </c>
      <c r="B39" s="20" t="inlineStr">
        <is>
          <t>CNA / Hospice Aide</t>
        </is>
      </c>
      <c r="C39" s="9" t="n">
        <v>46511</v>
      </c>
      <c r="D39" s="17" t="n">
        <v>1</v>
      </c>
      <c r="E39" s="20" t="inlineStr">
        <is>
          <t>Direct (COGS)</t>
        </is>
      </c>
      <c r="F39" s="20" t="inlineStr">
        <is>
          <t>Filled</t>
        </is>
      </c>
    </row>
    <row r="40">
      <c r="A40" s="4" t="inlineStr">
        <is>
          <t>Dana Davenport</t>
        </is>
      </c>
      <c r="B40" s="20" t="inlineStr">
        <is>
          <t>Director of Clinical Services</t>
        </is>
      </c>
      <c r="C40" s="9" t="n">
        <v>110000</v>
      </c>
      <c r="D40" s="17" t="n">
        <v>2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Silas Shelton</t>
        </is>
      </c>
      <c r="B41" s="20" t="inlineStr">
        <is>
          <t>Administrator</t>
        </is>
      </c>
      <c r="C41" s="9" t="n">
        <v>130000</v>
      </c>
      <c r="D41" s="17" t="n">
        <v>3</v>
      </c>
      <c r="E41" s="20" t="inlineStr">
        <is>
          <t>Indirect (SG&amp;A)</t>
        </is>
      </c>
      <c r="F41" s="20" t="inlineStr">
        <is>
          <t>Filled</t>
        </is>
      </c>
    </row>
    <row r="42">
      <c r="A42" s="4" t="inlineStr">
        <is>
          <t>Jodi McCollum</t>
        </is>
      </c>
      <c r="B42" s="20" t="inlineStr">
        <is>
          <t>RN Case Manager (2nd seat)</t>
        </is>
      </c>
      <c r="C42" s="9" t="n">
        <v>75008</v>
      </c>
      <c r="D42" s="17" t="n">
        <v>4</v>
      </c>
      <c r="E42" s="20" t="inlineStr">
        <is>
          <t>Direct (COGS)</t>
        </is>
      </c>
      <c r="F42" s="21" t="inlineStr">
        <is>
          <t>OPEN REQ</t>
        </is>
      </c>
    </row>
    <row r="43">
      <c r="A43" s="4" t="inlineStr">
        <is>
          <t>Director of Business Development</t>
        </is>
      </c>
      <c r="B43" s="20" t="inlineStr">
        <is>
          <t>Sales / referrals (growth driver)</t>
        </is>
      </c>
      <c r="C43" s="9" t="n">
        <v>95000</v>
      </c>
      <c r="D43" s="17" t="n">
        <v>6</v>
      </c>
      <c r="E43" s="20" t="inlineStr">
        <is>
          <t>Indirect (SG&amp;A)</t>
        </is>
      </c>
      <c r="F43" s="20" t="inlineStr">
        <is>
          <t>Filled</t>
        </is>
      </c>
    </row>
    <row r="44">
      <c r="A44" s="4" t="inlineStr">
        <is>
          <t>Capacity hire - 2nd CNA</t>
        </is>
      </c>
      <c r="B44" s="20" t="inlineStr">
        <is>
          <t>CNA / Hospice Aide (capacity-driven, triggers ADC&gt;=25)</t>
        </is>
      </c>
      <c r="C44" s="9" t="n">
        <v>46511</v>
      </c>
      <c r="D44" s="17" t="n">
        <v>13</v>
      </c>
      <c r="E44" s="20" t="inlineStr">
        <is>
          <t>Direct (COGS)</t>
        </is>
      </c>
      <c r="F44" s="20" t="inlineStr">
        <is>
          <t>Filled</t>
        </is>
      </c>
    </row>
    <row r="45">
      <c r="A45" s="4" t="inlineStr">
        <is>
          <t>FT Social Worker (MSW)</t>
        </is>
      </c>
      <c r="B45" s="20" t="inlineStr">
        <is>
          <t>Core IDG MSW (converts PRN SW to salaried)</t>
        </is>
      </c>
      <c r="C45" s="9" t="n">
        <v>58000</v>
      </c>
      <c r="D45" s="17" t="n">
        <v>14</v>
      </c>
      <c r="E45" s="20" t="inlineStr">
        <is>
          <t>Direct (COGS)</t>
        </is>
      </c>
      <c r="F45" s="20" t="inlineStr">
        <is>
          <t>Filled</t>
        </is>
      </c>
    </row>
    <row r="46">
      <c r="A46" s="4" t="inlineStr">
        <is>
          <t>FT LVN - visits / on-call</t>
        </is>
      </c>
      <c r="B46" s="20" t="inlineStr">
        <is>
          <t>Core IDG LVN (converts PRN LVN to salaried)</t>
        </is>
      </c>
      <c r="C46" s="9" t="n">
        <v>52000</v>
      </c>
      <c r="D46" s="17" t="n">
        <v>16</v>
      </c>
      <c r="E46" s="20" t="inlineStr">
        <is>
          <t>Direct (COGS)</t>
        </is>
      </c>
      <c r="F46" s="20" t="inlineStr">
        <is>
          <t>Filled</t>
        </is>
      </c>
    </row>
    <row r="47">
      <c r="A47" s="4" t="inlineStr">
        <is>
          <t>FT Chaplain</t>
        </is>
      </c>
      <c r="B47" s="20" t="inlineStr">
        <is>
          <t>Core IDG spiritual care (converts PRN chaplain to FT)</t>
        </is>
      </c>
      <c r="C47" s="9" t="n">
        <v>55000</v>
      </c>
      <c r="D47" s="17" t="n">
        <v>18</v>
      </c>
      <c r="E47" s="20" t="inlineStr">
        <is>
          <t>Direct (COGS)</t>
        </is>
      </c>
      <c r="F47" s="20" t="inlineStr">
        <is>
          <t>Filled</t>
        </is>
      </c>
    </row>
    <row r="48">
      <c r="A48" s="4" t="inlineStr">
        <is>
          <t>Capacity hire - 3rd RN</t>
        </is>
      </c>
      <c r="B48" s="20" t="inlineStr">
        <is>
          <t>RN Case Manager (capacity-driven, ADC&gt;=30)</t>
        </is>
      </c>
      <c r="C48" s="9" t="n">
        <v>76256</v>
      </c>
      <c r="D48" s="17" t="n">
        <v>13</v>
      </c>
      <c r="E48" s="20" t="inlineStr">
        <is>
          <t>Direct (COGS)</t>
        </is>
      </c>
      <c r="F48" s="20" t="inlineStr">
        <is>
          <t>Filled</t>
        </is>
      </c>
    </row>
    <row r="49">
      <c r="A49" s="4" t="inlineStr">
        <is>
          <t>Capacity hire - 3rd CNA</t>
        </is>
      </c>
      <c r="B49" s="20" t="inlineStr">
        <is>
          <t>CNA / Hospice Aide (capacity-driven, ADC&gt;=32)</t>
        </is>
      </c>
      <c r="C49" s="9" t="n">
        <v>46511</v>
      </c>
      <c r="D49" s="17" t="n">
        <v>14</v>
      </c>
      <c r="E49" s="20" t="inlineStr">
        <is>
          <t>Direct (COGS)</t>
        </is>
      </c>
      <c r="F49" s="20" t="inlineStr">
        <is>
          <t>Filled</t>
        </is>
      </c>
    </row>
    <row r="50">
      <c r="A50" s="4" t="inlineStr">
        <is>
          <t>Capacity hire - 4th RN</t>
        </is>
      </c>
      <c r="B50" s="20" t="inlineStr">
        <is>
          <t>RN Case Manager (capacity-driven, ADC&gt;=38)</t>
        </is>
      </c>
      <c r="C50" s="9" t="n">
        <v>76256</v>
      </c>
      <c r="D50" s="17" t="n">
        <v>20</v>
      </c>
      <c r="E50" s="20" t="inlineStr">
        <is>
          <t>Direct (COGS)</t>
        </is>
      </c>
      <c r="F50" s="20" t="inlineStr">
        <is>
          <t>Filled</t>
        </is>
      </c>
    </row>
    <row r="51">
      <c r="A51" s="4" t="inlineStr">
        <is>
          <t>Capacity hire - 4th CNA</t>
        </is>
      </c>
      <c r="B51" s="20" t="inlineStr">
        <is>
          <t>CNA / Hospice Aide (capacity-driven, ADC&gt;=40)</t>
        </is>
      </c>
      <c r="C51" s="9" t="n">
        <v>46511</v>
      </c>
      <c r="D51" s="17" t="n">
        <v>20</v>
      </c>
      <c r="E51" s="20" t="inlineStr">
        <is>
          <t>Direct (COGS)</t>
        </is>
      </c>
      <c r="F51" s="20" t="inlineStr">
        <is>
          <t>Filled</t>
        </is>
      </c>
    </row>
    <row r="52">
      <c r="A52" s="4" t="inlineStr">
        <is>
          <t>Capacity hire - 5th RN</t>
        </is>
      </c>
      <c r="B52" s="20" t="inlineStr">
        <is>
          <t>RN Case Manager (capacity-driven, ADC&gt;=48)</t>
        </is>
      </c>
      <c r="C52" s="9" t="n">
        <v>76256</v>
      </c>
      <c r="D52" s="17" t="n">
        <v>27</v>
      </c>
      <c r="E52" s="20" t="inlineStr">
        <is>
          <t>Direct (COGS)</t>
        </is>
      </c>
      <c r="F52" s="20" t="inlineStr">
        <is>
          <t>Filled</t>
        </is>
      </c>
    </row>
    <row r="53">
      <c r="A53" s="4" t="inlineStr">
        <is>
          <t>Capacity hire - 5th CNA</t>
        </is>
      </c>
      <c r="B53" s="20" t="inlineStr">
        <is>
          <t>CNA / Hospice Aide (capacity-driven, ADC&gt;=50)</t>
        </is>
      </c>
      <c r="C53" s="9" t="n">
        <v>46511</v>
      </c>
      <c r="D53" s="17" t="n">
        <v>27</v>
      </c>
      <c r="E53" s="20" t="inlineStr">
        <is>
          <t>Direct (COGS)</t>
        </is>
      </c>
      <c r="F53" s="20" t="inlineStr">
        <is>
          <t>Filled</t>
        </is>
      </c>
    </row>
    <row r="54">
      <c r="A54" s="4" t="inlineStr">
        <is>
          <t>Capacity hire - 6th CNA</t>
        </is>
      </c>
      <c r="B54" s="20" t="inlineStr">
        <is>
          <t>CNA / Hospice Aide (capacity-driven, ADC&gt;=54)</t>
        </is>
      </c>
      <c r="C54" s="9" t="n">
        <v>46511</v>
      </c>
      <c r="D54" s="17" t="n">
        <v>31</v>
      </c>
      <c r="E54" s="20" t="inlineStr">
        <is>
          <t>Direct (COGS)</t>
        </is>
      </c>
      <c r="F54" s="20" t="inlineStr">
        <is>
          <t>Filled</t>
        </is>
      </c>
    </row>
    <row r="55">
      <c r="A55" s="4" t="inlineStr">
        <is>
          <t>Capacity hire - 6th RN</t>
        </is>
      </c>
      <c r="B55" s="20" t="inlineStr">
        <is>
          <t>RN Case Manager (capacity-driven, ADC&gt;=55)</t>
        </is>
      </c>
      <c r="C55" s="9" t="n">
        <v>76256</v>
      </c>
      <c r="D55" s="17" t="n">
        <v>34</v>
      </c>
      <c r="E55" s="20" t="inlineStr">
        <is>
          <t>Direct (COGS)</t>
        </is>
      </c>
      <c r="F55" s="20" t="inlineStr">
        <is>
          <t>Filled</t>
        </is>
      </c>
    </row>
    <row r="56">
      <c r="A56" s="4" t="inlineStr">
        <is>
          <t>Quality / Compliance Manager</t>
        </is>
      </c>
      <c r="B56" s="20" t="inlineStr">
        <is>
          <t>QAPI program | CoP compliance | surveys</t>
        </is>
      </c>
      <c r="C56" s="9" t="n">
        <v>80000</v>
      </c>
      <c r="D56" s="17" t="n">
        <v>16</v>
      </c>
      <c r="E56" s="20" t="inlineStr">
        <is>
          <t>Indirect (SG&amp;A)</t>
        </is>
      </c>
      <c r="F56" s="20" t="inlineStr">
        <is>
          <t>Filled</t>
        </is>
      </c>
    </row>
    <row r="57">
      <c r="A57" s="4" t="inlineStr">
        <is>
          <t>Intake / Admissions Coordinator</t>
        </is>
      </c>
      <c r="B57" s="20" t="inlineStr">
        <is>
          <t>Referral intake | IDG admit coordination</t>
        </is>
      </c>
      <c r="C57" s="9" t="n">
        <v>55000</v>
      </c>
      <c r="D57" s="17" t="n">
        <v>20</v>
      </c>
      <c r="E57" s="20" t="inlineStr">
        <is>
          <t>Indirect (SG&amp;A)</t>
        </is>
      </c>
      <c r="F57" s="20" t="inlineStr">
        <is>
          <t>Filled</t>
        </is>
      </c>
    </row>
    <row r="58">
      <c r="A58" s="4" t="inlineStr">
        <is>
          <t>Volunteer Coordinator</t>
        </is>
      </c>
      <c r="B58" s="20" t="inlineStr">
        <is>
          <t>Medicare CoP requirement | volunteer hours</t>
        </is>
      </c>
      <c r="C58" s="9" t="n">
        <v>50000</v>
      </c>
      <c r="D58" s="17" t="n">
        <v>26</v>
      </c>
      <c r="E58" s="20" t="inlineStr">
        <is>
          <t>Indirect (SG&amp;A)</t>
        </is>
      </c>
      <c r="F58" s="20" t="inlineStr">
        <is>
          <t>Filled</t>
        </is>
      </c>
    </row>
    <row r="59">
      <c r="A59" s="4" t="inlineStr">
        <is>
          <t>Rhonda Smith - Office Mgr (PRN, W-2)</t>
        </is>
      </c>
      <c r="B59" s="20" t="inlineStr">
        <is>
          <t>Per-visit / part-time office support</t>
        </is>
      </c>
      <c r="C59" s="9" t="n">
        <v>34000</v>
      </c>
    </row>
    <row r="61">
      <c r="A61" s="3" t="inlineStr">
        <is>
          <t>D2. PRN / PER-VISIT ROSTER (census-driven)</t>
        </is>
      </c>
    </row>
    <row r="62">
      <c r="A62" s="19" t="inlineStr">
        <is>
          <t>Role</t>
        </is>
      </c>
      <c r="B62" s="19" t="inlineStr"/>
      <c r="C62" s="19" t="inlineStr">
        <is>
          <t>Visits / pt / mo</t>
        </is>
      </c>
      <c r="D62" s="19" t="inlineStr">
        <is>
          <t>Rate / visit</t>
        </is>
      </c>
    </row>
    <row r="63">
      <c r="A63" s="4" t="inlineStr">
        <is>
          <t>PRN On-Call LVN (Kendricks-Tuck, Foster)</t>
        </is>
      </c>
      <c r="C63" s="16" t="n">
        <v>0.6</v>
      </c>
      <c r="D63" s="9" t="n">
        <v>100</v>
      </c>
    </row>
    <row r="64">
      <c r="A64" s="4" t="inlineStr">
        <is>
          <t>PRN Chaplain (Ector, Johnson)</t>
        </is>
      </c>
      <c r="C64" s="16" t="n">
        <v>0.75</v>
      </c>
      <c r="D64" s="9" t="n">
        <v>75</v>
      </c>
    </row>
    <row r="65">
      <c r="A65" s="4" t="inlineStr">
        <is>
          <t>PRN Social Worker (Sanders)</t>
        </is>
      </c>
      <c r="C65" s="16" t="n">
        <v>1</v>
      </c>
      <c r="D65" s="9" t="n">
        <v>75</v>
      </c>
    </row>
    <row r="66">
      <c r="A66" s="4" t="inlineStr">
        <is>
          <t>PRN Nurse Practitioner (Rogers)</t>
        </is>
      </c>
      <c r="C66" s="16" t="n">
        <v>0.15</v>
      </c>
      <c r="D66" s="9" t="n">
        <v>200</v>
      </c>
    </row>
    <row r="67">
      <c r="A67" s="4" t="inlineStr">
        <is>
          <t>PRN CNA / per-visit (Henson, Mills)</t>
        </is>
      </c>
      <c r="C67" s="16" t="n">
        <v>0.5</v>
      </c>
      <c r="D67" s="9" t="n">
        <v>21</v>
      </c>
    </row>
    <row r="69">
      <c r="A69" s="3" t="inlineStr">
        <is>
          <t>E. STAFFING RATIOS (Y2-Y3 capacity reference)</t>
        </is>
      </c>
    </row>
    <row r="70">
      <c r="A70" s="4" t="inlineStr">
        <is>
          <t>RN case-manager caseload (1 : N ADC)</t>
        </is>
      </c>
      <c r="B70" s="17" t="n">
        <v>12</v>
      </c>
    </row>
    <row r="71">
      <c r="A71" s="4" t="inlineStr">
        <is>
          <t>CNA / aide caseload (1 : N ADC)</t>
        </is>
      </c>
      <c r="B71" s="17" t="n">
        <v>10</v>
      </c>
    </row>
    <row r="72">
      <c r="A72" s="4" t="inlineStr">
        <is>
          <t>Target visits / RN / day</t>
        </is>
      </c>
      <c r="B72" s="16" t="n">
        <v>5.5</v>
      </c>
    </row>
    <row r="73">
      <c r="A73" s="4" t="inlineStr">
        <is>
          <t>Target visits / aide / day</t>
        </is>
      </c>
      <c r="B73" s="16" t="n">
        <v>6</v>
      </c>
    </row>
    <row r="74">
      <c r="A74" s="4" t="inlineStr">
        <is>
          <t>Annual merit / COL increase (Y2, Y3)</t>
        </is>
      </c>
      <c r="B74" s="7" t="n">
        <v>0.03</v>
      </c>
    </row>
    <row r="76">
      <c r="A76" s="3" t="inlineStr">
        <is>
          <t>F. BENEFITS &amp; EMPLOYER BURDEN</t>
        </is>
      </c>
    </row>
    <row r="77">
      <c r="A77" s="4" t="inlineStr">
        <is>
          <t>Benefits load on W-2 wages</t>
        </is>
      </c>
      <c r="B77" s="7" t="n">
        <v>0.1827</v>
      </c>
    </row>
    <row r="78">
      <c r="A78" s="4" t="inlineStr">
        <is>
          <t>Health insurance ($/FT employee/mo)</t>
        </is>
      </c>
      <c r="B78" s="9" t="n">
        <v>550</v>
      </c>
    </row>
    <row r="80">
      <c r="A80" s="3" t="inlineStr">
        <is>
          <t>F2. MEDICAL DIRECTORS (1099 - no benefits)</t>
        </is>
      </c>
    </row>
    <row r="81">
      <c r="A81" s="4" t="inlineStr">
        <is>
          <t>Medical Director 1 (1099, $/mo)</t>
        </is>
      </c>
      <c r="B81" s="9" t="n">
        <v>4000</v>
      </c>
    </row>
    <row r="82">
      <c r="A82" s="4" t="inlineStr">
        <is>
          <t>Medical Director 2 (1099, $/mo, conditional)</t>
        </is>
      </c>
      <c r="B82" s="9" t="n">
        <v>5000</v>
      </c>
    </row>
    <row r="83">
      <c r="A83" s="4" t="inlineStr">
        <is>
          <t>Medical Director 2 start month</t>
        </is>
      </c>
      <c r="B83" s="17" t="n">
        <v>22</v>
      </c>
    </row>
    <row r="85">
      <c r="A85" s="3" t="inlineStr">
        <is>
          <t>G. PATIENT-RELATED COGS (per patient-day, trued to actuals)</t>
        </is>
      </c>
    </row>
    <row r="86">
      <c r="A86" s="4" t="inlineStr">
        <is>
          <t>Medical supplies ($/patient-day)</t>
        </is>
      </c>
      <c r="B86" s="22" t="n">
        <v>3.99</v>
      </c>
    </row>
    <row r="87">
      <c r="A87" s="4" t="inlineStr">
        <is>
          <t>DME ($/patient-day)</t>
        </is>
      </c>
      <c r="B87" s="22" t="n">
        <v>1.77</v>
      </c>
    </row>
    <row r="88">
      <c r="A88" s="4" t="inlineStr">
        <is>
          <t>Pharmacy ($/patient-day)</t>
        </is>
      </c>
      <c r="B88" s="22" t="n">
        <v>3.23</v>
      </c>
    </row>
    <row r="90">
      <c r="A90" s="3" t="inlineStr">
        <is>
          <t>G2. FIXED MONTHLY G&amp;A (trued to actuals)</t>
        </is>
      </c>
    </row>
    <row r="91">
      <c r="A91" s="4" t="inlineStr">
        <is>
          <t>Utilities</t>
        </is>
      </c>
      <c r="B91" s="9" t="n">
        <v>293</v>
      </c>
    </row>
    <row r="92">
      <c r="A92" s="4" t="inlineStr">
        <is>
          <t>Internet</t>
        </is>
      </c>
      <c r="B92" s="9" t="n">
        <v>779</v>
      </c>
    </row>
    <row r="93">
      <c r="A93" s="4" t="inlineStr">
        <is>
          <t>Telephone / fax</t>
        </is>
      </c>
      <c r="B93" s="9" t="n">
        <v>403</v>
      </c>
    </row>
    <row r="94">
      <c r="A94" s="4" t="inlineStr">
        <is>
          <t>After-hours messaging (BVTM)</t>
        </is>
      </c>
      <c r="B94" s="9" t="n">
        <v>48</v>
      </c>
    </row>
    <row r="95">
      <c r="A95" s="4" t="inlineStr">
        <is>
          <t>EMR system</t>
        </is>
      </c>
      <c r="B95" s="9" t="n">
        <v>1281</v>
      </c>
    </row>
    <row r="96">
      <c r="A96" s="4" t="inlineStr">
        <is>
          <t>PCR (CPM)</t>
        </is>
      </c>
      <c r="B96" s="9" t="n">
        <v>1001</v>
      </c>
    </row>
    <row r="97">
      <c r="A97" s="4" t="inlineStr">
        <is>
          <t>Credit-card fees</t>
        </is>
      </c>
      <c r="B97" s="9" t="n">
        <v>1004</v>
      </c>
    </row>
    <row r="98">
      <c r="A98" s="4" t="inlineStr">
        <is>
          <t>Liability / D&amp;O insurance</t>
        </is>
      </c>
      <c r="B98" s="9" t="n">
        <v>250</v>
      </c>
    </row>
    <row r="99">
      <c r="A99" s="4" t="inlineStr">
        <is>
          <t>Training / CEUs</t>
        </is>
      </c>
      <c r="B99" s="9" t="n">
        <v>100</v>
      </c>
    </row>
    <row r="100">
      <c r="A100" s="4" t="inlineStr">
        <is>
          <t>Other (client)</t>
        </is>
      </c>
      <c r="B100" s="9" t="n">
        <v>1050</v>
      </c>
    </row>
    <row r="101">
      <c r="A101" s="4" t="inlineStr">
        <is>
          <t>Bank / payroll fees</t>
        </is>
      </c>
      <c r="B101" s="9" t="n">
        <v>1750</v>
      </c>
    </row>
    <row r="102">
      <c r="A102" s="4" t="inlineStr">
        <is>
          <t>Facility rent</t>
        </is>
      </c>
      <c r="B102" s="9" t="n">
        <v>3000</v>
      </c>
    </row>
    <row r="103">
      <c r="A103" s="4" t="inlineStr">
        <is>
          <t>Marketing / patient acquisition</t>
        </is>
      </c>
      <c r="B103" s="9" t="n">
        <v>3000</v>
      </c>
    </row>
    <row r="105">
      <c r="A105" s="3" t="inlineStr">
        <is>
          <t>G3. VARIABLE G&amp;A</t>
        </is>
      </c>
    </row>
    <row r="106">
      <c r="A106" s="4" t="inlineStr">
        <is>
          <t>Outsourced billing fee (% of gross)</t>
        </is>
      </c>
      <c r="B106" s="8" t="n">
        <v>0.015</v>
      </c>
    </row>
    <row r="107">
      <c r="A107" s="4" t="inlineStr">
        <is>
          <t>QR payment fee (% of gross)</t>
        </is>
      </c>
      <c r="B107" s="8" t="n">
        <v>0.0075</v>
      </c>
    </row>
    <row r="109">
      <c r="A109" s="3" t="inlineStr">
        <is>
          <t>H. CAPITAL STRUCTURE (startup - NO acquisition)</t>
        </is>
      </c>
    </row>
    <row r="110">
      <c r="A110" s="4" t="inlineStr">
        <is>
          <t>SBA 7(a) loan principal ($)</t>
        </is>
      </c>
      <c r="B110" s="9" t="n">
        <v>500000</v>
      </c>
    </row>
    <row r="111">
      <c r="A111" s="4" t="inlineStr">
        <is>
          <t>SBA interest rate (APR)</t>
        </is>
      </c>
      <c r="B111" s="7" t="n">
        <v>0.115</v>
      </c>
    </row>
    <row r="112">
      <c r="A112" s="4" t="inlineStr">
        <is>
          <t>SBA term (months)</t>
        </is>
      </c>
      <c r="B112" s="17" t="n">
        <v>120</v>
      </c>
    </row>
    <row r="113">
      <c r="A113" s="4" t="inlineStr">
        <is>
          <t>Owner equity injection ($)</t>
        </is>
      </c>
      <c r="B113" s="9" t="n">
        <v>250000</v>
      </c>
    </row>
    <row r="114">
      <c r="A114" s="4" t="inlineStr">
        <is>
          <t>Working-capital line limit ($)</t>
        </is>
      </c>
      <c r="B114" s="9" t="n">
        <v>100000</v>
      </c>
    </row>
    <row r="115">
      <c r="A115" s="4" t="inlineStr">
        <is>
          <t>Working-capital line rate (APR)</t>
        </is>
      </c>
      <c r="B115" s="7" t="n">
        <v>0.105</v>
      </c>
    </row>
    <row r="116">
      <c r="A116" s="4" t="inlineStr">
        <is>
          <t>Minimum cash floor ($)</t>
        </is>
      </c>
      <c r="B116" s="9" t="n">
        <v>25000</v>
      </c>
    </row>
    <row r="117">
      <c r="A117" s="4" t="inlineStr">
        <is>
          <t>Startup capex - equipment ($)</t>
        </is>
      </c>
      <c r="B117" s="9" t="n">
        <v>15000</v>
      </c>
    </row>
    <row r="118">
      <c r="A118" s="4" t="inlineStr">
        <is>
          <t>Depreciation / amortization life (yrs)</t>
        </is>
      </c>
      <c r="B118" s="17" t="n">
        <v>5</v>
      </c>
    </row>
    <row r="119">
      <c r="A119" s="4" t="inlineStr">
        <is>
          <t>TX franchise/margin tax (eff.)</t>
        </is>
      </c>
      <c r="B119" s="8" t="n">
        <v>0.00375</v>
      </c>
    </row>
    <row r="120">
      <c r="A120" s="4" t="inlineStr">
        <is>
          <t>Hickory Medicare license - acquisition cost ($)</t>
        </is>
      </c>
      <c r="B120" s="9" t="n">
        <v>300000</v>
      </c>
    </row>
    <row r="121">
      <c r="A121" s="4" t="inlineStr">
        <is>
          <t>License note interest rate (APR)</t>
        </is>
      </c>
      <c r="B121" s="7" t="n">
        <v>0.06</v>
      </c>
    </row>
    <row r="122">
      <c r="A122" s="4" t="inlineStr">
        <is>
          <t>License note term (months)</t>
        </is>
      </c>
      <c r="B122" s="17" t="n">
        <v>36</v>
      </c>
    </row>
    <row r="123">
      <c r="A123" s="4" t="inlineStr">
        <is>
          <t>License intangible amortization life (yrs)</t>
        </is>
      </c>
      <c r="B123" s="17" t="n">
        <v>15</v>
      </c>
    </row>
    <row r="125">
      <c r="A125" s="3" t="inlineStr">
        <is>
          <t>H2. STARTUP ONE-TIME USES (Sources &amp; Uses)</t>
        </is>
      </c>
    </row>
    <row r="126">
      <c r="A126" s="4" t="inlineStr">
        <is>
          <t>CHOW filing / 855A change-of-ownership</t>
        </is>
      </c>
      <c r="B126" s="9" t="n">
        <v>3000</v>
      </c>
    </row>
    <row r="127">
      <c r="A127" s="4" t="inlineStr">
        <is>
          <t>TX state licensure</t>
        </is>
      </c>
      <c r="B127" s="9" t="n">
        <v>5000</v>
      </c>
    </row>
    <row r="128">
      <c r="A128" s="4" t="inlineStr">
        <is>
          <t>EMR implementation / setup</t>
        </is>
      </c>
      <c r="B128" s="9" t="n">
        <v>10000</v>
      </c>
    </row>
    <row r="129">
      <c r="A129" s="4" t="inlineStr">
        <is>
          <t>Initial medical-supply stock</t>
        </is>
      </c>
      <c r="B129" s="9" t="n">
        <v>10000</v>
      </c>
    </row>
    <row r="130">
      <c r="A130" s="4" t="inlineStr">
        <is>
          <t>Legal / entity formation</t>
        </is>
      </c>
      <c r="B130" s="9" t="n">
        <v>15000</v>
      </c>
    </row>
    <row r="131">
      <c r="A131" s="4" t="inlineStr">
        <is>
          <t>Contingency</t>
        </is>
      </c>
      <c r="B131" s="9" t="n">
        <v>20000</v>
      </c>
    </row>
    <row r="133">
      <c r="A133" s="3" t="inlineStr">
        <is>
          <t>I. WORKING CAPITAL</t>
        </is>
      </c>
    </row>
    <row r="134">
      <c r="A134" s="4" t="inlineStr">
        <is>
          <t>Accounts-receivable days (Medicare RAP-to-final lag)</t>
        </is>
      </c>
      <c r="B134" s="17" t="n">
        <v>45</v>
      </c>
    </row>
    <row r="135">
      <c r="A135" s="4" t="inlineStr">
        <is>
          <t>Accounts-payable days</t>
        </is>
      </c>
      <c r="B135" s="17" t="n">
        <v>30</v>
      </c>
    </row>
    <row r="137">
      <c r="A137" s="3" t="inlineStr">
        <is>
          <t>DERIVED CAPITAL HELPERS</t>
        </is>
      </c>
    </row>
    <row r="138">
      <c r="A138" s="12" t="inlineStr">
        <is>
          <t>Total startup one-time uses</t>
        </is>
      </c>
      <c r="B138" s="23">
        <f>SUM(B126:B131)</f>
        <v/>
      </c>
    </row>
    <row r="139">
      <c r="A139" s="12" t="inlineStr">
        <is>
          <t>Opening cash = equity + loan - startup - capex</t>
        </is>
      </c>
      <c r="B139" s="23">
        <f>Inputs!$B$113+Inputs!$B$110-Inputs!$B$138-Inputs!$B$117</f>
        <v/>
      </c>
    </row>
    <row r="140">
      <c r="A140" s="4" t="inlineStr">
        <is>
          <t>Monthly D&amp;A (capex+startup over 5 yr, license over 15 yr)</t>
        </is>
      </c>
      <c r="B140" s="24">
        <f>(Inputs!$B$117+Inputs!$B$138)/Inputs!$B$118/12+Inputs!$B$120/Inputs!$B$123/12</f>
        <v/>
      </c>
    </row>
  </sheetData>
  <mergeCells count="18">
    <mergeCell ref="A2:V2"/>
    <mergeCell ref="A16:V16"/>
    <mergeCell ref="A137:V137"/>
    <mergeCell ref="A76:V76"/>
    <mergeCell ref="A90:V90"/>
    <mergeCell ref="A109:V109"/>
    <mergeCell ref="A85:V85"/>
    <mergeCell ref="A1:V1"/>
    <mergeCell ref="A80:V80"/>
    <mergeCell ref="A133:V133"/>
    <mergeCell ref="A61:V61"/>
    <mergeCell ref="A125:V125"/>
    <mergeCell ref="A27:V27"/>
    <mergeCell ref="A105:V105"/>
    <mergeCell ref="A69:V69"/>
    <mergeCell ref="A35:V35"/>
    <mergeCell ref="A4:V4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G9"/>
  <sheetViews>
    <sheetView showGridLines="0" tabSelected="1" zoomScale="10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Operations Dashboard - live KPIs (all formula-driven from the engine)</t>
        </is>
      </c>
    </row>
    <row r="4">
      <c r="A4" s="3" t="inlineStr">
        <is>
          <t>KEY PERFORMANCE INDICATORS</t>
        </is>
      </c>
    </row>
    <row r="5">
      <c r="A5" s="25" t="inlineStr">
        <is>
          <t>Y3 run-rate net revenue</t>
        </is>
      </c>
      <c r="B5" s="26" t="n"/>
      <c r="C5" s="25" t="inlineStr">
        <is>
          <t>Y3 EBITDA margin</t>
        </is>
      </c>
      <c r="D5" s="26" t="n"/>
      <c r="E5" s="25" t="inlineStr">
        <is>
          <t>Min cash balance</t>
        </is>
      </c>
      <c r="F5" s="26" t="n"/>
    </row>
    <row r="6">
      <c r="A6" s="27">
        <f>SUM('Operating Budget'!S6:V6)</f>
        <v/>
      </c>
      <c r="C6" s="28">
        <f>SUM('Operating Budget'!S24:V24)/SUM('Operating Budget'!S6:V6)</f>
        <v/>
      </c>
      <c r="E6" s="27">
        <f>MIN('Cash Flow &amp; BS'!C21:V21)</f>
        <v/>
      </c>
    </row>
    <row r="8">
      <c r="A8" s="25" t="inlineStr">
        <is>
          <t>Min DSCR (Y1 monthly)</t>
        </is>
      </c>
      <c r="B8" s="26" t="n"/>
      <c r="C8" s="25" t="inlineStr">
        <is>
          <t>Peak working-capital draw</t>
        </is>
      </c>
      <c r="D8" s="26" t="n"/>
      <c r="E8" s="25" t="inlineStr">
        <is>
          <t>Blended net rate / PD</t>
        </is>
      </c>
      <c r="F8" s="26" t="n"/>
    </row>
    <row r="9">
      <c r="A9" s="29">
        <f>MIN('Debt Schedule'!C29:N29)</f>
        <v/>
      </c>
      <c r="C9" s="27">
        <f>MAX('Cash Flow &amp; BS'!C20:V20)</f>
        <v/>
      </c>
      <c r="E9" s="30">
        <f>Inputs!$B$21</f>
        <v/>
      </c>
    </row>
  </sheetData>
  <mergeCells count="15">
    <mergeCell ref="E9:F9"/>
    <mergeCell ref="E6:F6"/>
    <mergeCell ref="A1:G1"/>
    <mergeCell ref="C6:D6"/>
    <mergeCell ref="E8:F8"/>
    <mergeCell ref="C5:D5"/>
    <mergeCell ref="A5:B5"/>
    <mergeCell ref="A4:G4"/>
    <mergeCell ref="E5:F5"/>
    <mergeCell ref="A2:G2"/>
    <mergeCell ref="C9:D9"/>
    <mergeCell ref="A9:B9"/>
    <mergeCell ref="A8:B8"/>
    <mergeCell ref="A6:B6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E15"/>
  <sheetViews>
    <sheetView showGridLines="0" tabSelected="0" zoomScale="10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Monthly Actuals vs Budget - enter month actuals (blue); variance auto-flags &gt; 10%</t>
        </is>
      </c>
    </row>
    <row r="4">
      <c r="A4" s="31" t="inlineStr">
        <is>
          <t>Reporting month (1-12)</t>
        </is>
      </c>
      <c r="B4" s="17" t="n">
        <v>3</v>
      </c>
    </row>
    <row r="6">
      <c r="A6" s="32" t="inlineStr">
        <is>
          <t>Line</t>
        </is>
      </c>
      <c r="B6" s="32" t="inlineStr">
        <is>
          <t>Budget</t>
        </is>
      </c>
      <c r="C6" s="32" t="inlineStr">
        <is>
          <t>Actual</t>
        </is>
      </c>
      <c r="D6" s="32" t="inlineStr">
        <is>
          <t>Variance</t>
        </is>
      </c>
      <c r="E6" s="32" t="inlineStr">
        <is>
          <t>Flag</t>
        </is>
      </c>
    </row>
    <row r="7">
      <c r="A7" s="4" t="inlineStr">
        <is>
          <t>Net revenue</t>
        </is>
      </c>
      <c r="B7" s="33">
        <f>INDEX('Operating Budget'!C6:N6,$B$4)</f>
        <v/>
      </c>
      <c r="C7" s="9" t="n">
        <v>0</v>
      </c>
      <c r="D7" s="34">
        <f>IF(B7=0,0,(C7-B7)/B7)</f>
        <v/>
      </c>
      <c r="E7" s="35">
        <f>IF(ABS(D7)&gt;0.1,"FLAG &gt;10%","ok")</f>
        <v/>
      </c>
    </row>
    <row r="8">
      <c r="A8" s="4" t="inlineStr">
        <is>
          <t>Total COGS</t>
        </is>
      </c>
      <c r="B8" s="33">
        <f>INDEX('Operating Budget'!C14:N14,$B$4)</f>
        <v/>
      </c>
      <c r="C8" s="9" t="n">
        <v>0</v>
      </c>
      <c r="D8" s="34">
        <f>IF(B8=0,0,(C8-B8)/B8)</f>
        <v/>
      </c>
      <c r="E8" s="35">
        <f>IF(ABS(D8)&gt;0.1,"FLAG &gt;10%","ok")</f>
        <v/>
      </c>
    </row>
    <row r="9">
      <c r="A9" s="4" t="inlineStr">
        <is>
          <t>Gross profit</t>
        </is>
      </c>
      <c r="B9" s="33">
        <f>INDEX('Operating Budget'!C15:N15,$B$4)</f>
        <v/>
      </c>
      <c r="C9" s="9" t="n">
        <v>0</v>
      </c>
      <c r="D9" s="34">
        <f>IF(B9=0,0,(C9-B9)/B9)</f>
        <v/>
      </c>
      <c r="E9" s="35">
        <f>IF(ABS(D9)&gt;0.1,"FLAG &gt;10%","ok")</f>
        <v/>
      </c>
    </row>
    <row r="10">
      <c r="A10" s="4" t="inlineStr">
        <is>
          <t>Total SG&amp;A</t>
        </is>
      </c>
      <c r="B10" s="33">
        <f>INDEX('Operating Budget'!C23:N23,$B$4)</f>
        <v/>
      </c>
      <c r="C10" s="9" t="n">
        <v>0</v>
      </c>
      <c r="D10" s="34">
        <f>IF(B10=0,0,(C10-B10)/B10)</f>
        <v/>
      </c>
      <c r="E10" s="35">
        <f>IF(ABS(D10)&gt;0.1,"FLAG &gt;10%","ok")</f>
        <v/>
      </c>
    </row>
    <row r="11">
      <c r="A11" s="4" t="inlineStr">
        <is>
          <t>EBITDA</t>
        </is>
      </c>
      <c r="B11" s="33">
        <f>INDEX('Operating Budget'!C24:N24,$B$4)</f>
        <v/>
      </c>
      <c r="C11" s="9" t="n">
        <v>0</v>
      </c>
      <c r="D11" s="34">
        <f>IF(B11=0,0,(C11-B11)/B11)</f>
        <v/>
      </c>
      <c r="E11" s="35">
        <f>IF(ABS(D11)&gt;0.1,"FLAG &gt;10%","ok")</f>
        <v/>
      </c>
    </row>
    <row r="12">
      <c r="A12" s="4" t="inlineStr">
        <is>
          <t>Net income</t>
        </is>
      </c>
      <c r="B12" s="33">
        <f>INDEX('Operating Budget'!C34:N34,$B$4)</f>
        <v/>
      </c>
      <c r="C12" s="9" t="n">
        <v>0</v>
      </c>
      <c r="D12" s="34">
        <f>IF(B12=0,0,(C12-B12)/B12)</f>
        <v/>
      </c>
      <c r="E12" s="35">
        <f>IF(ABS(D12)&gt;0.1,"FLAG &gt;10%","ok")</f>
        <v/>
      </c>
    </row>
    <row r="14">
      <c r="A14" s="36" t="inlineStr">
        <is>
          <t>Budget pulls the selected month from the engine; enter actuals from the close. Flag fires when |variance| &gt; 10%.</t>
        </is>
      </c>
    </row>
    <row r="15"/>
  </sheetData>
  <mergeCells count="3">
    <mergeCell ref="A2:E2"/>
    <mergeCell ref="A14:E15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G36"/>
  <sheetViews>
    <sheetView showGridLines="0" tabSelected="0" zoomScale="10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Tracker - staggered-hire calendar | capacity vs demand | open requisitions</t>
        </is>
      </c>
    </row>
    <row r="4">
      <c r="A4" s="3" t="inlineStr">
        <is>
          <t>HIRE CALENDAR</t>
        </is>
      </c>
    </row>
    <row r="5">
      <c r="A5" s="37" t="inlineStr">
        <is>
          <t>Name</t>
        </is>
      </c>
      <c r="B5" s="37" t="inlineStr">
        <is>
          <t>Role</t>
        </is>
      </c>
      <c r="C5" s="37" t="inlineStr">
        <is>
          <t>Annual salary</t>
        </is>
      </c>
      <c r="D5" s="37" t="inlineStr">
        <is>
          <t>Start month</t>
        </is>
      </c>
      <c r="E5" s="37" t="inlineStr">
        <is>
          <t>Status</t>
        </is>
      </c>
    </row>
    <row r="6">
      <c r="A6" s="4" t="inlineStr">
        <is>
          <t>Brad Woodard</t>
        </is>
      </c>
      <c r="B6" s="20" t="inlineStr">
        <is>
          <t>Administrator / Director</t>
        </is>
      </c>
      <c r="C6" s="33">
        <f>Inputs!$C$37</f>
        <v/>
      </c>
      <c r="D6" s="38">
        <f>Inputs!$D$37</f>
        <v/>
      </c>
      <c r="E6" s="20" t="inlineStr">
        <is>
          <t>Filled</t>
        </is>
      </c>
    </row>
    <row r="7">
      <c r="A7" s="4" t="inlineStr">
        <is>
          <t>Angie Frost</t>
        </is>
      </c>
      <c r="B7" s="20" t="inlineStr">
        <is>
          <t>RN Case Manager</t>
        </is>
      </c>
      <c r="C7" s="33">
        <f>Inputs!$C$38</f>
        <v/>
      </c>
      <c r="D7" s="38">
        <f>Inputs!$D$38</f>
        <v/>
      </c>
      <c r="E7" s="20" t="inlineStr">
        <is>
          <t>Filled</t>
        </is>
      </c>
    </row>
    <row r="8">
      <c r="A8" s="4" t="inlineStr">
        <is>
          <t>Tanisha Robison</t>
        </is>
      </c>
      <c r="B8" s="20" t="inlineStr">
        <is>
          <t>CNA / Hospice Aide</t>
        </is>
      </c>
      <c r="C8" s="33">
        <f>Inputs!$C$39</f>
        <v/>
      </c>
      <c r="D8" s="38">
        <f>Inputs!$D$39</f>
        <v/>
      </c>
      <c r="E8" s="20" t="inlineStr">
        <is>
          <t>Filled</t>
        </is>
      </c>
    </row>
    <row r="9">
      <c r="A9" s="4" t="inlineStr">
        <is>
          <t>Dana Davenport</t>
        </is>
      </c>
      <c r="B9" s="20" t="inlineStr">
        <is>
          <t>Director of Clinical Services</t>
        </is>
      </c>
      <c r="C9" s="33">
        <f>Inputs!$C$40</f>
        <v/>
      </c>
      <c r="D9" s="38">
        <f>Inputs!$D$40</f>
        <v/>
      </c>
      <c r="E9" s="20" t="inlineStr">
        <is>
          <t>Filled</t>
        </is>
      </c>
    </row>
    <row r="10">
      <c r="A10" s="4" t="inlineStr">
        <is>
          <t>Silas Shelton</t>
        </is>
      </c>
      <c r="B10" s="20" t="inlineStr">
        <is>
          <t>Administrator</t>
        </is>
      </c>
      <c r="C10" s="33">
        <f>Inputs!$C$41</f>
        <v/>
      </c>
      <c r="D10" s="38">
        <f>Inputs!$D$41</f>
        <v/>
      </c>
      <c r="E10" s="20" t="inlineStr">
        <is>
          <t>Filled</t>
        </is>
      </c>
    </row>
    <row r="11">
      <c r="A11" s="4" t="inlineStr">
        <is>
          <t>Jodi McCollum</t>
        </is>
      </c>
      <c r="B11" s="20" t="inlineStr">
        <is>
          <t>RN Case Manager (2nd seat)</t>
        </is>
      </c>
      <c r="C11" s="33">
        <f>Inputs!$C$42</f>
        <v/>
      </c>
      <c r="D11" s="38">
        <f>Inputs!$D$42</f>
        <v/>
      </c>
      <c r="E11" s="39" t="inlineStr">
        <is>
          <t>OPEN REQ</t>
        </is>
      </c>
    </row>
    <row r="12">
      <c r="A12" s="4" t="inlineStr">
        <is>
          <t>Director of Business Development</t>
        </is>
      </c>
      <c r="B12" s="20" t="inlineStr">
        <is>
          <t>Sales / referrals (growth driver)</t>
        </is>
      </c>
      <c r="C12" s="33">
        <f>Inputs!$C$43</f>
        <v/>
      </c>
      <c r="D12" s="38">
        <f>Inputs!$D$43</f>
        <v/>
      </c>
      <c r="E12" s="20" t="inlineStr">
        <is>
          <t>Filled</t>
        </is>
      </c>
    </row>
    <row r="13">
      <c r="A13" s="4" t="inlineStr">
        <is>
          <t>Capacity hire - 2nd CNA</t>
        </is>
      </c>
      <c r="B13" s="20" t="inlineStr">
        <is>
          <t>CNA / Hospice Aide (capacity-driven, triggers ADC&gt;=25)</t>
        </is>
      </c>
      <c r="C13" s="33">
        <f>Inputs!$C$44</f>
        <v/>
      </c>
      <c r="D13" s="38">
        <f>Inputs!$D$44</f>
        <v/>
      </c>
      <c r="E13" s="20" t="inlineStr">
        <is>
          <t>Filled</t>
        </is>
      </c>
    </row>
    <row r="14">
      <c r="A14" s="4" t="inlineStr">
        <is>
          <t>FT Social Worker (MSW)</t>
        </is>
      </c>
      <c r="B14" s="20" t="inlineStr">
        <is>
          <t>Core IDG MSW (converts PRN SW to salaried)</t>
        </is>
      </c>
      <c r="C14" s="33">
        <f>Inputs!$C$45</f>
        <v/>
      </c>
      <c r="D14" s="38">
        <f>Inputs!$D$45</f>
        <v/>
      </c>
      <c r="E14" s="20" t="inlineStr">
        <is>
          <t>Filled</t>
        </is>
      </c>
    </row>
    <row r="15">
      <c r="A15" s="4" t="inlineStr">
        <is>
          <t>FT LVN - visits / on-call</t>
        </is>
      </c>
      <c r="B15" s="20" t="inlineStr">
        <is>
          <t>Core IDG LVN (converts PRN LVN to salaried)</t>
        </is>
      </c>
      <c r="C15" s="33">
        <f>Inputs!$C$46</f>
        <v/>
      </c>
      <c r="D15" s="38">
        <f>Inputs!$D$46</f>
        <v/>
      </c>
      <c r="E15" s="20" t="inlineStr">
        <is>
          <t>Filled</t>
        </is>
      </c>
    </row>
    <row r="16">
      <c r="A16" s="4" t="inlineStr">
        <is>
          <t>FT Chaplain</t>
        </is>
      </c>
      <c r="B16" s="20" t="inlineStr">
        <is>
          <t>Core IDG spiritual care (converts PRN chaplain to FT)</t>
        </is>
      </c>
      <c r="C16" s="33">
        <f>Inputs!$C$47</f>
        <v/>
      </c>
      <c r="D16" s="38">
        <f>Inputs!$D$47</f>
        <v/>
      </c>
      <c r="E16" s="20" t="inlineStr">
        <is>
          <t>Filled</t>
        </is>
      </c>
    </row>
    <row r="17">
      <c r="A17" s="4" t="inlineStr">
        <is>
          <t>Capacity hire - 3rd RN</t>
        </is>
      </c>
      <c r="B17" s="20" t="inlineStr">
        <is>
          <t>RN Case Manager (capacity-driven, ADC&gt;=30)</t>
        </is>
      </c>
      <c r="C17" s="33">
        <f>Inputs!$C$48</f>
        <v/>
      </c>
      <c r="D17" s="38">
        <f>Inputs!$D$48</f>
        <v/>
      </c>
      <c r="E17" s="20" t="inlineStr">
        <is>
          <t>Filled</t>
        </is>
      </c>
    </row>
    <row r="18">
      <c r="A18" s="4" t="inlineStr">
        <is>
          <t>Capacity hire - 3rd CNA</t>
        </is>
      </c>
      <c r="B18" s="20" t="inlineStr">
        <is>
          <t>CNA / Hospice Aide (capacity-driven, ADC&gt;=32)</t>
        </is>
      </c>
      <c r="C18" s="33">
        <f>Inputs!$C$49</f>
        <v/>
      </c>
      <c r="D18" s="38">
        <f>Inputs!$D$49</f>
        <v/>
      </c>
      <c r="E18" s="20" t="inlineStr">
        <is>
          <t>Filled</t>
        </is>
      </c>
    </row>
    <row r="19">
      <c r="A19" s="4" t="inlineStr">
        <is>
          <t>Capacity hire - 4th RN</t>
        </is>
      </c>
      <c r="B19" s="20" t="inlineStr">
        <is>
          <t>RN Case Manager (capacity-driven, ADC&gt;=38)</t>
        </is>
      </c>
      <c r="C19" s="33">
        <f>Inputs!$C$50</f>
        <v/>
      </c>
      <c r="D19" s="38">
        <f>Inputs!$D$50</f>
        <v/>
      </c>
      <c r="E19" s="20" t="inlineStr">
        <is>
          <t>Filled</t>
        </is>
      </c>
    </row>
    <row r="20">
      <c r="A20" s="4" t="inlineStr">
        <is>
          <t>Capacity hire - 4th CNA</t>
        </is>
      </c>
      <c r="B20" s="20" t="inlineStr">
        <is>
          <t>CNA / Hospice Aide (capacity-driven, ADC&gt;=40)</t>
        </is>
      </c>
      <c r="C20" s="33">
        <f>Inputs!$C$51</f>
        <v/>
      </c>
      <c r="D20" s="38">
        <f>Inputs!$D$51</f>
        <v/>
      </c>
      <c r="E20" s="20" t="inlineStr">
        <is>
          <t>Filled</t>
        </is>
      </c>
    </row>
    <row r="21">
      <c r="A21" s="4" t="inlineStr">
        <is>
          <t>Capacity hire - 5th RN</t>
        </is>
      </c>
      <c r="B21" s="20" t="inlineStr">
        <is>
          <t>RN Case Manager (capacity-driven, ADC&gt;=48)</t>
        </is>
      </c>
      <c r="C21" s="33">
        <f>Inputs!$C$52</f>
        <v/>
      </c>
      <c r="D21" s="38">
        <f>Inputs!$D$52</f>
        <v/>
      </c>
      <c r="E21" s="20" t="inlineStr">
        <is>
          <t>Filled</t>
        </is>
      </c>
    </row>
    <row r="22">
      <c r="A22" s="4" t="inlineStr">
        <is>
          <t>Capacity hire - 5th CNA</t>
        </is>
      </c>
      <c r="B22" s="20" t="inlineStr">
        <is>
          <t>CNA / Hospice Aide (capacity-driven, ADC&gt;=50)</t>
        </is>
      </c>
      <c r="C22" s="33">
        <f>Inputs!$C$53</f>
        <v/>
      </c>
      <c r="D22" s="38">
        <f>Inputs!$D$53</f>
        <v/>
      </c>
      <c r="E22" s="20" t="inlineStr">
        <is>
          <t>Filled</t>
        </is>
      </c>
    </row>
    <row r="23">
      <c r="A23" s="4" t="inlineStr">
        <is>
          <t>Capacity hire - 6th CNA</t>
        </is>
      </c>
      <c r="B23" s="20" t="inlineStr">
        <is>
          <t>CNA / Hospice Aide (capacity-driven, ADC&gt;=54)</t>
        </is>
      </c>
      <c r="C23" s="33">
        <f>Inputs!$C$54</f>
        <v/>
      </c>
      <c r="D23" s="38">
        <f>Inputs!$D$54</f>
        <v/>
      </c>
      <c r="E23" s="20" t="inlineStr">
        <is>
          <t>Filled</t>
        </is>
      </c>
    </row>
    <row r="24">
      <c r="A24" s="4" t="inlineStr">
        <is>
          <t>Capacity hire - 6th RN</t>
        </is>
      </c>
      <c r="B24" s="20" t="inlineStr">
        <is>
          <t>RN Case Manager (capacity-driven, ADC&gt;=55)</t>
        </is>
      </c>
      <c r="C24" s="33">
        <f>Inputs!$C$55</f>
        <v/>
      </c>
      <c r="D24" s="38">
        <f>Inputs!$D$55</f>
        <v/>
      </c>
      <c r="E24" s="20" t="inlineStr">
        <is>
          <t>Filled</t>
        </is>
      </c>
    </row>
    <row r="25">
      <c r="A25" s="4" t="inlineStr">
        <is>
          <t>Quality / Compliance Manager</t>
        </is>
      </c>
      <c r="B25" s="20" t="inlineStr">
        <is>
          <t>QAPI program | CoP compliance | surveys</t>
        </is>
      </c>
      <c r="C25" s="33">
        <f>Inputs!$C$56</f>
        <v/>
      </c>
      <c r="D25" s="38">
        <f>Inputs!$D$56</f>
        <v/>
      </c>
      <c r="E25" s="20" t="inlineStr">
        <is>
          <t>Filled</t>
        </is>
      </c>
    </row>
    <row r="26">
      <c r="A26" s="4" t="inlineStr">
        <is>
          <t>Intake / Admissions Coordinator</t>
        </is>
      </c>
      <c r="B26" s="20" t="inlineStr">
        <is>
          <t>Referral intake | IDG admit coordination</t>
        </is>
      </c>
      <c r="C26" s="33">
        <f>Inputs!$C$57</f>
        <v/>
      </c>
      <c r="D26" s="38">
        <f>Inputs!$D$57</f>
        <v/>
      </c>
      <c r="E26" s="20" t="inlineStr">
        <is>
          <t>Filled</t>
        </is>
      </c>
    </row>
    <row r="27">
      <c r="A27" s="4" t="inlineStr">
        <is>
          <t>Volunteer Coordinator</t>
        </is>
      </c>
      <c r="B27" s="20" t="inlineStr">
        <is>
          <t>Medicare CoP requirement | volunteer hours</t>
        </is>
      </c>
      <c r="C27" s="33">
        <f>Inputs!$C$58</f>
        <v/>
      </c>
      <c r="D27" s="38">
        <f>Inputs!$D$58</f>
        <v/>
      </c>
      <c r="E27" s="20" t="inlineStr">
        <is>
          <t>Filled</t>
        </is>
      </c>
    </row>
    <row r="29">
      <c r="A29" s="3" t="inlineStr">
        <is>
          <t>CAPACITY vs DEMAND (steady-state ADC 22)</t>
        </is>
      </c>
    </row>
    <row r="30">
      <c r="A30" s="4" t="inlineStr">
        <is>
          <t>RN case managers needed = ADC ÷ caseload</t>
        </is>
      </c>
      <c r="C30" s="40">
        <f>ROUNDUP('Revenue Model'!E10/Inputs!$B$70,0)</f>
        <v/>
      </c>
    </row>
    <row r="31">
      <c r="A31" s="4" t="inlineStr">
        <is>
          <t>Aides needed = ADC ÷ caseload</t>
        </is>
      </c>
      <c r="C31" s="40">
        <f>ROUNDUP('Revenue Model'!E10/Inputs!$B$71,0)</f>
        <v/>
      </c>
    </row>
    <row r="32">
      <c r="A32" s="4" t="inlineStr">
        <is>
          <t>Target visits / RN / day</t>
        </is>
      </c>
      <c r="C32" s="40">
        <f>Inputs!$B$72</f>
        <v/>
      </c>
    </row>
    <row r="33">
      <c r="A33" s="4" t="inlineStr">
        <is>
          <t>Target visits / aide / day</t>
        </is>
      </c>
      <c r="C33" s="40">
        <f>Inputs!$B$73</f>
        <v/>
      </c>
    </row>
    <row r="35">
      <c r="A35" s="36" t="inlineStr">
        <is>
          <t>Jodi McCollum's 2nd RN-CM seat is funded but vacant - modeled to start M4 as census coverage requires. Track real churn beyond this one open req.</t>
        </is>
      </c>
    </row>
    <row r="36"/>
  </sheetData>
  <mergeCells count="5">
    <mergeCell ref="A35:G36"/>
    <mergeCell ref="A1:G1"/>
    <mergeCell ref="A4:G4"/>
    <mergeCell ref="A2:G2"/>
    <mergeCell ref="A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F19"/>
  <sheetViews>
    <sheetView showGridLines="0" tabSelected="0" zoomScale="10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Medicare Cap Monitor (inherited day-counts) + Payroll Reconciliation</t>
        </is>
      </c>
    </row>
    <row r="4">
      <c r="A4" s="3" t="inlineStr">
        <is>
          <t>MEDICARE AGGREGATE CAP - by year</t>
        </is>
      </c>
    </row>
    <row r="5">
      <c r="C5" s="32" t="inlineStr">
        <is>
          <t>Year 1</t>
        </is>
      </c>
      <c r="D5" s="32" t="inlineStr">
        <is>
          <t>Year 2</t>
        </is>
      </c>
      <c r="E5" s="32" t="inlineStr">
        <is>
          <t>Year 3</t>
        </is>
      </c>
    </row>
    <row r="6">
      <c r="A6" s="4" t="inlineStr">
        <is>
          <t>Unique beneficiaries (est.)</t>
        </is>
      </c>
      <c r="C6" s="17" t="n">
        <v>40</v>
      </c>
      <c r="D6" s="17" t="n">
        <v>55</v>
      </c>
      <c r="E6" s="17" t="n">
        <v>60</v>
      </c>
    </row>
    <row r="7">
      <c r="A7" s="4" t="inlineStr">
        <is>
          <t>Cap allowable = beneficiaries x cap</t>
        </is>
      </c>
      <c r="C7" s="33">
        <f>C6*Inputs!$B$13</f>
        <v/>
      </c>
      <c r="D7" s="33">
        <f>D6*Inputs!$B$13</f>
        <v/>
      </c>
      <c r="E7" s="33">
        <f>E6*Inputs!$B$13</f>
        <v/>
      </c>
    </row>
    <row r="8">
      <c r="A8" s="4" t="inlineStr">
        <is>
          <t>Gross Medicare revenue</t>
        </is>
      </c>
      <c r="C8" s="33">
        <f>SUM('Revenue Model'!C14:N14)</f>
        <v/>
      </c>
      <c r="D8" s="33">
        <f>SUM('Revenue Model'!O14:R14)</f>
        <v/>
      </c>
      <c r="E8" s="33">
        <f>SUM('Revenue Model'!S14:V14)</f>
        <v/>
      </c>
    </row>
    <row r="9">
      <c r="A9" s="31" t="inlineStr">
        <is>
          <t>Cap headroom (allowable - gross)</t>
        </is>
      </c>
      <c r="C9" s="41">
        <f>C7-C8</f>
        <v/>
      </c>
      <c r="D9" s="41">
        <f>D7-D8</f>
        <v/>
      </c>
      <c r="E9" s="41">
        <f>E7-E8</f>
        <v/>
      </c>
    </row>
    <row r="11">
      <c r="A11" s="3" t="inlineStr">
        <is>
          <t>PAYROLL RECONCILIATION (actual semi-monthly vs model)</t>
        </is>
      </c>
    </row>
    <row r="12">
      <c r="A12" s="32" t="inlineStr">
        <is>
          <t>Run</t>
        </is>
      </c>
      <c r="B12" s="32" t="inlineStr">
        <is>
          <t>1st half</t>
        </is>
      </c>
      <c r="C12" s="32" t="inlineStr">
        <is>
          <t>2nd half</t>
        </is>
      </c>
      <c r="D12" s="32" t="inlineStr">
        <is>
          <t>Month total</t>
        </is>
      </c>
    </row>
    <row r="13">
      <c r="A13" s="4" t="inlineStr">
        <is>
          <t>Apr 2025</t>
        </is>
      </c>
      <c r="B13" s="9" t="n">
        <v>22921.54</v>
      </c>
      <c r="C13" s="9" t="n">
        <v>22765.1</v>
      </c>
      <c r="D13" s="23">
        <f>B13+C13</f>
        <v/>
      </c>
    </row>
    <row r="14">
      <c r="A14" s="4" t="inlineStr">
        <is>
          <t>May 2025</t>
        </is>
      </c>
      <c r="B14" s="9" t="n">
        <v>22117.27</v>
      </c>
      <c r="C14" s="9" t="n">
        <v>21499.29</v>
      </c>
      <c r="D14" s="23">
        <f>B14+C14</f>
        <v/>
      </c>
    </row>
    <row r="15">
      <c r="A15" s="4" t="inlineStr">
        <is>
          <t>Jun 2025</t>
        </is>
      </c>
      <c r="B15" s="9" t="n">
        <v>31000</v>
      </c>
      <c r="C15" s="9" t="n">
        <v>27000</v>
      </c>
      <c r="D15" s="23">
        <f>B15+C15</f>
        <v/>
      </c>
    </row>
    <row r="16">
      <c r="A16" s="31" t="inlineStr">
        <is>
          <t>Model total labor (M3 steady)</t>
        </is>
      </c>
      <c r="D16" s="42">
        <f>'Staffing &amp; Payroll'!E53+'Staffing &amp; Payroll'!E54</f>
        <v/>
      </c>
    </row>
    <row r="18">
      <c r="A18" s="36" t="inlineStr">
        <is>
          <t>Cap monitor uses inherited mid-episode day-counts (estimate beneficiaries), not fresh admits. Payroll ties the 3 actual semi-monthly runs to the model's loaded labor.</t>
        </is>
      </c>
    </row>
    <row r="19"/>
  </sheetData>
  <mergeCells count="5">
    <mergeCell ref="A2:F2"/>
    <mergeCell ref="A11:F11"/>
    <mergeCell ref="A18:F19"/>
    <mergeCell ref="A1:F1"/>
    <mergeCell ref="A4:F4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1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Revenue Model - 100% Medicare RHC | accrual basis</t>
        </is>
      </c>
    </row>
    <row r="4">
      <c r="A4" s="3" t="inlineStr">
        <is>
          <t>RHC RATE (per patient-day) - linked from Inputs</t>
        </is>
      </c>
    </row>
    <row r="5">
      <c r="A5" s="4" t="inlineStr">
        <is>
          <t>Blended GROSS rate ($/PD)</t>
        </is>
      </c>
      <c r="B5" s="43">
        <f>Inputs!$B$20</f>
        <v/>
      </c>
    </row>
    <row r="6">
      <c r="A6" s="4" t="inlineStr">
        <is>
          <t>Blended NET rate ($/PD)</t>
        </is>
      </c>
      <c r="B6" s="43">
        <f>Inputs!$B$21</f>
        <v/>
      </c>
    </row>
    <row r="8">
      <c r="A8" s="44" t="inlineStr">
        <is>
          <t>($ per period)</t>
        </is>
      </c>
      <c r="C8" s="45" t="inlineStr">
        <is>
          <t>YEAR 1 - monthly</t>
        </is>
      </c>
      <c r="O8" s="45" t="inlineStr">
        <is>
          <t>YEAR 2 - quarterly</t>
        </is>
      </c>
      <c r="S8" s="45" t="inlineStr">
        <is>
          <t>YEAR 3 - quarterly</t>
        </is>
      </c>
    </row>
    <row r="9">
      <c r="A9" s="46" t="inlineStr"/>
      <c r="C9" s="32" t="inlineStr">
        <is>
          <t>M1</t>
        </is>
      </c>
      <c r="D9" s="32" t="inlineStr">
        <is>
          <t>M2</t>
        </is>
      </c>
      <c r="E9" s="32" t="inlineStr">
        <is>
          <t>M3</t>
        </is>
      </c>
      <c r="F9" s="32" t="inlineStr">
        <is>
          <t>M4</t>
        </is>
      </c>
      <c r="G9" s="32" t="inlineStr">
        <is>
          <t>M5</t>
        </is>
      </c>
      <c r="H9" s="32" t="inlineStr">
        <is>
          <t>M6</t>
        </is>
      </c>
      <c r="I9" s="32" t="inlineStr">
        <is>
          <t>M7</t>
        </is>
      </c>
      <c r="J9" s="32" t="inlineStr">
        <is>
          <t>M8</t>
        </is>
      </c>
      <c r="K9" s="32" t="inlineStr">
        <is>
          <t>M9</t>
        </is>
      </c>
      <c r="L9" s="32" t="inlineStr">
        <is>
          <t>M10</t>
        </is>
      </c>
      <c r="M9" s="32" t="inlineStr">
        <is>
          <t>M11</t>
        </is>
      </c>
      <c r="N9" s="32" t="inlineStr">
        <is>
          <t>M12</t>
        </is>
      </c>
      <c r="O9" s="32" t="inlineStr">
        <is>
          <t>Y2 Q1</t>
        </is>
      </c>
      <c r="P9" s="32" t="inlineStr">
        <is>
          <t>Y2 Q2</t>
        </is>
      </c>
      <c r="Q9" s="32" t="inlineStr">
        <is>
          <t>Y2 Q3</t>
        </is>
      </c>
      <c r="R9" s="32" t="inlineStr">
        <is>
          <t>Y2 Q4</t>
        </is>
      </c>
      <c r="S9" s="32" t="inlineStr">
        <is>
          <t>Y3 Q1</t>
        </is>
      </c>
      <c r="T9" s="32" t="inlineStr">
        <is>
          <t>Y3 Q2</t>
        </is>
      </c>
      <c r="U9" s="32" t="inlineStr">
        <is>
          <t>Y3 Q3</t>
        </is>
      </c>
      <c r="V9" s="32" t="inlineStr">
        <is>
          <t>Y3 Q4</t>
        </is>
      </c>
    </row>
    <row r="10">
      <c r="A10" s="20" t="inlineStr">
        <is>
          <t>Average daily census (ADC)</t>
        </is>
      </c>
      <c r="C10" s="40">
        <f>Inputs!C$33</f>
        <v/>
      </c>
      <c r="D10" s="40">
        <f>Inputs!D$33</f>
        <v/>
      </c>
      <c r="E10" s="40">
        <f>Inputs!E$33</f>
        <v/>
      </c>
      <c r="F10" s="40">
        <f>Inputs!F$33</f>
        <v/>
      </c>
      <c r="G10" s="40">
        <f>Inputs!G$33</f>
        <v/>
      </c>
      <c r="H10" s="40">
        <f>Inputs!H$33</f>
        <v/>
      </c>
      <c r="I10" s="40">
        <f>Inputs!I$33</f>
        <v/>
      </c>
      <c r="J10" s="40">
        <f>Inputs!J$33</f>
        <v/>
      </c>
      <c r="K10" s="40">
        <f>Inputs!K$33</f>
        <v/>
      </c>
      <c r="L10" s="40">
        <f>Inputs!L$33</f>
        <v/>
      </c>
      <c r="M10" s="40">
        <f>Inputs!M$33</f>
        <v/>
      </c>
      <c r="N10" s="40">
        <f>Inputs!N$33</f>
        <v/>
      </c>
      <c r="O10" s="40">
        <f>Inputs!O$33</f>
        <v/>
      </c>
      <c r="P10" s="40">
        <f>Inputs!P$33</f>
        <v/>
      </c>
      <c r="Q10" s="40">
        <f>Inputs!Q$33</f>
        <v/>
      </c>
      <c r="R10" s="40">
        <f>Inputs!R$33</f>
        <v/>
      </c>
      <c r="S10" s="40">
        <f>Inputs!S$33</f>
        <v/>
      </c>
      <c r="T10" s="40">
        <f>Inputs!T$33</f>
        <v/>
      </c>
      <c r="U10" s="40">
        <f>Inputs!U$33</f>
        <v/>
      </c>
      <c r="V10" s="40">
        <f>Inputs!V$33</f>
        <v/>
      </c>
    </row>
    <row r="11">
      <c r="A11" s="20" t="inlineStr">
        <is>
          <t>Days in period</t>
        </is>
      </c>
      <c r="C11" s="40">
        <f>Inputs!$B$25*1</f>
        <v/>
      </c>
      <c r="D11" s="40">
        <f>Inputs!$B$25*1</f>
        <v/>
      </c>
      <c r="E11" s="40">
        <f>Inputs!$B$25*1</f>
        <v/>
      </c>
      <c r="F11" s="40">
        <f>Inputs!$B$25*1</f>
        <v/>
      </c>
      <c r="G11" s="40">
        <f>Inputs!$B$25*1</f>
        <v/>
      </c>
      <c r="H11" s="40">
        <f>Inputs!$B$25*1</f>
        <v/>
      </c>
      <c r="I11" s="40">
        <f>Inputs!$B$25*1</f>
        <v/>
      </c>
      <c r="J11" s="40">
        <f>Inputs!$B$25*1</f>
        <v/>
      </c>
      <c r="K11" s="40">
        <f>Inputs!$B$25*1</f>
        <v/>
      </c>
      <c r="L11" s="40">
        <f>Inputs!$B$25*1</f>
        <v/>
      </c>
      <c r="M11" s="40">
        <f>Inputs!$B$25*1</f>
        <v/>
      </c>
      <c r="N11" s="40">
        <f>Inputs!$B$25*1</f>
        <v/>
      </c>
      <c r="O11" s="40">
        <f>Inputs!$B$25*3</f>
        <v/>
      </c>
      <c r="P11" s="40">
        <f>Inputs!$B$25*3</f>
        <v/>
      </c>
      <c r="Q11" s="40">
        <f>Inputs!$B$25*3</f>
        <v/>
      </c>
      <c r="R11" s="40">
        <f>Inputs!$B$25*3</f>
        <v/>
      </c>
      <c r="S11" s="40">
        <f>Inputs!$B$25*3</f>
        <v/>
      </c>
      <c r="T11" s="40">
        <f>Inputs!$B$25*3</f>
        <v/>
      </c>
      <c r="U11" s="40">
        <f>Inputs!$B$25*3</f>
        <v/>
      </c>
      <c r="V11" s="40">
        <f>Inputs!$B$25*3</f>
        <v/>
      </c>
    </row>
    <row r="12">
      <c r="A12" s="31" t="inlineStr">
        <is>
          <t>Patient-days</t>
        </is>
      </c>
      <c r="C12" s="47">
        <f>C10*C11</f>
        <v/>
      </c>
      <c r="D12" s="47">
        <f>D10*D11</f>
        <v/>
      </c>
      <c r="E12" s="47">
        <f>E10*E11</f>
        <v/>
      </c>
      <c r="F12" s="47">
        <f>F10*F11</f>
        <v/>
      </c>
      <c r="G12" s="47">
        <f>G10*G11</f>
        <v/>
      </c>
      <c r="H12" s="47">
        <f>H10*H11</f>
        <v/>
      </c>
      <c r="I12" s="47">
        <f>I10*I11</f>
        <v/>
      </c>
      <c r="J12" s="47">
        <f>J10*J11</f>
        <v/>
      </c>
      <c r="K12" s="47">
        <f>K10*K11</f>
        <v/>
      </c>
      <c r="L12" s="47">
        <f>L10*L11</f>
        <v/>
      </c>
      <c r="M12" s="47">
        <f>M10*M11</f>
        <v/>
      </c>
      <c r="N12" s="47">
        <f>N10*N11</f>
        <v/>
      </c>
      <c r="O12" s="47">
        <f>O10*O11</f>
        <v/>
      </c>
      <c r="P12" s="47">
        <f>P10*P11</f>
        <v/>
      </c>
      <c r="Q12" s="47">
        <f>Q10*Q11</f>
        <v/>
      </c>
      <c r="R12" s="47">
        <f>R10*R11</f>
        <v/>
      </c>
      <c r="S12" s="47">
        <f>S10*S11</f>
        <v/>
      </c>
      <c r="T12" s="47">
        <f>T10*T11</f>
        <v/>
      </c>
      <c r="U12" s="47">
        <f>U10*U11</f>
        <v/>
      </c>
      <c r="V12" s="47">
        <f>V10*V11</f>
        <v/>
      </c>
    </row>
    <row r="13">
      <c r="A13" s="21" t="inlineStr">
        <is>
          <t>Rate escalation factor (Y1 = 1.000, Y2+ compounded)</t>
        </is>
      </c>
      <c r="C13" s="10">
        <f>1</f>
        <v/>
      </c>
      <c r="D13" s="10">
        <f>1</f>
        <v/>
      </c>
      <c r="E13" s="10">
        <f>1</f>
        <v/>
      </c>
      <c r="F13" s="10">
        <f>1</f>
        <v/>
      </c>
      <c r="G13" s="10">
        <f>1</f>
        <v/>
      </c>
      <c r="H13" s="10">
        <f>1</f>
        <v/>
      </c>
      <c r="I13" s="10">
        <f>1</f>
        <v/>
      </c>
      <c r="J13" s="10">
        <f>1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(1+Inputs!$B$14)^1</f>
        <v/>
      </c>
      <c r="P13" s="10">
        <f>(1+Inputs!$B$14)^1</f>
        <v/>
      </c>
      <c r="Q13" s="10">
        <f>(1+Inputs!$B$14)^1</f>
        <v/>
      </c>
      <c r="R13" s="10">
        <f>(1+Inputs!$B$14)^1</f>
        <v/>
      </c>
      <c r="S13" s="10">
        <f>(1+Inputs!$B$14)^2</f>
        <v/>
      </c>
      <c r="T13" s="10">
        <f>(1+Inputs!$B$14)^2</f>
        <v/>
      </c>
      <c r="U13" s="10">
        <f>(1+Inputs!$B$14)^2</f>
        <v/>
      </c>
      <c r="V13" s="10">
        <f>(1+Inputs!$B$14)^2</f>
        <v/>
      </c>
    </row>
    <row r="14">
      <c r="A14" s="20" t="inlineStr">
        <is>
          <t>Gross Medicare revenue</t>
        </is>
      </c>
      <c r="C14" s="24">
        <f>C12*Inputs!$B$20*C13</f>
        <v/>
      </c>
      <c r="D14" s="24">
        <f>D12*Inputs!$B$20*D13</f>
        <v/>
      </c>
      <c r="E14" s="24">
        <f>E12*Inputs!$B$20*E13</f>
        <v/>
      </c>
      <c r="F14" s="24">
        <f>F12*Inputs!$B$20*F13</f>
        <v/>
      </c>
      <c r="G14" s="24">
        <f>G12*Inputs!$B$20*G13</f>
        <v/>
      </c>
      <c r="H14" s="24">
        <f>H12*Inputs!$B$20*H13</f>
        <v/>
      </c>
      <c r="I14" s="24">
        <f>I12*Inputs!$B$20*I13</f>
        <v/>
      </c>
      <c r="J14" s="24">
        <f>J12*Inputs!$B$20*J13</f>
        <v/>
      </c>
      <c r="K14" s="24">
        <f>K12*Inputs!$B$20*K13</f>
        <v/>
      </c>
      <c r="L14" s="24">
        <f>L12*Inputs!$B$20*L13</f>
        <v/>
      </c>
      <c r="M14" s="24">
        <f>M12*Inputs!$B$20*M13</f>
        <v/>
      </c>
      <c r="N14" s="24">
        <f>N12*Inputs!$B$20*N13</f>
        <v/>
      </c>
      <c r="O14" s="24">
        <f>O12*Inputs!$B$20*O13</f>
        <v/>
      </c>
      <c r="P14" s="24">
        <f>P12*Inputs!$B$20*P13</f>
        <v/>
      </c>
      <c r="Q14" s="24">
        <f>Q12*Inputs!$B$20*Q13</f>
        <v/>
      </c>
      <c r="R14" s="24">
        <f>R12*Inputs!$B$20*R13</f>
        <v/>
      </c>
      <c r="S14" s="24">
        <f>S12*Inputs!$B$20*S13</f>
        <v/>
      </c>
      <c r="T14" s="24">
        <f>T12*Inputs!$B$20*T13</f>
        <v/>
      </c>
      <c r="U14" s="24">
        <f>U12*Inputs!$B$20*U13</f>
        <v/>
      </c>
      <c r="V14" s="24">
        <f>V12*Inputs!$B$20*V13</f>
        <v/>
      </c>
    </row>
    <row r="15">
      <c r="A15" s="4" t="inlineStr">
        <is>
          <t>Less: sequestration</t>
        </is>
      </c>
      <c r="C15" s="24">
        <f>-C14*Inputs!$B$10</f>
        <v/>
      </c>
      <c r="D15" s="24">
        <f>-D14*Inputs!$B$10</f>
        <v/>
      </c>
      <c r="E15" s="24">
        <f>-E14*Inputs!$B$10</f>
        <v/>
      </c>
      <c r="F15" s="24">
        <f>-F14*Inputs!$B$10</f>
        <v/>
      </c>
      <c r="G15" s="24">
        <f>-G14*Inputs!$B$10</f>
        <v/>
      </c>
      <c r="H15" s="24">
        <f>-H14*Inputs!$B$10</f>
        <v/>
      </c>
      <c r="I15" s="24">
        <f>-I14*Inputs!$B$10</f>
        <v/>
      </c>
      <c r="J15" s="24">
        <f>-J14*Inputs!$B$10</f>
        <v/>
      </c>
      <c r="K15" s="24">
        <f>-K14*Inputs!$B$10</f>
        <v/>
      </c>
      <c r="L15" s="24">
        <f>-L14*Inputs!$B$10</f>
        <v/>
      </c>
      <c r="M15" s="24">
        <f>-M14*Inputs!$B$10</f>
        <v/>
      </c>
      <c r="N15" s="24">
        <f>-N14*Inputs!$B$10</f>
        <v/>
      </c>
      <c r="O15" s="24">
        <f>-O14*Inputs!$B$10</f>
        <v/>
      </c>
      <c r="P15" s="24">
        <f>-P14*Inputs!$B$10</f>
        <v/>
      </c>
      <c r="Q15" s="24">
        <f>-Q14*Inputs!$B$10</f>
        <v/>
      </c>
      <c r="R15" s="24">
        <f>-R14*Inputs!$B$10</f>
        <v/>
      </c>
      <c r="S15" s="24">
        <f>-S14*Inputs!$B$10</f>
        <v/>
      </c>
      <c r="T15" s="24">
        <f>-T14*Inputs!$B$10</f>
        <v/>
      </c>
      <c r="U15" s="24">
        <f>-U14*Inputs!$B$10</f>
        <v/>
      </c>
      <c r="V15" s="24">
        <f>-V14*Inputs!$B$10</f>
        <v/>
      </c>
    </row>
    <row r="16">
      <c r="A16" s="4" t="inlineStr">
        <is>
          <t>Less: write-offs</t>
        </is>
      </c>
      <c r="C16" s="24">
        <f>-C14*Inputs!$B$11</f>
        <v/>
      </c>
      <c r="D16" s="24">
        <f>-D14*Inputs!$B$11</f>
        <v/>
      </c>
      <c r="E16" s="24">
        <f>-E14*Inputs!$B$11</f>
        <v/>
      </c>
      <c r="F16" s="24">
        <f>-F14*Inputs!$B$11</f>
        <v/>
      </c>
      <c r="G16" s="24">
        <f>-G14*Inputs!$B$11</f>
        <v/>
      </c>
      <c r="H16" s="24">
        <f>-H14*Inputs!$B$11</f>
        <v/>
      </c>
      <c r="I16" s="24">
        <f>-I14*Inputs!$B$11</f>
        <v/>
      </c>
      <c r="J16" s="24">
        <f>-J14*Inputs!$B$11</f>
        <v/>
      </c>
      <c r="K16" s="24">
        <f>-K14*Inputs!$B$11</f>
        <v/>
      </c>
      <c r="L16" s="24">
        <f>-L14*Inputs!$B$11</f>
        <v/>
      </c>
      <c r="M16" s="24">
        <f>-M14*Inputs!$B$11</f>
        <v/>
      </c>
      <c r="N16" s="24">
        <f>-N14*Inputs!$B$11</f>
        <v/>
      </c>
      <c r="O16" s="24">
        <f>-O14*Inputs!$B$11</f>
        <v/>
      </c>
      <c r="P16" s="24">
        <f>-P14*Inputs!$B$11</f>
        <v/>
      </c>
      <c r="Q16" s="24">
        <f>-Q14*Inputs!$B$11</f>
        <v/>
      </c>
      <c r="R16" s="24">
        <f>-R14*Inputs!$B$11</f>
        <v/>
      </c>
      <c r="S16" s="24">
        <f>-S14*Inputs!$B$11</f>
        <v/>
      </c>
      <c r="T16" s="24">
        <f>-T14*Inputs!$B$11</f>
        <v/>
      </c>
      <c r="U16" s="24">
        <f>-U14*Inputs!$B$11</f>
        <v/>
      </c>
      <c r="V16" s="24">
        <f>-V14*Inputs!$B$11</f>
        <v/>
      </c>
    </row>
    <row r="17">
      <c r="A17" s="31" t="inlineStr">
        <is>
          <t>NET REVENUE</t>
        </is>
      </c>
      <c r="C17" s="48">
        <f>C14*(1-Inputs!$B$10-Inputs!$B$11)</f>
        <v/>
      </c>
      <c r="D17" s="48">
        <f>D14*(1-Inputs!$B$10-Inputs!$B$11)</f>
        <v/>
      </c>
      <c r="E17" s="48">
        <f>E14*(1-Inputs!$B$10-Inputs!$B$11)</f>
        <v/>
      </c>
      <c r="F17" s="48">
        <f>F14*(1-Inputs!$B$10-Inputs!$B$11)</f>
        <v/>
      </c>
      <c r="G17" s="48">
        <f>G14*(1-Inputs!$B$10-Inputs!$B$11)</f>
        <v/>
      </c>
      <c r="H17" s="48">
        <f>H14*(1-Inputs!$B$10-Inputs!$B$11)</f>
        <v/>
      </c>
      <c r="I17" s="48">
        <f>I14*(1-Inputs!$B$10-Inputs!$B$11)</f>
        <v/>
      </c>
      <c r="J17" s="48">
        <f>J14*(1-Inputs!$B$10-Inputs!$B$11)</f>
        <v/>
      </c>
      <c r="K17" s="48">
        <f>K14*(1-Inputs!$B$10-Inputs!$B$11)</f>
        <v/>
      </c>
      <c r="L17" s="48">
        <f>L14*(1-Inputs!$B$10-Inputs!$B$11)</f>
        <v/>
      </c>
      <c r="M17" s="48">
        <f>M14*(1-Inputs!$B$10-Inputs!$B$11)</f>
        <v/>
      </c>
      <c r="N17" s="48">
        <f>N14*(1-Inputs!$B$10-Inputs!$B$11)</f>
        <v/>
      </c>
      <c r="O17" s="48">
        <f>O14*(1-Inputs!$B$10-Inputs!$B$11)</f>
        <v/>
      </c>
      <c r="P17" s="48">
        <f>P14*(1-Inputs!$B$10-Inputs!$B$11)</f>
        <v/>
      </c>
      <c r="Q17" s="48">
        <f>Q14*(1-Inputs!$B$10-Inputs!$B$11)</f>
        <v/>
      </c>
      <c r="R17" s="48">
        <f>R14*(1-Inputs!$B$10-Inputs!$B$11)</f>
        <v/>
      </c>
      <c r="S17" s="48">
        <f>S14*(1-Inputs!$B$10-Inputs!$B$11)</f>
        <v/>
      </c>
      <c r="T17" s="48">
        <f>T14*(1-Inputs!$B$10-Inputs!$B$11)</f>
        <v/>
      </c>
      <c r="U17" s="48">
        <f>U14*(1-Inputs!$B$10-Inputs!$B$11)</f>
        <v/>
      </c>
      <c r="V17" s="48">
        <f>V14*(1-Inputs!$B$10-Inputs!$B$11)</f>
        <v/>
      </c>
    </row>
    <row r="19">
      <c r="A19" s="21" t="inlineStr">
        <is>
          <t>Memo: net revenue per patient-day</t>
        </is>
      </c>
      <c r="C19" s="11">
        <f>IF(C12=0,0,C17/C12)</f>
        <v/>
      </c>
      <c r="D19" s="11">
        <f>IF(D12=0,0,D17/D12)</f>
        <v/>
      </c>
      <c r="E19" s="11">
        <f>IF(E12=0,0,E17/E12)</f>
        <v/>
      </c>
      <c r="F19" s="11">
        <f>IF(F12=0,0,F17/F12)</f>
        <v/>
      </c>
      <c r="G19" s="11">
        <f>IF(G12=0,0,G17/G12)</f>
        <v/>
      </c>
      <c r="H19" s="11">
        <f>IF(H12=0,0,H17/H12)</f>
        <v/>
      </c>
      <c r="I19" s="11">
        <f>IF(I12=0,0,I17/I12)</f>
        <v/>
      </c>
      <c r="J19" s="11">
        <f>IF(J12=0,0,J17/J12)</f>
        <v/>
      </c>
      <c r="K19" s="11">
        <f>IF(K12=0,0,K17/K12)</f>
        <v/>
      </c>
      <c r="L19" s="11">
        <f>IF(L12=0,0,L17/L12)</f>
        <v/>
      </c>
      <c r="M19" s="11">
        <f>IF(M12=0,0,M17/M12)</f>
        <v/>
      </c>
      <c r="N19" s="11">
        <f>IF(N12=0,0,N17/N12)</f>
        <v/>
      </c>
      <c r="O19" s="11">
        <f>IF(O12=0,0,O17/O12)</f>
        <v/>
      </c>
      <c r="P19" s="11">
        <f>IF(P12=0,0,P17/P12)</f>
        <v/>
      </c>
      <c r="Q19" s="11">
        <f>IF(Q12=0,0,Q17/Q12)</f>
        <v/>
      </c>
      <c r="R19" s="11">
        <f>IF(R12=0,0,R17/R12)</f>
        <v/>
      </c>
      <c r="S19" s="11">
        <f>IF(S12=0,0,S17/S12)</f>
        <v/>
      </c>
      <c r="T19" s="11">
        <f>IF(T12=0,0,T17/T12)</f>
        <v/>
      </c>
      <c r="U19" s="11">
        <f>IF(U12=0,0,U17/U12)</f>
        <v/>
      </c>
      <c r="V19" s="11">
        <f>IF(V12=0,0,V17/V12)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5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&amp; Payroll - staggered hires + census-driven PRN | burden on W-2 only | Med Director 1099 (no benefits)</t>
        </is>
      </c>
    </row>
    <row r="4">
      <c r="A4" s="44" t="inlineStr">
        <is>
          <t>($ per period)</t>
        </is>
      </c>
      <c r="C4" s="45" t="inlineStr">
        <is>
          <t>YEAR 1 - monthly</t>
        </is>
      </c>
      <c r="O4" s="45" t="inlineStr">
        <is>
          <t>YEAR 2 - quarterly</t>
        </is>
      </c>
      <c r="S4" s="45" t="inlineStr">
        <is>
          <t>YEAR 3 -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21" t="inlineStr">
        <is>
          <t>ADC (driver)</t>
        </is>
      </c>
      <c r="C6" s="40">
        <f>'Revenue Model'!C10</f>
        <v/>
      </c>
      <c r="D6" s="40">
        <f>'Revenue Model'!D10</f>
        <v/>
      </c>
      <c r="E6" s="40">
        <f>'Revenue Model'!E10</f>
        <v/>
      </c>
      <c r="F6" s="40">
        <f>'Revenue Model'!F10</f>
        <v/>
      </c>
      <c r="G6" s="40">
        <f>'Revenue Model'!G10</f>
        <v/>
      </c>
      <c r="H6" s="40">
        <f>'Revenue Model'!H10</f>
        <v/>
      </c>
      <c r="I6" s="40">
        <f>'Revenue Model'!I10</f>
        <v/>
      </c>
      <c r="J6" s="40">
        <f>'Revenue Model'!J10</f>
        <v/>
      </c>
      <c r="K6" s="40">
        <f>'Revenue Model'!K10</f>
        <v/>
      </c>
      <c r="L6" s="40">
        <f>'Revenue Model'!L10</f>
        <v/>
      </c>
      <c r="M6" s="40">
        <f>'Revenue Model'!M10</f>
        <v/>
      </c>
      <c r="N6" s="40">
        <f>'Revenue Model'!N10</f>
        <v/>
      </c>
      <c r="O6" s="40">
        <f>'Revenue Model'!O10</f>
        <v/>
      </c>
      <c r="P6" s="40">
        <f>'Revenue Model'!P10</f>
        <v/>
      </c>
      <c r="Q6" s="40">
        <f>'Revenue Model'!Q10</f>
        <v/>
      </c>
      <c r="R6" s="40">
        <f>'Revenue Model'!R10</f>
        <v/>
      </c>
      <c r="S6" s="40">
        <f>'Revenue Model'!S10</f>
        <v/>
      </c>
      <c r="T6" s="40">
        <f>'Revenue Model'!T10</f>
        <v/>
      </c>
      <c r="U6" s="40">
        <f>'Revenue Model'!U10</f>
        <v/>
      </c>
      <c r="V6" s="40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- Administrator / Director</t>
        </is>
      </c>
      <c r="C8" s="24">
        <f>IF(1&gt;=Inputs!$D$37,Inputs!$C$37/12*1*1,0)</f>
        <v/>
      </c>
      <c r="D8" s="24">
        <f>IF(2&gt;=Inputs!$D$37,Inputs!$C$37/12*1*1,0)</f>
        <v/>
      </c>
      <c r="E8" s="24">
        <f>IF(3&gt;=Inputs!$D$37,Inputs!$C$37/12*1*1,0)</f>
        <v/>
      </c>
      <c r="F8" s="24">
        <f>IF(4&gt;=Inputs!$D$37,Inputs!$C$37/12*1*1,0)</f>
        <v/>
      </c>
      <c r="G8" s="24">
        <f>IF(5&gt;=Inputs!$D$37,Inputs!$C$37/12*1*1,0)</f>
        <v/>
      </c>
      <c r="H8" s="24">
        <f>IF(6&gt;=Inputs!$D$37,Inputs!$C$37/12*1*1,0)</f>
        <v/>
      </c>
      <c r="I8" s="24">
        <f>IF(7&gt;=Inputs!$D$37,Inputs!$C$37/12*1*1,0)</f>
        <v/>
      </c>
      <c r="J8" s="24">
        <f>IF(8&gt;=Inputs!$D$37,Inputs!$C$37/12*1*1,0)</f>
        <v/>
      </c>
      <c r="K8" s="24">
        <f>IF(9&gt;=Inputs!$D$37,Inputs!$C$37/12*1*1,0)</f>
        <v/>
      </c>
      <c r="L8" s="24">
        <f>IF(10&gt;=Inputs!$D$37,Inputs!$C$37/12*1*1,0)</f>
        <v/>
      </c>
      <c r="M8" s="24">
        <f>IF(11&gt;=Inputs!$D$37,Inputs!$C$37/12*1*1,0)</f>
        <v/>
      </c>
      <c r="N8" s="24">
        <f>IF(12&gt;=Inputs!$D$37,Inputs!$C$37/12*1*1,0)</f>
        <v/>
      </c>
      <c r="O8" s="24">
        <f>IF(15&gt;=Inputs!$D$37,Inputs!$C$37/12*3*(1+Inputs!$B$74)^1,0)</f>
        <v/>
      </c>
      <c r="P8" s="24">
        <f>IF(18&gt;=Inputs!$D$37,Inputs!$C$37/12*3*(1+Inputs!$B$74)^1,0)</f>
        <v/>
      </c>
      <c r="Q8" s="24">
        <f>IF(21&gt;=Inputs!$D$37,Inputs!$C$37/12*3*(1+Inputs!$B$74)^1,0)</f>
        <v/>
      </c>
      <c r="R8" s="24">
        <f>IF(24&gt;=Inputs!$D$37,Inputs!$C$37/12*3*(1+Inputs!$B$74)^1,0)</f>
        <v/>
      </c>
      <c r="S8" s="24">
        <f>IF(27&gt;=Inputs!$D$37,Inputs!$C$37/12*3*(1+Inputs!$B$74)^2,0)</f>
        <v/>
      </c>
      <c r="T8" s="24">
        <f>IF(30&gt;=Inputs!$D$37,Inputs!$C$37/12*3*(1+Inputs!$B$74)^2,0)</f>
        <v/>
      </c>
      <c r="U8" s="24">
        <f>IF(33&gt;=Inputs!$D$37,Inputs!$C$37/12*3*(1+Inputs!$B$74)^2,0)</f>
        <v/>
      </c>
      <c r="V8" s="24">
        <f>IF(36&gt;=Inputs!$D$37,Inputs!$C$37/12*3*(1+Inputs!$B$74)^2,0)</f>
        <v/>
      </c>
    </row>
    <row r="9">
      <c r="A9" s="4" t="inlineStr">
        <is>
          <t>Angie Frost - RN Case Manager</t>
        </is>
      </c>
      <c r="C9" s="24">
        <f>IF(1&gt;=Inputs!$D$38,Inputs!$C$38/12*1*1,0)</f>
        <v/>
      </c>
      <c r="D9" s="24">
        <f>IF(2&gt;=Inputs!$D$38,Inputs!$C$38/12*1*1,0)</f>
        <v/>
      </c>
      <c r="E9" s="24">
        <f>IF(3&gt;=Inputs!$D$38,Inputs!$C$38/12*1*1,0)</f>
        <v/>
      </c>
      <c r="F9" s="24">
        <f>IF(4&gt;=Inputs!$D$38,Inputs!$C$38/12*1*1,0)</f>
        <v/>
      </c>
      <c r="G9" s="24">
        <f>IF(5&gt;=Inputs!$D$38,Inputs!$C$38/12*1*1,0)</f>
        <v/>
      </c>
      <c r="H9" s="24">
        <f>IF(6&gt;=Inputs!$D$38,Inputs!$C$38/12*1*1,0)</f>
        <v/>
      </c>
      <c r="I9" s="24">
        <f>IF(7&gt;=Inputs!$D$38,Inputs!$C$38/12*1*1,0)</f>
        <v/>
      </c>
      <c r="J9" s="24">
        <f>IF(8&gt;=Inputs!$D$38,Inputs!$C$38/12*1*1,0)</f>
        <v/>
      </c>
      <c r="K9" s="24">
        <f>IF(9&gt;=Inputs!$D$38,Inputs!$C$38/12*1*1,0)</f>
        <v/>
      </c>
      <c r="L9" s="24">
        <f>IF(10&gt;=Inputs!$D$38,Inputs!$C$38/12*1*1,0)</f>
        <v/>
      </c>
      <c r="M9" s="24">
        <f>IF(11&gt;=Inputs!$D$38,Inputs!$C$38/12*1*1,0)</f>
        <v/>
      </c>
      <c r="N9" s="24">
        <f>IF(12&gt;=Inputs!$D$38,Inputs!$C$38/12*1*1,0)</f>
        <v/>
      </c>
      <c r="O9" s="24">
        <f>IF(15&gt;=Inputs!$D$38,Inputs!$C$38/12*3*(1+Inputs!$B$74)^1,0)</f>
        <v/>
      </c>
      <c r="P9" s="24">
        <f>IF(18&gt;=Inputs!$D$38,Inputs!$C$38/12*3*(1+Inputs!$B$74)^1,0)</f>
        <v/>
      </c>
      <c r="Q9" s="24">
        <f>IF(21&gt;=Inputs!$D$38,Inputs!$C$38/12*3*(1+Inputs!$B$74)^1,0)</f>
        <v/>
      </c>
      <c r="R9" s="24">
        <f>IF(24&gt;=Inputs!$D$38,Inputs!$C$38/12*3*(1+Inputs!$B$74)^1,0)</f>
        <v/>
      </c>
      <c r="S9" s="24">
        <f>IF(27&gt;=Inputs!$D$38,Inputs!$C$38/12*3*(1+Inputs!$B$74)^2,0)</f>
        <v/>
      </c>
      <c r="T9" s="24">
        <f>IF(30&gt;=Inputs!$D$38,Inputs!$C$38/12*3*(1+Inputs!$B$74)^2,0)</f>
        <v/>
      </c>
      <c r="U9" s="24">
        <f>IF(33&gt;=Inputs!$D$38,Inputs!$C$38/12*3*(1+Inputs!$B$74)^2,0)</f>
        <v/>
      </c>
      <c r="V9" s="24">
        <f>IF(36&gt;=Inputs!$D$38,Inputs!$C$38/12*3*(1+Inputs!$B$74)^2,0)</f>
        <v/>
      </c>
    </row>
    <row r="10">
      <c r="A10" s="4" t="inlineStr">
        <is>
          <t>Tanisha Robison - CNA / Hospice Aide</t>
        </is>
      </c>
      <c r="C10" s="24">
        <f>IF(1&gt;=Inputs!$D$39,Inputs!$C$39/12*1*1,0)</f>
        <v/>
      </c>
      <c r="D10" s="24">
        <f>IF(2&gt;=Inputs!$D$39,Inputs!$C$39/12*1*1,0)</f>
        <v/>
      </c>
      <c r="E10" s="24">
        <f>IF(3&gt;=Inputs!$D$39,Inputs!$C$39/12*1*1,0)</f>
        <v/>
      </c>
      <c r="F10" s="24">
        <f>IF(4&gt;=Inputs!$D$39,Inputs!$C$39/12*1*1,0)</f>
        <v/>
      </c>
      <c r="G10" s="24">
        <f>IF(5&gt;=Inputs!$D$39,Inputs!$C$39/12*1*1,0)</f>
        <v/>
      </c>
      <c r="H10" s="24">
        <f>IF(6&gt;=Inputs!$D$39,Inputs!$C$39/12*1*1,0)</f>
        <v/>
      </c>
      <c r="I10" s="24">
        <f>IF(7&gt;=Inputs!$D$39,Inputs!$C$39/12*1*1,0)</f>
        <v/>
      </c>
      <c r="J10" s="24">
        <f>IF(8&gt;=Inputs!$D$39,Inputs!$C$39/12*1*1,0)</f>
        <v/>
      </c>
      <c r="K10" s="24">
        <f>IF(9&gt;=Inputs!$D$39,Inputs!$C$39/12*1*1,0)</f>
        <v/>
      </c>
      <c r="L10" s="24">
        <f>IF(10&gt;=Inputs!$D$39,Inputs!$C$39/12*1*1,0)</f>
        <v/>
      </c>
      <c r="M10" s="24">
        <f>IF(11&gt;=Inputs!$D$39,Inputs!$C$39/12*1*1,0)</f>
        <v/>
      </c>
      <c r="N10" s="24">
        <f>IF(12&gt;=Inputs!$D$39,Inputs!$C$39/12*1*1,0)</f>
        <v/>
      </c>
      <c r="O10" s="24">
        <f>IF(15&gt;=Inputs!$D$39,Inputs!$C$39/12*3*(1+Inputs!$B$74)^1,0)</f>
        <v/>
      </c>
      <c r="P10" s="24">
        <f>IF(18&gt;=Inputs!$D$39,Inputs!$C$39/12*3*(1+Inputs!$B$74)^1,0)</f>
        <v/>
      </c>
      <c r="Q10" s="24">
        <f>IF(21&gt;=Inputs!$D$39,Inputs!$C$39/12*3*(1+Inputs!$B$74)^1,0)</f>
        <v/>
      </c>
      <c r="R10" s="24">
        <f>IF(24&gt;=Inputs!$D$39,Inputs!$C$39/12*3*(1+Inputs!$B$74)^1,0)</f>
        <v/>
      </c>
      <c r="S10" s="24">
        <f>IF(27&gt;=Inputs!$D$39,Inputs!$C$39/12*3*(1+Inputs!$B$74)^2,0)</f>
        <v/>
      </c>
      <c r="T10" s="24">
        <f>IF(30&gt;=Inputs!$D$39,Inputs!$C$39/12*3*(1+Inputs!$B$74)^2,0)</f>
        <v/>
      </c>
      <c r="U10" s="24">
        <f>IF(33&gt;=Inputs!$D$39,Inputs!$C$39/12*3*(1+Inputs!$B$74)^2,0)</f>
        <v/>
      </c>
      <c r="V10" s="24">
        <f>IF(36&gt;=Inputs!$D$39,Inputs!$C$39/12*3*(1+Inputs!$B$74)^2,0)</f>
        <v/>
      </c>
    </row>
    <row r="11">
      <c r="A11" s="4" t="inlineStr">
        <is>
          <t>Dana Davenport - Director of Clinical Services</t>
        </is>
      </c>
      <c r="C11" s="24">
        <f>IF(1&gt;=Inputs!$D$40,Inputs!$C$40/12*1*1,0)</f>
        <v/>
      </c>
      <c r="D11" s="24">
        <f>IF(2&gt;=Inputs!$D$40,Inputs!$C$40/12*1*1,0)</f>
        <v/>
      </c>
      <c r="E11" s="24">
        <f>IF(3&gt;=Inputs!$D$40,Inputs!$C$40/12*1*1,0)</f>
        <v/>
      </c>
      <c r="F11" s="24">
        <f>IF(4&gt;=Inputs!$D$40,Inputs!$C$40/12*1*1,0)</f>
        <v/>
      </c>
      <c r="G11" s="24">
        <f>IF(5&gt;=Inputs!$D$40,Inputs!$C$40/12*1*1,0)</f>
        <v/>
      </c>
      <c r="H11" s="24">
        <f>IF(6&gt;=Inputs!$D$40,Inputs!$C$40/12*1*1,0)</f>
        <v/>
      </c>
      <c r="I11" s="24">
        <f>IF(7&gt;=Inputs!$D$40,Inputs!$C$40/12*1*1,0)</f>
        <v/>
      </c>
      <c r="J11" s="24">
        <f>IF(8&gt;=Inputs!$D$40,Inputs!$C$40/12*1*1,0)</f>
        <v/>
      </c>
      <c r="K11" s="24">
        <f>IF(9&gt;=Inputs!$D$40,Inputs!$C$40/12*1*1,0)</f>
        <v/>
      </c>
      <c r="L11" s="24">
        <f>IF(10&gt;=Inputs!$D$40,Inputs!$C$40/12*1*1,0)</f>
        <v/>
      </c>
      <c r="M11" s="24">
        <f>IF(11&gt;=Inputs!$D$40,Inputs!$C$40/12*1*1,0)</f>
        <v/>
      </c>
      <c r="N11" s="24">
        <f>IF(12&gt;=Inputs!$D$40,Inputs!$C$40/12*1*1,0)</f>
        <v/>
      </c>
      <c r="O11" s="24">
        <f>IF(15&gt;=Inputs!$D$40,Inputs!$C$40/12*3*(1+Inputs!$B$74)^1,0)</f>
        <v/>
      </c>
      <c r="P11" s="24">
        <f>IF(18&gt;=Inputs!$D$40,Inputs!$C$40/12*3*(1+Inputs!$B$74)^1,0)</f>
        <v/>
      </c>
      <c r="Q11" s="24">
        <f>IF(21&gt;=Inputs!$D$40,Inputs!$C$40/12*3*(1+Inputs!$B$74)^1,0)</f>
        <v/>
      </c>
      <c r="R11" s="24">
        <f>IF(24&gt;=Inputs!$D$40,Inputs!$C$40/12*3*(1+Inputs!$B$74)^1,0)</f>
        <v/>
      </c>
      <c r="S11" s="24">
        <f>IF(27&gt;=Inputs!$D$40,Inputs!$C$40/12*3*(1+Inputs!$B$74)^2,0)</f>
        <v/>
      </c>
      <c r="T11" s="24">
        <f>IF(30&gt;=Inputs!$D$40,Inputs!$C$40/12*3*(1+Inputs!$B$74)^2,0)</f>
        <v/>
      </c>
      <c r="U11" s="24">
        <f>IF(33&gt;=Inputs!$D$40,Inputs!$C$40/12*3*(1+Inputs!$B$74)^2,0)</f>
        <v/>
      </c>
      <c r="V11" s="24">
        <f>IF(36&gt;=Inputs!$D$40,Inputs!$C$40/12*3*(1+Inputs!$B$74)^2,0)</f>
        <v/>
      </c>
    </row>
    <row r="12">
      <c r="A12" s="4" t="inlineStr">
        <is>
          <t>Silas Shelton - Administrator</t>
        </is>
      </c>
      <c r="C12" s="24">
        <f>IF(1&gt;=Inputs!$D$41,Inputs!$C$41/12*1*1,0)</f>
        <v/>
      </c>
      <c r="D12" s="24">
        <f>IF(2&gt;=Inputs!$D$41,Inputs!$C$41/12*1*1,0)</f>
        <v/>
      </c>
      <c r="E12" s="24">
        <f>IF(3&gt;=Inputs!$D$41,Inputs!$C$41/12*1*1,0)</f>
        <v/>
      </c>
      <c r="F12" s="24">
        <f>IF(4&gt;=Inputs!$D$41,Inputs!$C$41/12*1*1,0)</f>
        <v/>
      </c>
      <c r="G12" s="24">
        <f>IF(5&gt;=Inputs!$D$41,Inputs!$C$41/12*1*1,0)</f>
        <v/>
      </c>
      <c r="H12" s="24">
        <f>IF(6&gt;=Inputs!$D$41,Inputs!$C$41/12*1*1,0)</f>
        <v/>
      </c>
      <c r="I12" s="24">
        <f>IF(7&gt;=Inputs!$D$41,Inputs!$C$41/12*1*1,0)</f>
        <v/>
      </c>
      <c r="J12" s="24">
        <f>IF(8&gt;=Inputs!$D$41,Inputs!$C$41/12*1*1,0)</f>
        <v/>
      </c>
      <c r="K12" s="24">
        <f>IF(9&gt;=Inputs!$D$41,Inputs!$C$41/12*1*1,0)</f>
        <v/>
      </c>
      <c r="L12" s="24">
        <f>IF(10&gt;=Inputs!$D$41,Inputs!$C$41/12*1*1,0)</f>
        <v/>
      </c>
      <c r="M12" s="24">
        <f>IF(11&gt;=Inputs!$D$41,Inputs!$C$41/12*1*1,0)</f>
        <v/>
      </c>
      <c r="N12" s="24">
        <f>IF(12&gt;=Inputs!$D$41,Inputs!$C$41/12*1*1,0)</f>
        <v/>
      </c>
      <c r="O12" s="24">
        <f>IF(15&gt;=Inputs!$D$41,Inputs!$C$41/12*3*(1+Inputs!$B$74)^1,0)</f>
        <v/>
      </c>
      <c r="P12" s="24">
        <f>IF(18&gt;=Inputs!$D$41,Inputs!$C$41/12*3*(1+Inputs!$B$74)^1,0)</f>
        <v/>
      </c>
      <c r="Q12" s="24">
        <f>IF(21&gt;=Inputs!$D$41,Inputs!$C$41/12*3*(1+Inputs!$B$74)^1,0)</f>
        <v/>
      </c>
      <c r="R12" s="24">
        <f>IF(24&gt;=Inputs!$D$41,Inputs!$C$41/12*3*(1+Inputs!$B$74)^1,0)</f>
        <v/>
      </c>
      <c r="S12" s="24">
        <f>IF(27&gt;=Inputs!$D$41,Inputs!$C$41/12*3*(1+Inputs!$B$74)^2,0)</f>
        <v/>
      </c>
      <c r="T12" s="24">
        <f>IF(30&gt;=Inputs!$D$41,Inputs!$C$41/12*3*(1+Inputs!$B$74)^2,0)</f>
        <v/>
      </c>
      <c r="U12" s="24">
        <f>IF(33&gt;=Inputs!$D$41,Inputs!$C$41/12*3*(1+Inputs!$B$74)^2,0)</f>
        <v/>
      </c>
      <c r="V12" s="24">
        <f>IF(36&gt;=Inputs!$D$41,Inputs!$C$41/12*3*(1+Inputs!$B$74)^2,0)</f>
        <v/>
      </c>
    </row>
    <row r="13">
      <c r="A13" s="14" t="inlineStr">
        <is>
          <t>Jodi McCollum - RN Case Manager (2nd seat) [OPEN REQ]</t>
        </is>
      </c>
      <c r="C13" s="24">
        <f>IF(1&gt;=Inputs!$D$42,Inputs!$C$42/12*1*1,0)</f>
        <v/>
      </c>
      <c r="D13" s="24">
        <f>IF(2&gt;=Inputs!$D$42,Inputs!$C$42/12*1*1,0)</f>
        <v/>
      </c>
      <c r="E13" s="24">
        <f>IF(3&gt;=Inputs!$D$42,Inputs!$C$42/12*1*1,0)</f>
        <v/>
      </c>
      <c r="F13" s="24">
        <f>IF(4&gt;=Inputs!$D$42,Inputs!$C$42/12*1*1,0)</f>
        <v/>
      </c>
      <c r="G13" s="24">
        <f>IF(5&gt;=Inputs!$D$42,Inputs!$C$42/12*1*1,0)</f>
        <v/>
      </c>
      <c r="H13" s="24">
        <f>IF(6&gt;=Inputs!$D$42,Inputs!$C$42/12*1*1,0)</f>
        <v/>
      </c>
      <c r="I13" s="24">
        <f>IF(7&gt;=Inputs!$D$42,Inputs!$C$42/12*1*1,0)</f>
        <v/>
      </c>
      <c r="J13" s="24">
        <f>IF(8&gt;=Inputs!$D$42,Inputs!$C$42/12*1*1,0)</f>
        <v/>
      </c>
      <c r="K13" s="24">
        <f>IF(9&gt;=Inputs!$D$42,Inputs!$C$42/12*1*1,0)</f>
        <v/>
      </c>
      <c r="L13" s="24">
        <f>IF(10&gt;=Inputs!$D$42,Inputs!$C$42/12*1*1,0)</f>
        <v/>
      </c>
      <c r="M13" s="24">
        <f>IF(11&gt;=Inputs!$D$42,Inputs!$C$42/12*1*1,0)</f>
        <v/>
      </c>
      <c r="N13" s="24">
        <f>IF(12&gt;=Inputs!$D$42,Inputs!$C$42/12*1*1,0)</f>
        <v/>
      </c>
      <c r="O13" s="24">
        <f>IF(15&gt;=Inputs!$D$42,Inputs!$C$42/12*3*(1+Inputs!$B$74)^1,0)</f>
        <v/>
      </c>
      <c r="P13" s="24">
        <f>IF(18&gt;=Inputs!$D$42,Inputs!$C$42/12*3*(1+Inputs!$B$74)^1,0)</f>
        <v/>
      </c>
      <c r="Q13" s="24">
        <f>IF(21&gt;=Inputs!$D$42,Inputs!$C$42/12*3*(1+Inputs!$B$74)^1,0)</f>
        <v/>
      </c>
      <c r="R13" s="24">
        <f>IF(24&gt;=Inputs!$D$42,Inputs!$C$42/12*3*(1+Inputs!$B$74)^1,0)</f>
        <v/>
      </c>
      <c r="S13" s="24">
        <f>IF(27&gt;=Inputs!$D$42,Inputs!$C$42/12*3*(1+Inputs!$B$74)^2,0)</f>
        <v/>
      </c>
      <c r="T13" s="24">
        <f>IF(30&gt;=Inputs!$D$42,Inputs!$C$42/12*3*(1+Inputs!$B$74)^2,0)</f>
        <v/>
      </c>
      <c r="U13" s="24">
        <f>IF(33&gt;=Inputs!$D$42,Inputs!$C$42/12*3*(1+Inputs!$B$74)^2,0)</f>
        <v/>
      </c>
      <c r="V13" s="24">
        <f>IF(36&gt;=Inputs!$D$42,Inputs!$C$42/12*3*(1+Inputs!$B$74)^2,0)</f>
        <v/>
      </c>
    </row>
    <row r="14">
      <c r="A14" s="4" t="inlineStr">
        <is>
          <t>Director of Business Development - Sales / referrals (growth driver)</t>
        </is>
      </c>
      <c r="C14" s="24">
        <f>IF(1&gt;=Inputs!$D$43,Inputs!$C$43/12*1*1,0)</f>
        <v/>
      </c>
      <c r="D14" s="24">
        <f>IF(2&gt;=Inputs!$D$43,Inputs!$C$43/12*1*1,0)</f>
        <v/>
      </c>
      <c r="E14" s="24">
        <f>IF(3&gt;=Inputs!$D$43,Inputs!$C$43/12*1*1,0)</f>
        <v/>
      </c>
      <c r="F14" s="24">
        <f>IF(4&gt;=Inputs!$D$43,Inputs!$C$43/12*1*1,0)</f>
        <v/>
      </c>
      <c r="G14" s="24">
        <f>IF(5&gt;=Inputs!$D$43,Inputs!$C$43/12*1*1,0)</f>
        <v/>
      </c>
      <c r="H14" s="24">
        <f>IF(6&gt;=Inputs!$D$43,Inputs!$C$43/12*1*1,0)</f>
        <v/>
      </c>
      <c r="I14" s="24">
        <f>IF(7&gt;=Inputs!$D$43,Inputs!$C$43/12*1*1,0)</f>
        <v/>
      </c>
      <c r="J14" s="24">
        <f>IF(8&gt;=Inputs!$D$43,Inputs!$C$43/12*1*1,0)</f>
        <v/>
      </c>
      <c r="K14" s="24">
        <f>IF(9&gt;=Inputs!$D$43,Inputs!$C$43/12*1*1,0)</f>
        <v/>
      </c>
      <c r="L14" s="24">
        <f>IF(10&gt;=Inputs!$D$43,Inputs!$C$43/12*1*1,0)</f>
        <v/>
      </c>
      <c r="M14" s="24">
        <f>IF(11&gt;=Inputs!$D$43,Inputs!$C$43/12*1*1,0)</f>
        <v/>
      </c>
      <c r="N14" s="24">
        <f>IF(12&gt;=Inputs!$D$43,Inputs!$C$43/12*1*1,0)</f>
        <v/>
      </c>
      <c r="O14" s="24">
        <f>IF(15&gt;=Inputs!$D$43,Inputs!$C$43/12*3*(1+Inputs!$B$74)^1,0)</f>
        <v/>
      </c>
      <c r="P14" s="24">
        <f>IF(18&gt;=Inputs!$D$43,Inputs!$C$43/12*3*(1+Inputs!$B$74)^1,0)</f>
        <v/>
      </c>
      <c r="Q14" s="24">
        <f>IF(21&gt;=Inputs!$D$43,Inputs!$C$43/12*3*(1+Inputs!$B$74)^1,0)</f>
        <v/>
      </c>
      <c r="R14" s="24">
        <f>IF(24&gt;=Inputs!$D$43,Inputs!$C$43/12*3*(1+Inputs!$B$74)^1,0)</f>
        <v/>
      </c>
      <c r="S14" s="24">
        <f>IF(27&gt;=Inputs!$D$43,Inputs!$C$43/12*3*(1+Inputs!$B$74)^2,0)</f>
        <v/>
      </c>
      <c r="T14" s="24">
        <f>IF(30&gt;=Inputs!$D$43,Inputs!$C$43/12*3*(1+Inputs!$B$74)^2,0)</f>
        <v/>
      </c>
      <c r="U14" s="24">
        <f>IF(33&gt;=Inputs!$D$43,Inputs!$C$43/12*3*(1+Inputs!$B$74)^2,0)</f>
        <v/>
      </c>
      <c r="V14" s="24">
        <f>IF(36&gt;=Inputs!$D$43,Inputs!$C$43/12*3*(1+Inputs!$B$74)^2,0)</f>
        <v/>
      </c>
    </row>
    <row r="15">
      <c r="A15" s="4" t="inlineStr">
        <is>
          <t>Capacity hire - 2nd CNA - CNA / Hospice Aide (capacity-driven, triggers ADC&gt;=25)</t>
        </is>
      </c>
      <c r="C15" s="24">
        <f>IF(1&gt;=Inputs!$D$44,Inputs!$C$44/12*1*1,0)</f>
        <v/>
      </c>
      <c r="D15" s="24">
        <f>IF(2&gt;=Inputs!$D$44,Inputs!$C$44/12*1*1,0)</f>
        <v/>
      </c>
      <c r="E15" s="24">
        <f>IF(3&gt;=Inputs!$D$44,Inputs!$C$44/12*1*1,0)</f>
        <v/>
      </c>
      <c r="F15" s="24">
        <f>IF(4&gt;=Inputs!$D$44,Inputs!$C$44/12*1*1,0)</f>
        <v/>
      </c>
      <c r="G15" s="24">
        <f>IF(5&gt;=Inputs!$D$44,Inputs!$C$44/12*1*1,0)</f>
        <v/>
      </c>
      <c r="H15" s="24">
        <f>IF(6&gt;=Inputs!$D$44,Inputs!$C$44/12*1*1,0)</f>
        <v/>
      </c>
      <c r="I15" s="24">
        <f>IF(7&gt;=Inputs!$D$44,Inputs!$C$44/12*1*1,0)</f>
        <v/>
      </c>
      <c r="J15" s="24">
        <f>IF(8&gt;=Inputs!$D$44,Inputs!$C$44/12*1*1,0)</f>
        <v/>
      </c>
      <c r="K15" s="24">
        <f>IF(9&gt;=Inputs!$D$44,Inputs!$C$44/12*1*1,0)</f>
        <v/>
      </c>
      <c r="L15" s="24">
        <f>IF(10&gt;=Inputs!$D$44,Inputs!$C$44/12*1*1,0)</f>
        <v/>
      </c>
      <c r="M15" s="24">
        <f>IF(11&gt;=Inputs!$D$44,Inputs!$C$44/12*1*1,0)</f>
        <v/>
      </c>
      <c r="N15" s="24">
        <f>IF(12&gt;=Inputs!$D$44,Inputs!$C$44/12*1*1,0)</f>
        <v/>
      </c>
      <c r="O15" s="24">
        <f>IF(15&gt;=Inputs!$D$44,Inputs!$C$44/12*3*(1+Inputs!$B$74)^1,0)</f>
        <v/>
      </c>
      <c r="P15" s="24">
        <f>IF(18&gt;=Inputs!$D$44,Inputs!$C$44/12*3*(1+Inputs!$B$74)^1,0)</f>
        <v/>
      </c>
      <c r="Q15" s="24">
        <f>IF(21&gt;=Inputs!$D$44,Inputs!$C$44/12*3*(1+Inputs!$B$74)^1,0)</f>
        <v/>
      </c>
      <c r="R15" s="24">
        <f>IF(24&gt;=Inputs!$D$44,Inputs!$C$44/12*3*(1+Inputs!$B$74)^1,0)</f>
        <v/>
      </c>
      <c r="S15" s="24">
        <f>IF(27&gt;=Inputs!$D$44,Inputs!$C$44/12*3*(1+Inputs!$B$74)^2,0)</f>
        <v/>
      </c>
      <c r="T15" s="24">
        <f>IF(30&gt;=Inputs!$D$44,Inputs!$C$44/12*3*(1+Inputs!$B$74)^2,0)</f>
        <v/>
      </c>
      <c r="U15" s="24">
        <f>IF(33&gt;=Inputs!$D$44,Inputs!$C$44/12*3*(1+Inputs!$B$74)^2,0)</f>
        <v/>
      </c>
      <c r="V15" s="24">
        <f>IF(36&gt;=Inputs!$D$44,Inputs!$C$44/12*3*(1+Inputs!$B$74)^2,0)</f>
        <v/>
      </c>
    </row>
    <row r="16">
      <c r="A16" s="4" t="inlineStr">
        <is>
          <t>FT Social Worker (MSW) - Core IDG MSW (converts PRN SW to salaried)</t>
        </is>
      </c>
      <c r="C16" s="24">
        <f>IF(1&gt;=Inputs!$D$45,Inputs!$C$45/12*1*1,0)</f>
        <v/>
      </c>
      <c r="D16" s="24">
        <f>IF(2&gt;=Inputs!$D$45,Inputs!$C$45/12*1*1,0)</f>
        <v/>
      </c>
      <c r="E16" s="24">
        <f>IF(3&gt;=Inputs!$D$45,Inputs!$C$45/12*1*1,0)</f>
        <v/>
      </c>
      <c r="F16" s="24">
        <f>IF(4&gt;=Inputs!$D$45,Inputs!$C$45/12*1*1,0)</f>
        <v/>
      </c>
      <c r="G16" s="24">
        <f>IF(5&gt;=Inputs!$D$45,Inputs!$C$45/12*1*1,0)</f>
        <v/>
      </c>
      <c r="H16" s="24">
        <f>IF(6&gt;=Inputs!$D$45,Inputs!$C$45/12*1*1,0)</f>
        <v/>
      </c>
      <c r="I16" s="24">
        <f>IF(7&gt;=Inputs!$D$45,Inputs!$C$45/12*1*1,0)</f>
        <v/>
      </c>
      <c r="J16" s="24">
        <f>IF(8&gt;=Inputs!$D$45,Inputs!$C$45/12*1*1,0)</f>
        <v/>
      </c>
      <c r="K16" s="24">
        <f>IF(9&gt;=Inputs!$D$45,Inputs!$C$45/12*1*1,0)</f>
        <v/>
      </c>
      <c r="L16" s="24">
        <f>IF(10&gt;=Inputs!$D$45,Inputs!$C$45/12*1*1,0)</f>
        <v/>
      </c>
      <c r="M16" s="24">
        <f>IF(11&gt;=Inputs!$D$45,Inputs!$C$45/12*1*1,0)</f>
        <v/>
      </c>
      <c r="N16" s="24">
        <f>IF(12&gt;=Inputs!$D$45,Inputs!$C$45/12*1*1,0)</f>
        <v/>
      </c>
      <c r="O16" s="24">
        <f>IF(15&gt;=Inputs!$D$45,Inputs!$C$45/12*3*(1+Inputs!$B$74)^1,0)</f>
        <v/>
      </c>
      <c r="P16" s="24">
        <f>IF(18&gt;=Inputs!$D$45,Inputs!$C$45/12*3*(1+Inputs!$B$74)^1,0)</f>
        <v/>
      </c>
      <c r="Q16" s="24">
        <f>IF(21&gt;=Inputs!$D$45,Inputs!$C$45/12*3*(1+Inputs!$B$74)^1,0)</f>
        <v/>
      </c>
      <c r="R16" s="24">
        <f>IF(24&gt;=Inputs!$D$45,Inputs!$C$45/12*3*(1+Inputs!$B$74)^1,0)</f>
        <v/>
      </c>
      <c r="S16" s="24">
        <f>IF(27&gt;=Inputs!$D$45,Inputs!$C$45/12*3*(1+Inputs!$B$74)^2,0)</f>
        <v/>
      </c>
      <c r="T16" s="24">
        <f>IF(30&gt;=Inputs!$D$45,Inputs!$C$45/12*3*(1+Inputs!$B$74)^2,0)</f>
        <v/>
      </c>
      <c r="U16" s="24">
        <f>IF(33&gt;=Inputs!$D$45,Inputs!$C$45/12*3*(1+Inputs!$B$74)^2,0)</f>
        <v/>
      </c>
      <c r="V16" s="24">
        <f>IF(36&gt;=Inputs!$D$45,Inputs!$C$45/12*3*(1+Inputs!$B$74)^2,0)</f>
        <v/>
      </c>
    </row>
    <row r="17">
      <c r="A17" s="4" t="inlineStr">
        <is>
          <t>FT LVN - visits / on-call - Core IDG LVN (converts PRN LVN to salaried)</t>
        </is>
      </c>
      <c r="C17" s="24">
        <f>IF(1&gt;=Inputs!$D$46,Inputs!$C$46/12*1*1,0)</f>
        <v/>
      </c>
      <c r="D17" s="24">
        <f>IF(2&gt;=Inputs!$D$46,Inputs!$C$46/12*1*1,0)</f>
        <v/>
      </c>
      <c r="E17" s="24">
        <f>IF(3&gt;=Inputs!$D$46,Inputs!$C$46/12*1*1,0)</f>
        <v/>
      </c>
      <c r="F17" s="24">
        <f>IF(4&gt;=Inputs!$D$46,Inputs!$C$46/12*1*1,0)</f>
        <v/>
      </c>
      <c r="G17" s="24">
        <f>IF(5&gt;=Inputs!$D$46,Inputs!$C$46/12*1*1,0)</f>
        <v/>
      </c>
      <c r="H17" s="24">
        <f>IF(6&gt;=Inputs!$D$46,Inputs!$C$46/12*1*1,0)</f>
        <v/>
      </c>
      <c r="I17" s="24">
        <f>IF(7&gt;=Inputs!$D$46,Inputs!$C$46/12*1*1,0)</f>
        <v/>
      </c>
      <c r="J17" s="24">
        <f>IF(8&gt;=Inputs!$D$46,Inputs!$C$46/12*1*1,0)</f>
        <v/>
      </c>
      <c r="K17" s="24">
        <f>IF(9&gt;=Inputs!$D$46,Inputs!$C$46/12*1*1,0)</f>
        <v/>
      </c>
      <c r="L17" s="24">
        <f>IF(10&gt;=Inputs!$D$46,Inputs!$C$46/12*1*1,0)</f>
        <v/>
      </c>
      <c r="M17" s="24">
        <f>IF(11&gt;=Inputs!$D$46,Inputs!$C$46/12*1*1,0)</f>
        <v/>
      </c>
      <c r="N17" s="24">
        <f>IF(12&gt;=Inputs!$D$46,Inputs!$C$46/12*1*1,0)</f>
        <v/>
      </c>
      <c r="O17" s="24">
        <f>IF(15&gt;=Inputs!$D$46,Inputs!$C$46/12*3*(1+Inputs!$B$74)^1,0)</f>
        <v/>
      </c>
      <c r="P17" s="24">
        <f>IF(18&gt;=Inputs!$D$46,Inputs!$C$46/12*3*(1+Inputs!$B$74)^1,0)</f>
        <v/>
      </c>
      <c r="Q17" s="24">
        <f>IF(21&gt;=Inputs!$D$46,Inputs!$C$46/12*3*(1+Inputs!$B$74)^1,0)</f>
        <v/>
      </c>
      <c r="R17" s="24">
        <f>IF(24&gt;=Inputs!$D$46,Inputs!$C$46/12*3*(1+Inputs!$B$74)^1,0)</f>
        <v/>
      </c>
      <c r="S17" s="24">
        <f>IF(27&gt;=Inputs!$D$46,Inputs!$C$46/12*3*(1+Inputs!$B$74)^2,0)</f>
        <v/>
      </c>
      <c r="T17" s="24">
        <f>IF(30&gt;=Inputs!$D$46,Inputs!$C$46/12*3*(1+Inputs!$B$74)^2,0)</f>
        <v/>
      </c>
      <c r="U17" s="24">
        <f>IF(33&gt;=Inputs!$D$46,Inputs!$C$46/12*3*(1+Inputs!$B$74)^2,0)</f>
        <v/>
      </c>
      <c r="V17" s="24">
        <f>IF(36&gt;=Inputs!$D$46,Inputs!$C$46/12*3*(1+Inputs!$B$74)^2,0)</f>
        <v/>
      </c>
    </row>
    <row r="18">
      <c r="A18" s="4" t="inlineStr">
        <is>
          <t>FT Chaplain - Core IDG spiritual care (converts PRN chaplain to FT)</t>
        </is>
      </c>
      <c r="C18" s="24">
        <f>IF(1&gt;=Inputs!$D$47,Inputs!$C$47/12*1*1,0)</f>
        <v/>
      </c>
      <c r="D18" s="24">
        <f>IF(2&gt;=Inputs!$D$47,Inputs!$C$47/12*1*1,0)</f>
        <v/>
      </c>
      <c r="E18" s="24">
        <f>IF(3&gt;=Inputs!$D$47,Inputs!$C$47/12*1*1,0)</f>
        <v/>
      </c>
      <c r="F18" s="24">
        <f>IF(4&gt;=Inputs!$D$47,Inputs!$C$47/12*1*1,0)</f>
        <v/>
      </c>
      <c r="G18" s="24">
        <f>IF(5&gt;=Inputs!$D$47,Inputs!$C$47/12*1*1,0)</f>
        <v/>
      </c>
      <c r="H18" s="24">
        <f>IF(6&gt;=Inputs!$D$47,Inputs!$C$47/12*1*1,0)</f>
        <v/>
      </c>
      <c r="I18" s="24">
        <f>IF(7&gt;=Inputs!$D$47,Inputs!$C$47/12*1*1,0)</f>
        <v/>
      </c>
      <c r="J18" s="24">
        <f>IF(8&gt;=Inputs!$D$47,Inputs!$C$47/12*1*1,0)</f>
        <v/>
      </c>
      <c r="K18" s="24">
        <f>IF(9&gt;=Inputs!$D$47,Inputs!$C$47/12*1*1,0)</f>
        <v/>
      </c>
      <c r="L18" s="24">
        <f>IF(10&gt;=Inputs!$D$47,Inputs!$C$47/12*1*1,0)</f>
        <v/>
      </c>
      <c r="M18" s="24">
        <f>IF(11&gt;=Inputs!$D$47,Inputs!$C$47/12*1*1,0)</f>
        <v/>
      </c>
      <c r="N18" s="24">
        <f>IF(12&gt;=Inputs!$D$47,Inputs!$C$47/12*1*1,0)</f>
        <v/>
      </c>
      <c r="O18" s="24">
        <f>IF(15&gt;=Inputs!$D$47,Inputs!$C$47/12*3*(1+Inputs!$B$74)^1,0)</f>
        <v/>
      </c>
      <c r="P18" s="24">
        <f>IF(18&gt;=Inputs!$D$47,Inputs!$C$47/12*3*(1+Inputs!$B$74)^1,0)</f>
        <v/>
      </c>
      <c r="Q18" s="24">
        <f>IF(21&gt;=Inputs!$D$47,Inputs!$C$47/12*3*(1+Inputs!$B$74)^1,0)</f>
        <v/>
      </c>
      <c r="R18" s="24">
        <f>IF(24&gt;=Inputs!$D$47,Inputs!$C$47/12*3*(1+Inputs!$B$74)^1,0)</f>
        <v/>
      </c>
      <c r="S18" s="24">
        <f>IF(27&gt;=Inputs!$D$47,Inputs!$C$47/12*3*(1+Inputs!$B$74)^2,0)</f>
        <v/>
      </c>
      <c r="T18" s="24">
        <f>IF(30&gt;=Inputs!$D$47,Inputs!$C$47/12*3*(1+Inputs!$B$74)^2,0)</f>
        <v/>
      </c>
      <c r="U18" s="24">
        <f>IF(33&gt;=Inputs!$D$47,Inputs!$C$47/12*3*(1+Inputs!$B$74)^2,0)</f>
        <v/>
      </c>
      <c r="V18" s="24">
        <f>IF(36&gt;=Inputs!$D$47,Inputs!$C$47/12*3*(1+Inputs!$B$74)^2,0)</f>
        <v/>
      </c>
    </row>
    <row r="19">
      <c r="A19" s="4" t="inlineStr">
        <is>
          <t>Capacity hire - 3rd RN - RN Case Manager (capacity-driven, ADC&gt;=30)</t>
        </is>
      </c>
      <c r="C19" s="24">
        <f>IF(1&gt;=Inputs!$D$48,Inputs!$C$48/12*1*1,0)</f>
        <v/>
      </c>
      <c r="D19" s="24">
        <f>IF(2&gt;=Inputs!$D$48,Inputs!$C$48/12*1*1,0)</f>
        <v/>
      </c>
      <c r="E19" s="24">
        <f>IF(3&gt;=Inputs!$D$48,Inputs!$C$48/12*1*1,0)</f>
        <v/>
      </c>
      <c r="F19" s="24">
        <f>IF(4&gt;=Inputs!$D$48,Inputs!$C$48/12*1*1,0)</f>
        <v/>
      </c>
      <c r="G19" s="24">
        <f>IF(5&gt;=Inputs!$D$48,Inputs!$C$48/12*1*1,0)</f>
        <v/>
      </c>
      <c r="H19" s="24">
        <f>IF(6&gt;=Inputs!$D$48,Inputs!$C$48/12*1*1,0)</f>
        <v/>
      </c>
      <c r="I19" s="24">
        <f>IF(7&gt;=Inputs!$D$48,Inputs!$C$48/12*1*1,0)</f>
        <v/>
      </c>
      <c r="J19" s="24">
        <f>IF(8&gt;=Inputs!$D$48,Inputs!$C$48/12*1*1,0)</f>
        <v/>
      </c>
      <c r="K19" s="24">
        <f>IF(9&gt;=Inputs!$D$48,Inputs!$C$48/12*1*1,0)</f>
        <v/>
      </c>
      <c r="L19" s="24">
        <f>IF(10&gt;=Inputs!$D$48,Inputs!$C$48/12*1*1,0)</f>
        <v/>
      </c>
      <c r="M19" s="24">
        <f>IF(11&gt;=Inputs!$D$48,Inputs!$C$48/12*1*1,0)</f>
        <v/>
      </c>
      <c r="N19" s="24">
        <f>IF(12&gt;=Inputs!$D$48,Inputs!$C$48/12*1*1,0)</f>
        <v/>
      </c>
      <c r="O19" s="24">
        <f>IF(15&gt;=Inputs!$D$48,Inputs!$C$48/12*3*(1+Inputs!$B$74)^1,0)</f>
        <v/>
      </c>
      <c r="P19" s="24">
        <f>IF(18&gt;=Inputs!$D$48,Inputs!$C$48/12*3*(1+Inputs!$B$74)^1,0)</f>
        <v/>
      </c>
      <c r="Q19" s="24">
        <f>IF(21&gt;=Inputs!$D$48,Inputs!$C$48/12*3*(1+Inputs!$B$74)^1,0)</f>
        <v/>
      </c>
      <c r="R19" s="24">
        <f>IF(24&gt;=Inputs!$D$48,Inputs!$C$48/12*3*(1+Inputs!$B$74)^1,0)</f>
        <v/>
      </c>
      <c r="S19" s="24">
        <f>IF(27&gt;=Inputs!$D$48,Inputs!$C$48/12*3*(1+Inputs!$B$74)^2,0)</f>
        <v/>
      </c>
      <c r="T19" s="24">
        <f>IF(30&gt;=Inputs!$D$48,Inputs!$C$48/12*3*(1+Inputs!$B$74)^2,0)</f>
        <v/>
      </c>
      <c r="U19" s="24">
        <f>IF(33&gt;=Inputs!$D$48,Inputs!$C$48/12*3*(1+Inputs!$B$74)^2,0)</f>
        <v/>
      </c>
      <c r="V19" s="24">
        <f>IF(36&gt;=Inputs!$D$48,Inputs!$C$48/12*3*(1+Inputs!$B$74)^2,0)</f>
        <v/>
      </c>
    </row>
    <row r="20">
      <c r="A20" s="4" t="inlineStr">
        <is>
          <t>Capacity hire - 3rd CNA - CNA / Hospice Aide (capacity-driven, ADC&gt;=32)</t>
        </is>
      </c>
      <c r="C20" s="24">
        <f>IF(1&gt;=Inputs!$D$49,Inputs!$C$49/12*1*1,0)</f>
        <v/>
      </c>
      <c r="D20" s="24">
        <f>IF(2&gt;=Inputs!$D$49,Inputs!$C$49/12*1*1,0)</f>
        <v/>
      </c>
      <c r="E20" s="24">
        <f>IF(3&gt;=Inputs!$D$49,Inputs!$C$49/12*1*1,0)</f>
        <v/>
      </c>
      <c r="F20" s="24">
        <f>IF(4&gt;=Inputs!$D$49,Inputs!$C$49/12*1*1,0)</f>
        <v/>
      </c>
      <c r="G20" s="24">
        <f>IF(5&gt;=Inputs!$D$49,Inputs!$C$49/12*1*1,0)</f>
        <v/>
      </c>
      <c r="H20" s="24">
        <f>IF(6&gt;=Inputs!$D$49,Inputs!$C$49/12*1*1,0)</f>
        <v/>
      </c>
      <c r="I20" s="24">
        <f>IF(7&gt;=Inputs!$D$49,Inputs!$C$49/12*1*1,0)</f>
        <v/>
      </c>
      <c r="J20" s="24">
        <f>IF(8&gt;=Inputs!$D$49,Inputs!$C$49/12*1*1,0)</f>
        <v/>
      </c>
      <c r="K20" s="24">
        <f>IF(9&gt;=Inputs!$D$49,Inputs!$C$49/12*1*1,0)</f>
        <v/>
      </c>
      <c r="L20" s="24">
        <f>IF(10&gt;=Inputs!$D$49,Inputs!$C$49/12*1*1,0)</f>
        <v/>
      </c>
      <c r="M20" s="24">
        <f>IF(11&gt;=Inputs!$D$49,Inputs!$C$49/12*1*1,0)</f>
        <v/>
      </c>
      <c r="N20" s="24">
        <f>IF(12&gt;=Inputs!$D$49,Inputs!$C$49/12*1*1,0)</f>
        <v/>
      </c>
      <c r="O20" s="24">
        <f>IF(15&gt;=Inputs!$D$49,Inputs!$C$49/12*3*(1+Inputs!$B$74)^1,0)</f>
        <v/>
      </c>
      <c r="P20" s="24">
        <f>IF(18&gt;=Inputs!$D$49,Inputs!$C$49/12*3*(1+Inputs!$B$74)^1,0)</f>
        <v/>
      </c>
      <c r="Q20" s="24">
        <f>IF(21&gt;=Inputs!$D$49,Inputs!$C$49/12*3*(1+Inputs!$B$74)^1,0)</f>
        <v/>
      </c>
      <c r="R20" s="24">
        <f>IF(24&gt;=Inputs!$D$49,Inputs!$C$49/12*3*(1+Inputs!$B$74)^1,0)</f>
        <v/>
      </c>
      <c r="S20" s="24">
        <f>IF(27&gt;=Inputs!$D$49,Inputs!$C$49/12*3*(1+Inputs!$B$74)^2,0)</f>
        <v/>
      </c>
      <c r="T20" s="24">
        <f>IF(30&gt;=Inputs!$D$49,Inputs!$C$49/12*3*(1+Inputs!$B$74)^2,0)</f>
        <v/>
      </c>
      <c r="U20" s="24">
        <f>IF(33&gt;=Inputs!$D$49,Inputs!$C$49/12*3*(1+Inputs!$B$74)^2,0)</f>
        <v/>
      </c>
      <c r="V20" s="24">
        <f>IF(36&gt;=Inputs!$D$49,Inputs!$C$49/12*3*(1+Inputs!$B$74)^2,0)</f>
        <v/>
      </c>
    </row>
    <row r="21">
      <c r="A21" s="4" t="inlineStr">
        <is>
          <t>Capacity hire - 4th RN - RN Case Manager (capacity-driven, ADC&gt;=38)</t>
        </is>
      </c>
      <c r="C21" s="24">
        <f>IF(1&gt;=Inputs!$D$50,Inputs!$C$50/12*1*1,0)</f>
        <v/>
      </c>
      <c r="D21" s="24">
        <f>IF(2&gt;=Inputs!$D$50,Inputs!$C$50/12*1*1,0)</f>
        <v/>
      </c>
      <c r="E21" s="24">
        <f>IF(3&gt;=Inputs!$D$50,Inputs!$C$50/12*1*1,0)</f>
        <v/>
      </c>
      <c r="F21" s="24">
        <f>IF(4&gt;=Inputs!$D$50,Inputs!$C$50/12*1*1,0)</f>
        <v/>
      </c>
      <c r="G21" s="24">
        <f>IF(5&gt;=Inputs!$D$50,Inputs!$C$50/12*1*1,0)</f>
        <v/>
      </c>
      <c r="H21" s="24">
        <f>IF(6&gt;=Inputs!$D$50,Inputs!$C$50/12*1*1,0)</f>
        <v/>
      </c>
      <c r="I21" s="24">
        <f>IF(7&gt;=Inputs!$D$50,Inputs!$C$50/12*1*1,0)</f>
        <v/>
      </c>
      <c r="J21" s="24">
        <f>IF(8&gt;=Inputs!$D$50,Inputs!$C$50/12*1*1,0)</f>
        <v/>
      </c>
      <c r="K21" s="24">
        <f>IF(9&gt;=Inputs!$D$50,Inputs!$C$50/12*1*1,0)</f>
        <v/>
      </c>
      <c r="L21" s="24">
        <f>IF(10&gt;=Inputs!$D$50,Inputs!$C$50/12*1*1,0)</f>
        <v/>
      </c>
      <c r="M21" s="24">
        <f>IF(11&gt;=Inputs!$D$50,Inputs!$C$50/12*1*1,0)</f>
        <v/>
      </c>
      <c r="N21" s="24">
        <f>IF(12&gt;=Inputs!$D$50,Inputs!$C$50/12*1*1,0)</f>
        <v/>
      </c>
      <c r="O21" s="24">
        <f>IF(15&gt;=Inputs!$D$50,Inputs!$C$50/12*3*(1+Inputs!$B$74)^1,0)</f>
        <v/>
      </c>
      <c r="P21" s="24">
        <f>IF(18&gt;=Inputs!$D$50,Inputs!$C$50/12*3*(1+Inputs!$B$74)^1,0)</f>
        <v/>
      </c>
      <c r="Q21" s="24">
        <f>IF(21&gt;=Inputs!$D$50,Inputs!$C$50/12*3*(1+Inputs!$B$74)^1,0)</f>
        <v/>
      </c>
      <c r="R21" s="24">
        <f>IF(24&gt;=Inputs!$D$50,Inputs!$C$50/12*3*(1+Inputs!$B$74)^1,0)</f>
        <v/>
      </c>
      <c r="S21" s="24">
        <f>IF(27&gt;=Inputs!$D$50,Inputs!$C$50/12*3*(1+Inputs!$B$74)^2,0)</f>
        <v/>
      </c>
      <c r="T21" s="24">
        <f>IF(30&gt;=Inputs!$D$50,Inputs!$C$50/12*3*(1+Inputs!$B$74)^2,0)</f>
        <v/>
      </c>
      <c r="U21" s="24">
        <f>IF(33&gt;=Inputs!$D$50,Inputs!$C$50/12*3*(1+Inputs!$B$74)^2,0)</f>
        <v/>
      </c>
      <c r="V21" s="24">
        <f>IF(36&gt;=Inputs!$D$50,Inputs!$C$50/12*3*(1+Inputs!$B$74)^2,0)</f>
        <v/>
      </c>
    </row>
    <row r="22">
      <c r="A22" s="4" t="inlineStr">
        <is>
          <t>Capacity hire - 4th CNA - CNA / Hospice Aide (capacity-driven, ADC&gt;=40)</t>
        </is>
      </c>
      <c r="C22" s="24">
        <f>IF(1&gt;=Inputs!$D$51,Inputs!$C$51/12*1*1,0)</f>
        <v/>
      </c>
      <c r="D22" s="24">
        <f>IF(2&gt;=Inputs!$D$51,Inputs!$C$51/12*1*1,0)</f>
        <v/>
      </c>
      <c r="E22" s="24">
        <f>IF(3&gt;=Inputs!$D$51,Inputs!$C$51/12*1*1,0)</f>
        <v/>
      </c>
      <c r="F22" s="24">
        <f>IF(4&gt;=Inputs!$D$51,Inputs!$C$51/12*1*1,0)</f>
        <v/>
      </c>
      <c r="G22" s="24">
        <f>IF(5&gt;=Inputs!$D$51,Inputs!$C$51/12*1*1,0)</f>
        <v/>
      </c>
      <c r="H22" s="24">
        <f>IF(6&gt;=Inputs!$D$51,Inputs!$C$51/12*1*1,0)</f>
        <v/>
      </c>
      <c r="I22" s="24">
        <f>IF(7&gt;=Inputs!$D$51,Inputs!$C$51/12*1*1,0)</f>
        <v/>
      </c>
      <c r="J22" s="24">
        <f>IF(8&gt;=Inputs!$D$51,Inputs!$C$51/12*1*1,0)</f>
        <v/>
      </c>
      <c r="K22" s="24">
        <f>IF(9&gt;=Inputs!$D$51,Inputs!$C$51/12*1*1,0)</f>
        <v/>
      </c>
      <c r="L22" s="24">
        <f>IF(10&gt;=Inputs!$D$51,Inputs!$C$51/12*1*1,0)</f>
        <v/>
      </c>
      <c r="M22" s="24">
        <f>IF(11&gt;=Inputs!$D$51,Inputs!$C$51/12*1*1,0)</f>
        <v/>
      </c>
      <c r="N22" s="24">
        <f>IF(12&gt;=Inputs!$D$51,Inputs!$C$51/12*1*1,0)</f>
        <v/>
      </c>
      <c r="O22" s="24">
        <f>IF(15&gt;=Inputs!$D$51,Inputs!$C$51/12*3*(1+Inputs!$B$74)^1,0)</f>
        <v/>
      </c>
      <c r="P22" s="24">
        <f>IF(18&gt;=Inputs!$D$51,Inputs!$C$51/12*3*(1+Inputs!$B$74)^1,0)</f>
        <v/>
      </c>
      <c r="Q22" s="24">
        <f>IF(21&gt;=Inputs!$D$51,Inputs!$C$51/12*3*(1+Inputs!$B$74)^1,0)</f>
        <v/>
      </c>
      <c r="R22" s="24">
        <f>IF(24&gt;=Inputs!$D$51,Inputs!$C$51/12*3*(1+Inputs!$B$74)^1,0)</f>
        <v/>
      </c>
      <c r="S22" s="24">
        <f>IF(27&gt;=Inputs!$D$51,Inputs!$C$51/12*3*(1+Inputs!$B$74)^2,0)</f>
        <v/>
      </c>
      <c r="T22" s="24">
        <f>IF(30&gt;=Inputs!$D$51,Inputs!$C$51/12*3*(1+Inputs!$B$74)^2,0)</f>
        <v/>
      </c>
      <c r="U22" s="24">
        <f>IF(33&gt;=Inputs!$D$51,Inputs!$C$51/12*3*(1+Inputs!$B$74)^2,0)</f>
        <v/>
      </c>
      <c r="V22" s="24">
        <f>IF(36&gt;=Inputs!$D$51,Inputs!$C$51/12*3*(1+Inputs!$B$74)^2,0)</f>
        <v/>
      </c>
    </row>
    <row r="23">
      <c r="A23" s="4" t="inlineStr">
        <is>
          <t>Capacity hire - 5th RN - RN Case Manager (capacity-driven, ADC&gt;=48)</t>
        </is>
      </c>
      <c r="C23" s="24">
        <f>IF(1&gt;=Inputs!$D$52,Inputs!$C$52/12*1*1,0)</f>
        <v/>
      </c>
      <c r="D23" s="24">
        <f>IF(2&gt;=Inputs!$D$52,Inputs!$C$52/12*1*1,0)</f>
        <v/>
      </c>
      <c r="E23" s="24">
        <f>IF(3&gt;=Inputs!$D$52,Inputs!$C$52/12*1*1,0)</f>
        <v/>
      </c>
      <c r="F23" s="24">
        <f>IF(4&gt;=Inputs!$D$52,Inputs!$C$52/12*1*1,0)</f>
        <v/>
      </c>
      <c r="G23" s="24">
        <f>IF(5&gt;=Inputs!$D$52,Inputs!$C$52/12*1*1,0)</f>
        <v/>
      </c>
      <c r="H23" s="24">
        <f>IF(6&gt;=Inputs!$D$52,Inputs!$C$52/12*1*1,0)</f>
        <v/>
      </c>
      <c r="I23" s="24">
        <f>IF(7&gt;=Inputs!$D$52,Inputs!$C$52/12*1*1,0)</f>
        <v/>
      </c>
      <c r="J23" s="24">
        <f>IF(8&gt;=Inputs!$D$52,Inputs!$C$52/12*1*1,0)</f>
        <v/>
      </c>
      <c r="K23" s="24">
        <f>IF(9&gt;=Inputs!$D$52,Inputs!$C$52/12*1*1,0)</f>
        <v/>
      </c>
      <c r="L23" s="24">
        <f>IF(10&gt;=Inputs!$D$52,Inputs!$C$52/12*1*1,0)</f>
        <v/>
      </c>
      <c r="M23" s="24">
        <f>IF(11&gt;=Inputs!$D$52,Inputs!$C$52/12*1*1,0)</f>
        <v/>
      </c>
      <c r="N23" s="24">
        <f>IF(12&gt;=Inputs!$D$52,Inputs!$C$52/12*1*1,0)</f>
        <v/>
      </c>
      <c r="O23" s="24">
        <f>IF(15&gt;=Inputs!$D$52,Inputs!$C$52/12*3*(1+Inputs!$B$74)^1,0)</f>
        <v/>
      </c>
      <c r="P23" s="24">
        <f>IF(18&gt;=Inputs!$D$52,Inputs!$C$52/12*3*(1+Inputs!$B$74)^1,0)</f>
        <v/>
      </c>
      <c r="Q23" s="24">
        <f>IF(21&gt;=Inputs!$D$52,Inputs!$C$52/12*3*(1+Inputs!$B$74)^1,0)</f>
        <v/>
      </c>
      <c r="R23" s="24">
        <f>IF(24&gt;=Inputs!$D$52,Inputs!$C$52/12*3*(1+Inputs!$B$74)^1,0)</f>
        <v/>
      </c>
      <c r="S23" s="24">
        <f>IF(27&gt;=Inputs!$D$52,Inputs!$C$52/12*3*(1+Inputs!$B$74)^2,0)</f>
        <v/>
      </c>
      <c r="T23" s="24">
        <f>IF(30&gt;=Inputs!$D$52,Inputs!$C$52/12*3*(1+Inputs!$B$74)^2,0)</f>
        <v/>
      </c>
      <c r="U23" s="24">
        <f>IF(33&gt;=Inputs!$D$52,Inputs!$C$52/12*3*(1+Inputs!$B$74)^2,0)</f>
        <v/>
      </c>
      <c r="V23" s="24">
        <f>IF(36&gt;=Inputs!$D$52,Inputs!$C$52/12*3*(1+Inputs!$B$74)^2,0)</f>
        <v/>
      </c>
    </row>
    <row r="24">
      <c r="A24" s="4" t="inlineStr">
        <is>
          <t>Capacity hire - 5th CNA - CNA / Hospice Aide (capacity-driven, ADC&gt;=50)</t>
        </is>
      </c>
      <c r="C24" s="24">
        <f>IF(1&gt;=Inputs!$D$53,Inputs!$C$53/12*1*1,0)</f>
        <v/>
      </c>
      <c r="D24" s="24">
        <f>IF(2&gt;=Inputs!$D$53,Inputs!$C$53/12*1*1,0)</f>
        <v/>
      </c>
      <c r="E24" s="24">
        <f>IF(3&gt;=Inputs!$D$53,Inputs!$C$53/12*1*1,0)</f>
        <v/>
      </c>
      <c r="F24" s="24">
        <f>IF(4&gt;=Inputs!$D$53,Inputs!$C$53/12*1*1,0)</f>
        <v/>
      </c>
      <c r="G24" s="24">
        <f>IF(5&gt;=Inputs!$D$53,Inputs!$C$53/12*1*1,0)</f>
        <v/>
      </c>
      <c r="H24" s="24">
        <f>IF(6&gt;=Inputs!$D$53,Inputs!$C$53/12*1*1,0)</f>
        <v/>
      </c>
      <c r="I24" s="24">
        <f>IF(7&gt;=Inputs!$D$53,Inputs!$C$53/12*1*1,0)</f>
        <v/>
      </c>
      <c r="J24" s="24">
        <f>IF(8&gt;=Inputs!$D$53,Inputs!$C$53/12*1*1,0)</f>
        <v/>
      </c>
      <c r="K24" s="24">
        <f>IF(9&gt;=Inputs!$D$53,Inputs!$C$53/12*1*1,0)</f>
        <v/>
      </c>
      <c r="L24" s="24">
        <f>IF(10&gt;=Inputs!$D$53,Inputs!$C$53/12*1*1,0)</f>
        <v/>
      </c>
      <c r="M24" s="24">
        <f>IF(11&gt;=Inputs!$D$53,Inputs!$C$53/12*1*1,0)</f>
        <v/>
      </c>
      <c r="N24" s="24">
        <f>IF(12&gt;=Inputs!$D$53,Inputs!$C$53/12*1*1,0)</f>
        <v/>
      </c>
      <c r="O24" s="24">
        <f>IF(15&gt;=Inputs!$D$53,Inputs!$C$53/12*3*(1+Inputs!$B$74)^1,0)</f>
        <v/>
      </c>
      <c r="P24" s="24">
        <f>IF(18&gt;=Inputs!$D$53,Inputs!$C$53/12*3*(1+Inputs!$B$74)^1,0)</f>
        <v/>
      </c>
      <c r="Q24" s="24">
        <f>IF(21&gt;=Inputs!$D$53,Inputs!$C$53/12*3*(1+Inputs!$B$74)^1,0)</f>
        <v/>
      </c>
      <c r="R24" s="24">
        <f>IF(24&gt;=Inputs!$D$53,Inputs!$C$53/12*3*(1+Inputs!$B$74)^1,0)</f>
        <v/>
      </c>
      <c r="S24" s="24">
        <f>IF(27&gt;=Inputs!$D$53,Inputs!$C$53/12*3*(1+Inputs!$B$74)^2,0)</f>
        <v/>
      </c>
      <c r="T24" s="24">
        <f>IF(30&gt;=Inputs!$D$53,Inputs!$C$53/12*3*(1+Inputs!$B$74)^2,0)</f>
        <v/>
      </c>
      <c r="U24" s="24">
        <f>IF(33&gt;=Inputs!$D$53,Inputs!$C$53/12*3*(1+Inputs!$B$74)^2,0)</f>
        <v/>
      </c>
      <c r="V24" s="24">
        <f>IF(36&gt;=Inputs!$D$53,Inputs!$C$53/12*3*(1+Inputs!$B$74)^2,0)</f>
        <v/>
      </c>
    </row>
    <row r="25">
      <c r="A25" s="4" t="inlineStr">
        <is>
          <t>Capacity hire - 6th CNA - CNA / Hospice Aide (capacity-driven, ADC&gt;=54)</t>
        </is>
      </c>
      <c r="C25" s="24">
        <f>IF(1&gt;=Inputs!$D$54,Inputs!$C$54/12*1*1,0)</f>
        <v/>
      </c>
      <c r="D25" s="24">
        <f>IF(2&gt;=Inputs!$D$54,Inputs!$C$54/12*1*1,0)</f>
        <v/>
      </c>
      <c r="E25" s="24">
        <f>IF(3&gt;=Inputs!$D$54,Inputs!$C$54/12*1*1,0)</f>
        <v/>
      </c>
      <c r="F25" s="24">
        <f>IF(4&gt;=Inputs!$D$54,Inputs!$C$54/12*1*1,0)</f>
        <v/>
      </c>
      <c r="G25" s="24">
        <f>IF(5&gt;=Inputs!$D$54,Inputs!$C$54/12*1*1,0)</f>
        <v/>
      </c>
      <c r="H25" s="24">
        <f>IF(6&gt;=Inputs!$D$54,Inputs!$C$54/12*1*1,0)</f>
        <v/>
      </c>
      <c r="I25" s="24">
        <f>IF(7&gt;=Inputs!$D$54,Inputs!$C$54/12*1*1,0)</f>
        <v/>
      </c>
      <c r="J25" s="24">
        <f>IF(8&gt;=Inputs!$D$54,Inputs!$C$54/12*1*1,0)</f>
        <v/>
      </c>
      <c r="K25" s="24">
        <f>IF(9&gt;=Inputs!$D$54,Inputs!$C$54/12*1*1,0)</f>
        <v/>
      </c>
      <c r="L25" s="24">
        <f>IF(10&gt;=Inputs!$D$54,Inputs!$C$54/12*1*1,0)</f>
        <v/>
      </c>
      <c r="M25" s="24">
        <f>IF(11&gt;=Inputs!$D$54,Inputs!$C$54/12*1*1,0)</f>
        <v/>
      </c>
      <c r="N25" s="24">
        <f>IF(12&gt;=Inputs!$D$54,Inputs!$C$54/12*1*1,0)</f>
        <v/>
      </c>
      <c r="O25" s="24">
        <f>IF(15&gt;=Inputs!$D$54,Inputs!$C$54/12*3*(1+Inputs!$B$74)^1,0)</f>
        <v/>
      </c>
      <c r="P25" s="24">
        <f>IF(18&gt;=Inputs!$D$54,Inputs!$C$54/12*3*(1+Inputs!$B$74)^1,0)</f>
        <v/>
      </c>
      <c r="Q25" s="24">
        <f>IF(21&gt;=Inputs!$D$54,Inputs!$C$54/12*3*(1+Inputs!$B$74)^1,0)</f>
        <v/>
      </c>
      <c r="R25" s="24">
        <f>IF(24&gt;=Inputs!$D$54,Inputs!$C$54/12*3*(1+Inputs!$B$74)^1,0)</f>
        <v/>
      </c>
      <c r="S25" s="24">
        <f>IF(27&gt;=Inputs!$D$54,Inputs!$C$54/12*3*(1+Inputs!$B$74)^2,0)</f>
        <v/>
      </c>
      <c r="T25" s="24">
        <f>IF(30&gt;=Inputs!$D$54,Inputs!$C$54/12*3*(1+Inputs!$B$74)^2,0)</f>
        <v/>
      </c>
      <c r="U25" s="24">
        <f>IF(33&gt;=Inputs!$D$54,Inputs!$C$54/12*3*(1+Inputs!$B$74)^2,0)</f>
        <v/>
      </c>
      <c r="V25" s="24">
        <f>IF(36&gt;=Inputs!$D$54,Inputs!$C$54/12*3*(1+Inputs!$B$74)^2,0)</f>
        <v/>
      </c>
    </row>
    <row r="26">
      <c r="A26" s="4" t="inlineStr">
        <is>
          <t>Capacity hire - 6th RN - RN Case Manager (capacity-driven, ADC&gt;=55)</t>
        </is>
      </c>
      <c r="C26" s="24">
        <f>IF(1&gt;=Inputs!$D$55,Inputs!$C$55/12*1*1,0)</f>
        <v/>
      </c>
      <c r="D26" s="24">
        <f>IF(2&gt;=Inputs!$D$55,Inputs!$C$55/12*1*1,0)</f>
        <v/>
      </c>
      <c r="E26" s="24">
        <f>IF(3&gt;=Inputs!$D$55,Inputs!$C$55/12*1*1,0)</f>
        <v/>
      </c>
      <c r="F26" s="24">
        <f>IF(4&gt;=Inputs!$D$55,Inputs!$C$55/12*1*1,0)</f>
        <v/>
      </c>
      <c r="G26" s="24">
        <f>IF(5&gt;=Inputs!$D$55,Inputs!$C$55/12*1*1,0)</f>
        <v/>
      </c>
      <c r="H26" s="24">
        <f>IF(6&gt;=Inputs!$D$55,Inputs!$C$55/12*1*1,0)</f>
        <v/>
      </c>
      <c r="I26" s="24">
        <f>IF(7&gt;=Inputs!$D$55,Inputs!$C$55/12*1*1,0)</f>
        <v/>
      </c>
      <c r="J26" s="24">
        <f>IF(8&gt;=Inputs!$D$55,Inputs!$C$55/12*1*1,0)</f>
        <v/>
      </c>
      <c r="K26" s="24">
        <f>IF(9&gt;=Inputs!$D$55,Inputs!$C$55/12*1*1,0)</f>
        <v/>
      </c>
      <c r="L26" s="24">
        <f>IF(10&gt;=Inputs!$D$55,Inputs!$C$55/12*1*1,0)</f>
        <v/>
      </c>
      <c r="M26" s="24">
        <f>IF(11&gt;=Inputs!$D$55,Inputs!$C$55/12*1*1,0)</f>
        <v/>
      </c>
      <c r="N26" s="24">
        <f>IF(12&gt;=Inputs!$D$55,Inputs!$C$55/12*1*1,0)</f>
        <v/>
      </c>
      <c r="O26" s="24">
        <f>IF(15&gt;=Inputs!$D$55,Inputs!$C$55/12*3*(1+Inputs!$B$74)^1,0)</f>
        <v/>
      </c>
      <c r="P26" s="24">
        <f>IF(18&gt;=Inputs!$D$55,Inputs!$C$55/12*3*(1+Inputs!$B$74)^1,0)</f>
        <v/>
      </c>
      <c r="Q26" s="24">
        <f>IF(21&gt;=Inputs!$D$55,Inputs!$C$55/12*3*(1+Inputs!$B$74)^1,0)</f>
        <v/>
      </c>
      <c r="R26" s="24">
        <f>IF(24&gt;=Inputs!$D$55,Inputs!$C$55/12*3*(1+Inputs!$B$74)^1,0)</f>
        <v/>
      </c>
      <c r="S26" s="24">
        <f>IF(27&gt;=Inputs!$D$55,Inputs!$C$55/12*3*(1+Inputs!$B$74)^2,0)</f>
        <v/>
      </c>
      <c r="T26" s="24">
        <f>IF(30&gt;=Inputs!$D$55,Inputs!$C$55/12*3*(1+Inputs!$B$74)^2,0)</f>
        <v/>
      </c>
      <c r="U26" s="24">
        <f>IF(33&gt;=Inputs!$D$55,Inputs!$C$55/12*3*(1+Inputs!$B$74)^2,0)</f>
        <v/>
      </c>
      <c r="V26" s="24">
        <f>IF(36&gt;=Inputs!$D$55,Inputs!$C$55/12*3*(1+Inputs!$B$74)^2,0)</f>
        <v/>
      </c>
    </row>
    <row r="27">
      <c r="A27" s="4" t="inlineStr">
        <is>
          <t>Quality / Compliance Manager - QAPI program | CoP compliance | surveys</t>
        </is>
      </c>
      <c r="C27" s="24">
        <f>IF(1&gt;=Inputs!$D$56,Inputs!$C$56/12*1*1,0)</f>
        <v/>
      </c>
      <c r="D27" s="24">
        <f>IF(2&gt;=Inputs!$D$56,Inputs!$C$56/12*1*1,0)</f>
        <v/>
      </c>
      <c r="E27" s="24">
        <f>IF(3&gt;=Inputs!$D$56,Inputs!$C$56/12*1*1,0)</f>
        <v/>
      </c>
      <c r="F27" s="24">
        <f>IF(4&gt;=Inputs!$D$56,Inputs!$C$56/12*1*1,0)</f>
        <v/>
      </c>
      <c r="G27" s="24">
        <f>IF(5&gt;=Inputs!$D$56,Inputs!$C$56/12*1*1,0)</f>
        <v/>
      </c>
      <c r="H27" s="24">
        <f>IF(6&gt;=Inputs!$D$56,Inputs!$C$56/12*1*1,0)</f>
        <v/>
      </c>
      <c r="I27" s="24">
        <f>IF(7&gt;=Inputs!$D$56,Inputs!$C$56/12*1*1,0)</f>
        <v/>
      </c>
      <c r="J27" s="24">
        <f>IF(8&gt;=Inputs!$D$56,Inputs!$C$56/12*1*1,0)</f>
        <v/>
      </c>
      <c r="K27" s="24">
        <f>IF(9&gt;=Inputs!$D$56,Inputs!$C$56/12*1*1,0)</f>
        <v/>
      </c>
      <c r="L27" s="24">
        <f>IF(10&gt;=Inputs!$D$56,Inputs!$C$56/12*1*1,0)</f>
        <v/>
      </c>
      <c r="M27" s="24">
        <f>IF(11&gt;=Inputs!$D$56,Inputs!$C$56/12*1*1,0)</f>
        <v/>
      </c>
      <c r="N27" s="24">
        <f>IF(12&gt;=Inputs!$D$56,Inputs!$C$56/12*1*1,0)</f>
        <v/>
      </c>
      <c r="O27" s="24">
        <f>IF(15&gt;=Inputs!$D$56,Inputs!$C$56/12*3*(1+Inputs!$B$74)^1,0)</f>
        <v/>
      </c>
      <c r="P27" s="24">
        <f>IF(18&gt;=Inputs!$D$56,Inputs!$C$56/12*3*(1+Inputs!$B$74)^1,0)</f>
        <v/>
      </c>
      <c r="Q27" s="24">
        <f>IF(21&gt;=Inputs!$D$56,Inputs!$C$56/12*3*(1+Inputs!$B$74)^1,0)</f>
        <v/>
      </c>
      <c r="R27" s="24">
        <f>IF(24&gt;=Inputs!$D$56,Inputs!$C$56/12*3*(1+Inputs!$B$74)^1,0)</f>
        <v/>
      </c>
      <c r="S27" s="24">
        <f>IF(27&gt;=Inputs!$D$56,Inputs!$C$56/12*3*(1+Inputs!$B$74)^2,0)</f>
        <v/>
      </c>
      <c r="T27" s="24">
        <f>IF(30&gt;=Inputs!$D$56,Inputs!$C$56/12*3*(1+Inputs!$B$74)^2,0)</f>
        <v/>
      </c>
      <c r="U27" s="24">
        <f>IF(33&gt;=Inputs!$D$56,Inputs!$C$56/12*3*(1+Inputs!$B$74)^2,0)</f>
        <v/>
      </c>
      <c r="V27" s="24">
        <f>IF(36&gt;=Inputs!$D$56,Inputs!$C$56/12*3*(1+Inputs!$B$74)^2,0)</f>
        <v/>
      </c>
    </row>
    <row r="28">
      <c r="A28" s="4" t="inlineStr">
        <is>
          <t>Intake / Admissions Coordinator - Referral intake | IDG admit coordination</t>
        </is>
      </c>
      <c r="C28" s="24">
        <f>IF(1&gt;=Inputs!$D$57,Inputs!$C$57/12*1*1,0)</f>
        <v/>
      </c>
      <c r="D28" s="24">
        <f>IF(2&gt;=Inputs!$D$57,Inputs!$C$57/12*1*1,0)</f>
        <v/>
      </c>
      <c r="E28" s="24">
        <f>IF(3&gt;=Inputs!$D$57,Inputs!$C$57/12*1*1,0)</f>
        <v/>
      </c>
      <c r="F28" s="24">
        <f>IF(4&gt;=Inputs!$D$57,Inputs!$C$57/12*1*1,0)</f>
        <v/>
      </c>
      <c r="G28" s="24">
        <f>IF(5&gt;=Inputs!$D$57,Inputs!$C$57/12*1*1,0)</f>
        <v/>
      </c>
      <c r="H28" s="24">
        <f>IF(6&gt;=Inputs!$D$57,Inputs!$C$57/12*1*1,0)</f>
        <v/>
      </c>
      <c r="I28" s="24">
        <f>IF(7&gt;=Inputs!$D$57,Inputs!$C$57/12*1*1,0)</f>
        <v/>
      </c>
      <c r="J28" s="24">
        <f>IF(8&gt;=Inputs!$D$57,Inputs!$C$57/12*1*1,0)</f>
        <v/>
      </c>
      <c r="K28" s="24">
        <f>IF(9&gt;=Inputs!$D$57,Inputs!$C$57/12*1*1,0)</f>
        <v/>
      </c>
      <c r="L28" s="24">
        <f>IF(10&gt;=Inputs!$D$57,Inputs!$C$57/12*1*1,0)</f>
        <v/>
      </c>
      <c r="M28" s="24">
        <f>IF(11&gt;=Inputs!$D$57,Inputs!$C$57/12*1*1,0)</f>
        <v/>
      </c>
      <c r="N28" s="24">
        <f>IF(12&gt;=Inputs!$D$57,Inputs!$C$57/12*1*1,0)</f>
        <v/>
      </c>
      <c r="O28" s="24">
        <f>IF(15&gt;=Inputs!$D$57,Inputs!$C$57/12*3*(1+Inputs!$B$74)^1,0)</f>
        <v/>
      </c>
      <c r="P28" s="24">
        <f>IF(18&gt;=Inputs!$D$57,Inputs!$C$57/12*3*(1+Inputs!$B$74)^1,0)</f>
        <v/>
      </c>
      <c r="Q28" s="24">
        <f>IF(21&gt;=Inputs!$D$57,Inputs!$C$57/12*3*(1+Inputs!$B$74)^1,0)</f>
        <v/>
      </c>
      <c r="R28" s="24">
        <f>IF(24&gt;=Inputs!$D$57,Inputs!$C$57/12*3*(1+Inputs!$B$74)^1,0)</f>
        <v/>
      </c>
      <c r="S28" s="24">
        <f>IF(27&gt;=Inputs!$D$57,Inputs!$C$57/12*3*(1+Inputs!$B$74)^2,0)</f>
        <v/>
      </c>
      <c r="T28" s="24">
        <f>IF(30&gt;=Inputs!$D$57,Inputs!$C$57/12*3*(1+Inputs!$B$74)^2,0)</f>
        <v/>
      </c>
      <c r="U28" s="24">
        <f>IF(33&gt;=Inputs!$D$57,Inputs!$C$57/12*3*(1+Inputs!$B$74)^2,0)</f>
        <v/>
      </c>
      <c r="V28" s="24">
        <f>IF(36&gt;=Inputs!$D$57,Inputs!$C$57/12*3*(1+Inputs!$B$74)^2,0)</f>
        <v/>
      </c>
    </row>
    <row r="29">
      <c r="A29" s="4" t="inlineStr">
        <is>
          <t>Volunteer Coordinator - Medicare CoP requirement | volunteer hours</t>
        </is>
      </c>
      <c r="C29" s="24">
        <f>IF(1&gt;=Inputs!$D$58,Inputs!$C$58/12*1*1,0)</f>
        <v/>
      </c>
      <c r="D29" s="24">
        <f>IF(2&gt;=Inputs!$D$58,Inputs!$C$58/12*1*1,0)</f>
        <v/>
      </c>
      <c r="E29" s="24">
        <f>IF(3&gt;=Inputs!$D$58,Inputs!$C$58/12*1*1,0)</f>
        <v/>
      </c>
      <c r="F29" s="24">
        <f>IF(4&gt;=Inputs!$D$58,Inputs!$C$58/12*1*1,0)</f>
        <v/>
      </c>
      <c r="G29" s="24">
        <f>IF(5&gt;=Inputs!$D$58,Inputs!$C$58/12*1*1,0)</f>
        <v/>
      </c>
      <c r="H29" s="24">
        <f>IF(6&gt;=Inputs!$D$58,Inputs!$C$58/12*1*1,0)</f>
        <v/>
      </c>
      <c r="I29" s="24">
        <f>IF(7&gt;=Inputs!$D$58,Inputs!$C$58/12*1*1,0)</f>
        <v/>
      </c>
      <c r="J29" s="24">
        <f>IF(8&gt;=Inputs!$D$58,Inputs!$C$58/12*1*1,0)</f>
        <v/>
      </c>
      <c r="K29" s="24">
        <f>IF(9&gt;=Inputs!$D$58,Inputs!$C$58/12*1*1,0)</f>
        <v/>
      </c>
      <c r="L29" s="24">
        <f>IF(10&gt;=Inputs!$D$58,Inputs!$C$58/12*1*1,0)</f>
        <v/>
      </c>
      <c r="M29" s="24">
        <f>IF(11&gt;=Inputs!$D$58,Inputs!$C$58/12*1*1,0)</f>
        <v/>
      </c>
      <c r="N29" s="24">
        <f>IF(12&gt;=Inputs!$D$58,Inputs!$C$58/12*1*1,0)</f>
        <v/>
      </c>
      <c r="O29" s="24">
        <f>IF(15&gt;=Inputs!$D$58,Inputs!$C$58/12*3*(1+Inputs!$B$74)^1,0)</f>
        <v/>
      </c>
      <c r="P29" s="24">
        <f>IF(18&gt;=Inputs!$D$58,Inputs!$C$58/12*3*(1+Inputs!$B$74)^1,0)</f>
        <v/>
      </c>
      <c r="Q29" s="24">
        <f>IF(21&gt;=Inputs!$D$58,Inputs!$C$58/12*3*(1+Inputs!$B$74)^1,0)</f>
        <v/>
      </c>
      <c r="R29" s="24">
        <f>IF(24&gt;=Inputs!$D$58,Inputs!$C$58/12*3*(1+Inputs!$B$74)^1,0)</f>
        <v/>
      </c>
      <c r="S29" s="24">
        <f>IF(27&gt;=Inputs!$D$58,Inputs!$C$58/12*3*(1+Inputs!$B$74)^2,0)</f>
        <v/>
      </c>
      <c r="T29" s="24">
        <f>IF(30&gt;=Inputs!$D$58,Inputs!$C$58/12*3*(1+Inputs!$B$74)^2,0)</f>
        <v/>
      </c>
      <c r="U29" s="24">
        <f>IF(33&gt;=Inputs!$D$58,Inputs!$C$58/12*3*(1+Inputs!$B$74)^2,0)</f>
        <v/>
      </c>
      <c r="V29" s="24">
        <f>IF(36&gt;=Inputs!$D$58,Inputs!$C$58/12*3*(1+Inputs!$B$74)^2,0)</f>
        <v/>
      </c>
    </row>
    <row r="30">
      <c r="A30" s="31" t="inlineStr">
        <is>
          <t>Subtotal - direct-care FT salaries</t>
        </is>
      </c>
      <c r="C30" s="23">
        <f>C9+C10+C13+C15+C16+C17+C18+C19+C20+C21+C22+C23+C24+C25+C26</f>
        <v/>
      </c>
      <c r="D30" s="23">
        <f>D9+D10+D13+D15+D16+D17+D18+D19+D20+D21+D22+D23+D24+D25+D26</f>
        <v/>
      </c>
      <c r="E30" s="23">
        <f>E9+E10+E13+E15+E16+E17+E18+E19+E20+E21+E22+E23+E24+E25+E26</f>
        <v/>
      </c>
      <c r="F30" s="23">
        <f>F9+F10+F13+F15+F16+F17+F18+F19+F20+F21+F22+F23+F24+F25+F26</f>
        <v/>
      </c>
      <c r="G30" s="23">
        <f>G9+G10+G13+G15+G16+G17+G18+G19+G20+G21+G22+G23+G24+G25+G26</f>
        <v/>
      </c>
      <c r="H30" s="23">
        <f>H9+H10+H13+H15+H16+H17+H18+H19+H20+H21+H22+H23+H24+H25+H26</f>
        <v/>
      </c>
      <c r="I30" s="23">
        <f>I9+I10+I13+I15+I16+I17+I18+I19+I20+I21+I22+I23+I24+I25+I26</f>
        <v/>
      </c>
      <c r="J30" s="23">
        <f>J9+J10+J13+J15+J16+J17+J18+J19+J20+J21+J22+J23+J24+J25+J26</f>
        <v/>
      </c>
      <c r="K30" s="23">
        <f>K9+K10+K13+K15+K16+K17+K18+K19+K20+K21+K22+K23+K24+K25+K26</f>
        <v/>
      </c>
      <c r="L30" s="23">
        <f>L9+L10+L13+L15+L16+L17+L18+L19+L20+L21+L22+L23+L24+L25+L26</f>
        <v/>
      </c>
      <c r="M30" s="23">
        <f>M9+M10+M13+M15+M16+M17+M18+M19+M20+M21+M22+M23+M24+M25+M26</f>
        <v/>
      </c>
      <c r="N30" s="23">
        <f>N9+N10+N13+N15+N16+N17+N18+N19+N20+N21+N22+N23+N24+N25+N26</f>
        <v/>
      </c>
      <c r="O30" s="23">
        <f>O9+O10+O13+O15+O16+O17+O18+O19+O20+O21+O22+O23+O24+O25+O26</f>
        <v/>
      </c>
      <c r="P30" s="23">
        <f>P9+P10+P13+P15+P16+P17+P18+P19+P20+P21+P22+P23+P24+P25+P26</f>
        <v/>
      </c>
      <c r="Q30" s="23">
        <f>Q9+Q10+Q13+Q15+Q16+Q17+Q18+Q19+Q20+Q21+Q22+Q23+Q24+Q25+Q26</f>
        <v/>
      </c>
      <c r="R30" s="23">
        <f>R9+R10+R13+R15+R16+R17+R18+R19+R20+R21+R22+R23+R24+R25+R26</f>
        <v/>
      </c>
      <c r="S30" s="23">
        <f>S9+S10+S13+S15+S16+S17+S18+S19+S20+S21+S22+S23+S24+S25+S26</f>
        <v/>
      </c>
      <c r="T30" s="23">
        <f>T9+T10+T13+T15+T16+T17+T18+T19+T20+T21+T22+T23+T24+T25+T26</f>
        <v/>
      </c>
      <c r="U30" s="23">
        <f>U9+U10+U13+U15+U16+U17+U18+U19+U20+U21+U22+U23+U24+U25+U26</f>
        <v/>
      </c>
      <c r="V30" s="23">
        <f>V9+V10+V13+V15+V16+V17+V18+V19+V20+V21+V22+V23+V24+V25+V26</f>
        <v/>
      </c>
    </row>
    <row r="32">
      <c r="A32" s="3" t="inlineStr">
        <is>
          <t>PRN / PER-VISIT DIRECT CARE (census-driven)</t>
        </is>
      </c>
    </row>
    <row r="33">
      <c r="A33" s="4" t="inlineStr">
        <is>
          <t>PRN On-Call LVN (Kendricks-Tuck, Foster)</t>
        </is>
      </c>
      <c r="C33" s="24">
        <f>C6*Inputs!$C$63*Inputs!$D$63*1</f>
        <v/>
      </c>
      <c r="D33" s="24">
        <f>D6*Inputs!$C$63*Inputs!$D$63*1</f>
        <v/>
      </c>
      <c r="E33" s="24">
        <f>E6*Inputs!$C$63*Inputs!$D$63*1</f>
        <v/>
      </c>
      <c r="F33" s="24">
        <f>F6*Inputs!$C$63*Inputs!$D$63*1</f>
        <v/>
      </c>
      <c r="G33" s="24">
        <f>G6*Inputs!$C$63*Inputs!$D$63*1</f>
        <v/>
      </c>
      <c r="H33" s="24">
        <f>H6*Inputs!$C$63*Inputs!$D$63*1</f>
        <v/>
      </c>
      <c r="I33" s="24">
        <f>I6*Inputs!$C$63*Inputs!$D$63*1</f>
        <v/>
      </c>
      <c r="J33" s="24">
        <f>J6*Inputs!$C$63*Inputs!$D$63*1</f>
        <v/>
      </c>
      <c r="K33" s="24">
        <f>K6*Inputs!$C$63*Inputs!$D$63*1</f>
        <v/>
      </c>
      <c r="L33" s="24">
        <f>L6*Inputs!$C$63*Inputs!$D$63*1</f>
        <v/>
      </c>
      <c r="M33" s="24">
        <f>M6*Inputs!$C$63*Inputs!$D$63*1</f>
        <v/>
      </c>
      <c r="N33" s="24">
        <f>N6*Inputs!$C$63*Inputs!$D$63*1</f>
        <v/>
      </c>
      <c r="O33" s="24">
        <f>O6*Inputs!$C$63*Inputs!$D$63*3</f>
        <v/>
      </c>
      <c r="P33" s="24">
        <f>P6*Inputs!$C$63*Inputs!$D$63*3</f>
        <v/>
      </c>
      <c r="Q33" s="24">
        <f>Q6*Inputs!$C$63*Inputs!$D$63*3</f>
        <v/>
      </c>
      <c r="R33" s="24">
        <f>R6*Inputs!$C$63*Inputs!$D$63*3</f>
        <v/>
      </c>
      <c r="S33" s="24">
        <f>S6*Inputs!$C$63*Inputs!$D$63*3</f>
        <v/>
      </c>
      <c r="T33" s="24">
        <f>T6*Inputs!$C$63*Inputs!$D$63*3</f>
        <v/>
      </c>
      <c r="U33" s="24">
        <f>U6*Inputs!$C$63*Inputs!$D$63*3</f>
        <v/>
      </c>
      <c r="V33" s="24">
        <f>V6*Inputs!$C$63*Inputs!$D$63*3</f>
        <v/>
      </c>
    </row>
    <row r="34">
      <c r="A34" s="4" t="inlineStr">
        <is>
          <t>PRN Chaplain (Ector, Johnson)</t>
        </is>
      </c>
      <c r="C34" s="24">
        <f>C6*Inputs!$C$64*Inputs!$D$64*1</f>
        <v/>
      </c>
      <c r="D34" s="24">
        <f>D6*Inputs!$C$64*Inputs!$D$64*1</f>
        <v/>
      </c>
      <c r="E34" s="24">
        <f>E6*Inputs!$C$64*Inputs!$D$64*1</f>
        <v/>
      </c>
      <c r="F34" s="24">
        <f>F6*Inputs!$C$64*Inputs!$D$64*1</f>
        <v/>
      </c>
      <c r="G34" s="24">
        <f>G6*Inputs!$C$64*Inputs!$D$64*1</f>
        <v/>
      </c>
      <c r="H34" s="24">
        <f>H6*Inputs!$C$64*Inputs!$D$64*1</f>
        <v/>
      </c>
      <c r="I34" s="24">
        <f>I6*Inputs!$C$64*Inputs!$D$64*1</f>
        <v/>
      </c>
      <c r="J34" s="24">
        <f>J6*Inputs!$C$64*Inputs!$D$64*1</f>
        <v/>
      </c>
      <c r="K34" s="24">
        <f>K6*Inputs!$C$64*Inputs!$D$64*1</f>
        <v/>
      </c>
      <c r="L34" s="24">
        <f>L6*Inputs!$C$64*Inputs!$D$64*1</f>
        <v/>
      </c>
      <c r="M34" s="24">
        <f>M6*Inputs!$C$64*Inputs!$D$64*1</f>
        <v/>
      </c>
      <c r="N34" s="24">
        <f>N6*Inputs!$C$64*Inputs!$D$64*1</f>
        <v/>
      </c>
      <c r="O34" s="24">
        <f>O6*Inputs!$C$64*Inputs!$D$64*3</f>
        <v/>
      </c>
      <c r="P34" s="24">
        <f>P6*Inputs!$C$64*Inputs!$D$64*3</f>
        <v/>
      </c>
      <c r="Q34" s="24">
        <f>Q6*Inputs!$C$64*Inputs!$D$64*3</f>
        <v/>
      </c>
      <c r="R34" s="24">
        <f>R6*Inputs!$C$64*Inputs!$D$64*3</f>
        <v/>
      </c>
      <c r="S34" s="24">
        <f>S6*Inputs!$C$64*Inputs!$D$64*3</f>
        <v/>
      </c>
      <c r="T34" s="24">
        <f>T6*Inputs!$C$64*Inputs!$D$64*3</f>
        <v/>
      </c>
      <c r="U34" s="24">
        <f>U6*Inputs!$C$64*Inputs!$D$64*3</f>
        <v/>
      </c>
      <c r="V34" s="24">
        <f>V6*Inputs!$C$64*Inputs!$D$64*3</f>
        <v/>
      </c>
    </row>
    <row r="35">
      <c r="A35" s="4" t="inlineStr">
        <is>
          <t>PRN Social Worker (Sanders)</t>
        </is>
      </c>
      <c r="C35" s="24">
        <f>C6*Inputs!$C$65*Inputs!$D$65*1</f>
        <v/>
      </c>
      <c r="D35" s="24">
        <f>D6*Inputs!$C$65*Inputs!$D$65*1</f>
        <v/>
      </c>
      <c r="E35" s="24">
        <f>E6*Inputs!$C$65*Inputs!$D$65*1</f>
        <v/>
      </c>
      <c r="F35" s="24">
        <f>F6*Inputs!$C$65*Inputs!$D$65*1</f>
        <v/>
      </c>
      <c r="G35" s="24">
        <f>G6*Inputs!$C$65*Inputs!$D$65*1</f>
        <v/>
      </c>
      <c r="H35" s="24">
        <f>H6*Inputs!$C$65*Inputs!$D$65*1</f>
        <v/>
      </c>
      <c r="I35" s="24">
        <f>I6*Inputs!$C$65*Inputs!$D$65*1</f>
        <v/>
      </c>
      <c r="J35" s="24">
        <f>J6*Inputs!$C$65*Inputs!$D$65*1</f>
        <v/>
      </c>
      <c r="K35" s="24">
        <f>K6*Inputs!$C$65*Inputs!$D$65*1</f>
        <v/>
      </c>
      <c r="L35" s="24">
        <f>L6*Inputs!$C$65*Inputs!$D$65*1</f>
        <v/>
      </c>
      <c r="M35" s="24">
        <f>M6*Inputs!$C$65*Inputs!$D$65*1</f>
        <v/>
      </c>
      <c r="N35" s="24">
        <f>N6*Inputs!$C$65*Inputs!$D$65*1</f>
        <v/>
      </c>
      <c r="O35" s="24">
        <f>O6*Inputs!$C$65*Inputs!$D$65*3</f>
        <v/>
      </c>
      <c r="P35" s="24">
        <f>P6*Inputs!$C$65*Inputs!$D$65*3</f>
        <v/>
      </c>
      <c r="Q35" s="24">
        <f>Q6*Inputs!$C$65*Inputs!$D$65*3</f>
        <v/>
      </c>
      <c r="R35" s="24">
        <f>R6*Inputs!$C$65*Inputs!$D$65*3</f>
        <v/>
      </c>
      <c r="S35" s="24">
        <f>S6*Inputs!$C$65*Inputs!$D$65*3</f>
        <v/>
      </c>
      <c r="T35" s="24">
        <f>T6*Inputs!$C$65*Inputs!$D$65*3</f>
        <v/>
      </c>
      <c r="U35" s="24">
        <f>U6*Inputs!$C$65*Inputs!$D$65*3</f>
        <v/>
      </c>
      <c r="V35" s="24">
        <f>V6*Inputs!$C$65*Inputs!$D$65*3</f>
        <v/>
      </c>
    </row>
    <row r="36">
      <c r="A36" s="4" t="inlineStr">
        <is>
          <t>PRN Nurse Practitioner (Rogers)</t>
        </is>
      </c>
      <c r="C36" s="24">
        <f>C6*Inputs!$C$66*Inputs!$D$66*1</f>
        <v/>
      </c>
      <c r="D36" s="24">
        <f>D6*Inputs!$C$66*Inputs!$D$66*1</f>
        <v/>
      </c>
      <c r="E36" s="24">
        <f>E6*Inputs!$C$66*Inputs!$D$66*1</f>
        <v/>
      </c>
      <c r="F36" s="24">
        <f>F6*Inputs!$C$66*Inputs!$D$66*1</f>
        <v/>
      </c>
      <c r="G36" s="24">
        <f>G6*Inputs!$C$66*Inputs!$D$66*1</f>
        <v/>
      </c>
      <c r="H36" s="24">
        <f>H6*Inputs!$C$66*Inputs!$D$66*1</f>
        <v/>
      </c>
      <c r="I36" s="24">
        <f>I6*Inputs!$C$66*Inputs!$D$66*1</f>
        <v/>
      </c>
      <c r="J36" s="24">
        <f>J6*Inputs!$C$66*Inputs!$D$66*1</f>
        <v/>
      </c>
      <c r="K36" s="24">
        <f>K6*Inputs!$C$66*Inputs!$D$66*1</f>
        <v/>
      </c>
      <c r="L36" s="24">
        <f>L6*Inputs!$C$66*Inputs!$D$66*1</f>
        <v/>
      </c>
      <c r="M36" s="24">
        <f>M6*Inputs!$C$66*Inputs!$D$66*1</f>
        <v/>
      </c>
      <c r="N36" s="24">
        <f>N6*Inputs!$C$66*Inputs!$D$66*1</f>
        <v/>
      </c>
      <c r="O36" s="24">
        <f>O6*Inputs!$C$66*Inputs!$D$66*3</f>
        <v/>
      </c>
      <c r="P36" s="24">
        <f>P6*Inputs!$C$66*Inputs!$D$66*3</f>
        <v/>
      </c>
      <c r="Q36" s="24">
        <f>Q6*Inputs!$C$66*Inputs!$D$66*3</f>
        <v/>
      </c>
      <c r="R36" s="24">
        <f>R6*Inputs!$C$66*Inputs!$D$66*3</f>
        <v/>
      </c>
      <c r="S36" s="24">
        <f>S6*Inputs!$C$66*Inputs!$D$66*3</f>
        <v/>
      </c>
      <c r="T36" s="24">
        <f>T6*Inputs!$C$66*Inputs!$D$66*3</f>
        <v/>
      </c>
      <c r="U36" s="24">
        <f>U6*Inputs!$C$66*Inputs!$D$66*3</f>
        <v/>
      </c>
      <c r="V36" s="24">
        <f>V6*Inputs!$C$66*Inputs!$D$66*3</f>
        <v/>
      </c>
    </row>
    <row r="37">
      <c r="A37" s="4" t="inlineStr">
        <is>
          <t>PRN CNA / per-visit (Henson, Mills)</t>
        </is>
      </c>
      <c r="C37" s="24">
        <f>C6*Inputs!$C$67*Inputs!$D$67*1</f>
        <v/>
      </c>
      <c r="D37" s="24">
        <f>D6*Inputs!$C$67*Inputs!$D$67*1</f>
        <v/>
      </c>
      <c r="E37" s="24">
        <f>E6*Inputs!$C$67*Inputs!$D$67*1</f>
        <v/>
      </c>
      <c r="F37" s="24">
        <f>F6*Inputs!$C$67*Inputs!$D$67*1</f>
        <v/>
      </c>
      <c r="G37" s="24">
        <f>G6*Inputs!$C$67*Inputs!$D$67*1</f>
        <v/>
      </c>
      <c r="H37" s="24">
        <f>H6*Inputs!$C$67*Inputs!$D$67*1</f>
        <v/>
      </c>
      <c r="I37" s="24">
        <f>I6*Inputs!$C$67*Inputs!$D$67*1</f>
        <v/>
      </c>
      <c r="J37" s="24">
        <f>J6*Inputs!$C$67*Inputs!$D$67*1</f>
        <v/>
      </c>
      <c r="K37" s="24">
        <f>K6*Inputs!$C$67*Inputs!$D$67*1</f>
        <v/>
      </c>
      <c r="L37" s="24">
        <f>L6*Inputs!$C$67*Inputs!$D$67*1</f>
        <v/>
      </c>
      <c r="M37" s="24">
        <f>M6*Inputs!$C$67*Inputs!$D$67*1</f>
        <v/>
      </c>
      <c r="N37" s="24">
        <f>N6*Inputs!$C$67*Inputs!$D$67*1</f>
        <v/>
      </c>
      <c r="O37" s="24">
        <f>O6*Inputs!$C$67*Inputs!$D$67*3</f>
        <v/>
      </c>
      <c r="P37" s="24">
        <f>P6*Inputs!$C$67*Inputs!$D$67*3</f>
        <v/>
      </c>
      <c r="Q37" s="24">
        <f>Q6*Inputs!$C$67*Inputs!$D$67*3</f>
        <v/>
      </c>
      <c r="R37" s="24">
        <f>R6*Inputs!$C$67*Inputs!$D$67*3</f>
        <v/>
      </c>
      <c r="S37" s="24">
        <f>S6*Inputs!$C$67*Inputs!$D$67*3</f>
        <v/>
      </c>
      <c r="T37" s="24">
        <f>T6*Inputs!$C$67*Inputs!$D$67*3</f>
        <v/>
      </c>
      <c r="U37" s="24">
        <f>U6*Inputs!$C$67*Inputs!$D$67*3</f>
        <v/>
      </c>
      <c r="V37" s="24">
        <f>V6*Inputs!$C$67*Inputs!$D$67*3</f>
        <v/>
      </c>
    </row>
    <row r="38">
      <c r="A38" s="31" t="inlineStr">
        <is>
          <t>Subtotal - PRN visit wages</t>
        </is>
      </c>
      <c r="C38" s="23">
        <f>C33+C34+C35+C36+C37</f>
        <v/>
      </c>
      <c r="D38" s="23">
        <f>D33+D34+D35+D36+D37</f>
        <v/>
      </c>
      <c r="E38" s="23">
        <f>E33+E34+E35+E36+E37</f>
        <v/>
      </c>
      <c r="F38" s="23">
        <f>F33+F34+F35+F36+F37</f>
        <v/>
      </c>
      <c r="G38" s="23">
        <f>G33+G34+G35+G36+G37</f>
        <v/>
      </c>
      <c r="H38" s="23">
        <f>H33+H34+H35+H36+H37</f>
        <v/>
      </c>
      <c r="I38" s="23">
        <f>I33+I34+I35+I36+I37</f>
        <v/>
      </c>
      <c r="J38" s="23">
        <f>J33+J34+J35+J36+J37</f>
        <v/>
      </c>
      <c r="K38" s="23">
        <f>K33+K34+K35+K36+K37</f>
        <v/>
      </c>
      <c r="L38" s="23">
        <f>L33+L34+L35+L36+L37</f>
        <v/>
      </c>
      <c r="M38" s="23">
        <f>M33+M34+M35+M36+M37</f>
        <v/>
      </c>
      <c r="N38" s="23">
        <f>N33+N34+N35+N36+N37</f>
        <v/>
      </c>
      <c r="O38" s="23">
        <f>O33+O34+O35+O36+O37</f>
        <v/>
      </c>
      <c r="P38" s="23">
        <f>P33+P34+P35+P36+P37</f>
        <v/>
      </c>
      <c r="Q38" s="23">
        <f>Q33+Q34+Q35+Q36+Q37</f>
        <v/>
      </c>
      <c r="R38" s="23">
        <f>R33+R34+R35+R36+R37</f>
        <v/>
      </c>
      <c r="S38" s="23">
        <f>S33+S34+S35+S36+S37</f>
        <v/>
      </c>
      <c r="T38" s="23">
        <f>T33+T34+T35+T36+T37</f>
        <v/>
      </c>
      <c r="U38" s="23">
        <f>U33+U34+U35+U36+U37</f>
        <v/>
      </c>
      <c r="V38" s="23">
        <f>V33+V34+V35+V36+V37</f>
        <v/>
      </c>
    </row>
    <row r="39">
      <c r="A39" s="4" t="inlineStr">
        <is>
          <t>Medical Director 1 + 2 (1099, MD2 conditional)</t>
        </is>
      </c>
      <c r="C39" s="24">
        <f>Inputs!$B$81*1+IF(1&gt;=Inputs!$B$83,Inputs!$B$82*1,0)</f>
        <v/>
      </c>
      <c r="D39" s="24">
        <f>Inputs!$B$81*1+IF(2&gt;=Inputs!$B$83,Inputs!$B$82*1,0)</f>
        <v/>
      </c>
      <c r="E39" s="24">
        <f>Inputs!$B$81*1+IF(3&gt;=Inputs!$B$83,Inputs!$B$82*1,0)</f>
        <v/>
      </c>
      <c r="F39" s="24">
        <f>Inputs!$B$81*1+IF(4&gt;=Inputs!$B$83,Inputs!$B$82*1,0)</f>
        <v/>
      </c>
      <c r="G39" s="24">
        <f>Inputs!$B$81*1+IF(5&gt;=Inputs!$B$83,Inputs!$B$82*1,0)</f>
        <v/>
      </c>
      <c r="H39" s="24">
        <f>Inputs!$B$81*1+IF(6&gt;=Inputs!$B$83,Inputs!$B$82*1,0)</f>
        <v/>
      </c>
      <c r="I39" s="24">
        <f>Inputs!$B$81*1+IF(7&gt;=Inputs!$B$83,Inputs!$B$82*1,0)</f>
        <v/>
      </c>
      <c r="J39" s="24">
        <f>Inputs!$B$81*1+IF(8&gt;=Inputs!$B$83,Inputs!$B$82*1,0)</f>
        <v/>
      </c>
      <c r="K39" s="24">
        <f>Inputs!$B$81*1+IF(9&gt;=Inputs!$B$83,Inputs!$B$82*1,0)</f>
        <v/>
      </c>
      <c r="L39" s="24">
        <f>Inputs!$B$81*1+IF(10&gt;=Inputs!$B$83,Inputs!$B$82*1,0)</f>
        <v/>
      </c>
      <c r="M39" s="24">
        <f>Inputs!$B$81*1+IF(11&gt;=Inputs!$B$83,Inputs!$B$82*1,0)</f>
        <v/>
      </c>
      <c r="N39" s="24">
        <f>Inputs!$B$81*1+IF(12&gt;=Inputs!$B$83,Inputs!$B$82*1,0)</f>
        <v/>
      </c>
      <c r="O39" s="24">
        <f>Inputs!$B$81*3+IF(15&gt;=Inputs!$B$83,Inputs!$B$82*3,0)</f>
        <v/>
      </c>
      <c r="P39" s="24">
        <f>Inputs!$B$81*3+IF(18&gt;=Inputs!$B$83,Inputs!$B$82*3,0)</f>
        <v/>
      </c>
      <c r="Q39" s="24">
        <f>Inputs!$B$81*3+IF(21&gt;=Inputs!$B$83,Inputs!$B$82*3,0)</f>
        <v/>
      </c>
      <c r="R39" s="24">
        <f>Inputs!$B$81*3+IF(24&gt;=Inputs!$B$83,Inputs!$B$82*3,0)</f>
        <v/>
      </c>
      <c r="S39" s="24">
        <f>Inputs!$B$81*3+IF(27&gt;=Inputs!$B$83,Inputs!$B$82*3,0)</f>
        <v/>
      </c>
      <c r="T39" s="24">
        <f>Inputs!$B$81*3+IF(30&gt;=Inputs!$B$83,Inputs!$B$82*3,0)</f>
        <v/>
      </c>
      <c r="U39" s="24">
        <f>Inputs!$B$81*3+IF(33&gt;=Inputs!$B$83,Inputs!$B$82*3,0)</f>
        <v/>
      </c>
      <c r="V39" s="24">
        <f>Inputs!$B$81*3+IF(36&gt;=Inputs!$B$83,Inputs!$B$82*3,0)</f>
        <v/>
      </c>
    </row>
    <row r="41">
      <c r="A41" s="3" t="inlineStr">
        <is>
          <t>INDIRECT LABOR (SG&amp;A overhead)</t>
        </is>
      </c>
    </row>
    <row r="42">
      <c r="A42" s="31" t="inlineStr">
        <is>
          <t>Subtotal - indirect FT salaries</t>
        </is>
      </c>
      <c r="C42" s="23">
        <f>C8+C11+C12+C14+C27+C28+C29</f>
        <v/>
      </c>
      <c r="D42" s="23">
        <f>D8+D11+D12+D14+D27+D28+D29</f>
        <v/>
      </c>
      <c r="E42" s="23">
        <f>E8+E11+E12+E14+E27+E28+E29</f>
        <v/>
      </c>
      <c r="F42" s="23">
        <f>F8+F11+F12+F14+F27+F28+F29</f>
        <v/>
      </c>
      <c r="G42" s="23">
        <f>G8+G11+G12+G14+G27+G28+G29</f>
        <v/>
      </c>
      <c r="H42" s="23">
        <f>H8+H11+H12+H14+H27+H28+H29</f>
        <v/>
      </c>
      <c r="I42" s="23">
        <f>I8+I11+I12+I14+I27+I28+I29</f>
        <v/>
      </c>
      <c r="J42" s="23">
        <f>J8+J11+J12+J14+J27+J28+J29</f>
        <v/>
      </c>
      <c r="K42" s="23">
        <f>K8+K11+K12+K14+K27+K28+K29</f>
        <v/>
      </c>
      <c r="L42" s="23">
        <f>L8+L11+L12+L14+L27+L28+L29</f>
        <v/>
      </c>
      <c r="M42" s="23">
        <f>M8+M11+M12+M14+M27+M28+M29</f>
        <v/>
      </c>
      <c r="N42" s="23">
        <f>N8+N11+N12+N14+N27+N28+N29</f>
        <v/>
      </c>
      <c r="O42" s="23">
        <f>O8+O11+O12+O14+O27+O28+O29</f>
        <v/>
      </c>
      <c r="P42" s="23">
        <f>P8+P11+P12+P14+P27+P28+P29</f>
        <v/>
      </c>
      <c r="Q42" s="23">
        <f>Q8+Q11+Q12+Q14+Q27+Q28+Q29</f>
        <v/>
      </c>
      <c r="R42" s="23">
        <f>R8+R11+R12+R14+R27+R28+R29</f>
        <v/>
      </c>
      <c r="S42" s="23">
        <f>S8+S11+S12+S14+S27+S28+S29</f>
        <v/>
      </c>
      <c r="T42" s="23">
        <f>T8+T11+T12+T14+T27+T28+T29</f>
        <v/>
      </c>
      <c r="U42" s="23">
        <f>U8+U11+U12+U14+U27+U28+U29</f>
        <v/>
      </c>
      <c r="V42" s="23">
        <f>V8+V11+V12+V14+V27+V28+V29</f>
        <v/>
      </c>
    </row>
    <row r="43">
      <c r="A43" s="4" t="inlineStr">
        <is>
          <t>Rhonda Smith - Office Mgr (PRN, W-2)</t>
        </is>
      </c>
      <c r="C43" s="24">
        <f>Inputs!$C$59/12*1*1</f>
        <v/>
      </c>
      <c r="D43" s="24">
        <f>Inputs!$C$59/12*1*1</f>
        <v/>
      </c>
      <c r="E43" s="24">
        <f>Inputs!$C$59/12*1*1</f>
        <v/>
      </c>
      <c r="F43" s="24">
        <f>Inputs!$C$59/12*1*1</f>
        <v/>
      </c>
      <c r="G43" s="24">
        <f>Inputs!$C$59/12*1*1</f>
        <v/>
      </c>
      <c r="H43" s="24">
        <f>Inputs!$C$59/12*1*1</f>
        <v/>
      </c>
      <c r="I43" s="24">
        <f>Inputs!$C$59/12*1*1</f>
        <v/>
      </c>
      <c r="J43" s="24">
        <f>Inputs!$C$59/12*1*1</f>
        <v/>
      </c>
      <c r="K43" s="24">
        <f>Inputs!$C$59/12*1*1</f>
        <v/>
      </c>
      <c r="L43" s="24">
        <f>Inputs!$C$59/12*1*1</f>
        <v/>
      </c>
      <c r="M43" s="24">
        <f>Inputs!$C$59/12*1*1</f>
        <v/>
      </c>
      <c r="N43" s="24">
        <f>Inputs!$C$59/12*1*1</f>
        <v/>
      </c>
      <c r="O43" s="24">
        <f>Inputs!$C$59/12*3*(1+Inputs!$B$74)^1</f>
        <v/>
      </c>
      <c r="P43" s="24">
        <f>Inputs!$C$59/12*3*(1+Inputs!$B$74)^1</f>
        <v/>
      </c>
      <c r="Q43" s="24">
        <f>Inputs!$C$59/12*3*(1+Inputs!$B$74)^1</f>
        <v/>
      </c>
      <c r="R43" s="24">
        <f>Inputs!$C$59/12*3*(1+Inputs!$B$74)^1</f>
        <v/>
      </c>
      <c r="S43" s="24">
        <f>Inputs!$C$59/12*3*(1+Inputs!$B$74)^2</f>
        <v/>
      </c>
      <c r="T43" s="24">
        <f>Inputs!$C$59/12*3*(1+Inputs!$B$74)^2</f>
        <v/>
      </c>
      <c r="U43" s="24">
        <f>Inputs!$C$59/12*3*(1+Inputs!$B$74)^2</f>
        <v/>
      </c>
      <c r="V43" s="24">
        <f>Inputs!$C$59/12*3*(1+Inputs!$B$74)^2</f>
        <v/>
      </c>
    </row>
    <row r="45">
      <c r="A45" s="3" t="inlineStr">
        <is>
          <t>EMPLOYER BURDEN &amp; BENEFITS (W-2 only)</t>
        </is>
      </c>
    </row>
    <row r="46">
      <c r="A46" s="21" t="inlineStr">
        <is>
          <t>Direct W-2 wage base (FT direct + PRN)</t>
        </is>
      </c>
      <c r="C46" s="24">
        <f>C30+C38</f>
        <v/>
      </c>
      <c r="D46" s="24">
        <f>D30+D38</f>
        <v/>
      </c>
      <c r="E46" s="24">
        <f>E30+E38</f>
        <v/>
      </c>
      <c r="F46" s="24">
        <f>F30+F38</f>
        <v/>
      </c>
      <c r="G46" s="24">
        <f>G30+G38</f>
        <v/>
      </c>
      <c r="H46" s="24">
        <f>H30+H38</f>
        <v/>
      </c>
      <c r="I46" s="24">
        <f>I30+I38</f>
        <v/>
      </c>
      <c r="J46" s="24">
        <f>J30+J38</f>
        <v/>
      </c>
      <c r="K46" s="24">
        <f>K30+K38</f>
        <v/>
      </c>
      <c r="L46" s="24">
        <f>L30+L38</f>
        <v/>
      </c>
      <c r="M46" s="24">
        <f>M30+M38</f>
        <v/>
      </c>
      <c r="N46" s="24">
        <f>N30+N38</f>
        <v/>
      </c>
      <c r="O46" s="24">
        <f>O30+O38</f>
        <v/>
      </c>
      <c r="P46" s="24">
        <f>P30+P38</f>
        <v/>
      </c>
      <c r="Q46" s="24">
        <f>Q30+Q38</f>
        <v/>
      </c>
      <c r="R46" s="24">
        <f>R30+R38</f>
        <v/>
      </c>
      <c r="S46" s="24">
        <f>S30+S38</f>
        <v/>
      </c>
      <c r="T46" s="24">
        <f>T30+T38</f>
        <v/>
      </c>
      <c r="U46" s="24">
        <f>U30+U38</f>
        <v/>
      </c>
      <c r="V46" s="24">
        <f>V30+V38</f>
        <v/>
      </c>
    </row>
    <row r="47">
      <c r="A47" s="21" t="inlineStr">
        <is>
          <t>Indirect W-2 wage base (FT indirect + Rhonda)</t>
        </is>
      </c>
      <c r="C47" s="24">
        <f>C42+C43</f>
        <v/>
      </c>
      <c r="D47" s="24">
        <f>D42+D43</f>
        <v/>
      </c>
      <c r="E47" s="24">
        <f>E42+E43</f>
        <v/>
      </c>
      <c r="F47" s="24">
        <f>F42+F43</f>
        <v/>
      </c>
      <c r="G47" s="24">
        <f>G42+G43</f>
        <v/>
      </c>
      <c r="H47" s="24">
        <f>H42+H43</f>
        <v/>
      </c>
      <c r="I47" s="24">
        <f>I42+I43</f>
        <v/>
      </c>
      <c r="J47" s="24">
        <f>J42+J43</f>
        <v/>
      </c>
      <c r="K47" s="24">
        <f>K42+K43</f>
        <v/>
      </c>
      <c r="L47" s="24">
        <f>L42+L43</f>
        <v/>
      </c>
      <c r="M47" s="24">
        <f>M42+M43</f>
        <v/>
      </c>
      <c r="N47" s="24">
        <f>N42+N43</f>
        <v/>
      </c>
      <c r="O47" s="24">
        <f>O42+O43</f>
        <v/>
      </c>
      <c r="P47" s="24">
        <f>P42+P43</f>
        <v/>
      </c>
      <c r="Q47" s="24">
        <f>Q42+Q43</f>
        <v/>
      </c>
      <c r="R47" s="24">
        <f>R42+R43</f>
        <v/>
      </c>
      <c r="S47" s="24">
        <f>S42+S43</f>
        <v/>
      </c>
      <c r="T47" s="24">
        <f>T42+T43</f>
        <v/>
      </c>
      <c r="U47" s="24">
        <f>U42+U43</f>
        <v/>
      </c>
      <c r="V47" s="24">
        <f>V42+V43</f>
        <v/>
      </c>
    </row>
    <row r="48">
      <c r="A48" s="4" t="inlineStr">
        <is>
          <t>Burden - direct (load %)</t>
        </is>
      </c>
      <c r="C48" s="24">
        <f>C46*Inputs!$B$77</f>
        <v/>
      </c>
      <c r="D48" s="24">
        <f>D46*Inputs!$B$77</f>
        <v/>
      </c>
      <c r="E48" s="24">
        <f>E46*Inputs!$B$77</f>
        <v/>
      </c>
      <c r="F48" s="24">
        <f>F46*Inputs!$B$77</f>
        <v/>
      </c>
      <c r="G48" s="24">
        <f>G46*Inputs!$B$77</f>
        <v/>
      </c>
      <c r="H48" s="24">
        <f>H46*Inputs!$B$77</f>
        <v/>
      </c>
      <c r="I48" s="24">
        <f>I46*Inputs!$B$77</f>
        <v/>
      </c>
      <c r="J48" s="24">
        <f>J46*Inputs!$B$77</f>
        <v/>
      </c>
      <c r="K48" s="24">
        <f>K46*Inputs!$B$77</f>
        <v/>
      </c>
      <c r="L48" s="24">
        <f>L46*Inputs!$B$77</f>
        <v/>
      </c>
      <c r="M48" s="24">
        <f>M46*Inputs!$B$77</f>
        <v/>
      </c>
      <c r="N48" s="24">
        <f>N46*Inputs!$B$77</f>
        <v/>
      </c>
      <c r="O48" s="24">
        <f>O46*Inputs!$B$77</f>
        <v/>
      </c>
      <c r="P48" s="24">
        <f>P46*Inputs!$B$77</f>
        <v/>
      </c>
      <c r="Q48" s="24">
        <f>Q46*Inputs!$B$77</f>
        <v/>
      </c>
      <c r="R48" s="24">
        <f>R46*Inputs!$B$77</f>
        <v/>
      </c>
      <c r="S48" s="24">
        <f>S46*Inputs!$B$77</f>
        <v/>
      </c>
      <c r="T48" s="24">
        <f>T46*Inputs!$B$77</f>
        <v/>
      </c>
      <c r="U48" s="24">
        <f>U46*Inputs!$B$77</f>
        <v/>
      </c>
      <c r="V48" s="24">
        <f>V46*Inputs!$B$77</f>
        <v/>
      </c>
    </row>
    <row r="49">
      <c r="A49" s="4" t="inlineStr">
        <is>
          <t>Burden - indirect (load %)</t>
        </is>
      </c>
      <c r="C49" s="24">
        <f>C47*Inputs!$B$77</f>
        <v/>
      </c>
      <c r="D49" s="24">
        <f>D47*Inputs!$B$77</f>
        <v/>
      </c>
      <c r="E49" s="24">
        <f>E47*Inputs!$B$77</f>
        <v/>
      </c>
      <c r="F49" s="24">
        <f>F47*Inputs!$B$77</f>
        <v/>
      </c>
      <c r="G49" s="24">
        <f>G47*Inputs!$B$77</f>
        <v/>
      </c>
      <c r="H49" s="24">
        <f>H47*Inputs!$B$77</f>
        <v/>
      </c>
      <c r="I49" s="24">
        <f>I47*Inputs!$B$77</f>
        <v/>
      </c>
      <c r="J49" s="24">
        <f>J47*Inputs!$B$77</f>
        <v/>
      </c>
      <c r="K49" s="24">
        <f>K47*Inputs!$B$77</f>
        <v/>
      </c>
      <c r="L49" s="24">
        <f>L47*Inputs!$B$77</f>
        <v/>
      </c>
      <c r="M49" s="24">
        <f>M47*Inputs!$B$77</f>
        <v/>
      </c>
      <c r="N49" s="24">
        <f>N47*Inputs!$B$77</f>
        <v/>
      </c>
      <c r="O49" s="24">
        <f>O47*Inputs!$B$77</f>
        <v/>
      </c>
      <c r="P49" s="24">
        <f>P47*Inputs!$B$77</f>
        <v/>
      </c>
      <c r="Q49" s="24">
        <f>Q47*Inputs!$B$77</f>
        <v/>
      </c>
      <c r="R49" s="24">
        <f>R47*Inputs!$B$77</f>
        <v/>
      </c>
      <c r="S49" s="24">
        <f>S47*Inputs!$B$77</f>
        <v/>
      </c>
      <c r="T49" s="24">
        <f>T47*Inputs!$B$77</f>
        <v/>
      </c>
      <c r="U49" s="24">
        <f>U47*Inputs!$B$77</f>
        <v/>
      </c>
      <c r="V49" s="24">
        <f>V47*Inputs!$B$77</f>
        <v/>
      </c>
    </row>
    <row r="50">
      <c r="A50" s="4" t="inlineStr">
        <is>
          <t>Health insurance - direct FT</t>
        </is>
      </c>
      <c r="C50" s="24">
        <f>Inputs!$B$78*(IF(1&gt;=Inputs!$D$38,1,0)+IF(1&gt;=Inputs!$D$39,1,0)+IF(1&gt;=Inputs!$D$42,1,0)+IF(1&gt;=Inputs!$D$44,1,0)+IF(1&gt;=Inputs!$D$45,1,0)+IF(1&gt;=Inputs!$D$46,1,0)+IF(1&gt;=Inputs!$D$47,1,0)+IF(1&gt;=Inputs!$D$48,1,0)+IF(1&gt;=Inputs!$D$49,1,0)+IF(1&gt;=Inputs!$D$50,1,0)+IF(1&gt;=Inputs!$D$51,1,0)+IF(1&gt;=Inputs!$D$52,1,0)+IF(1&gt;=Inputs!$D$53,1,0)+IF(1&gt;=Inputs!$D$54,1,0)+IF(1&gt;=Inputs!$D$55,1,0))*1</f>
        <v/>
      </c>
      <c r="D50" s="24">
        <f>Inputs!$B$78*(IF(2&gt;=Inputs!$D$38,1,0)+IF(2&gt;=Inputs!$D$39,1,0)+IF(2&gt;=Inputs!$D$42,1,0)+IF(2&gt;=Inputs!$D$44,1,0)+IF(2&gt;=Inputs!$D$45,1,0)+IF(2&gt;=Inputs!$D$46,1,0)+IF(2&gt;=Inputs!$D$47,1,0)+IF(2&gt;=Inputs!$D$48,1,0)+IF(2&gt;=Inputs!$D$49,1,0)+IF(2&gt;=Inputs!$D$50,1,0)+IF(2&gt;=Inputs!$D$51,1,0)+IF(2&gt;=Inputs!$D$52,1,0)+IF(2&gt;=Inputs!$D$53,1,0)+IF(2&gt;=Inputs!$D$54,1,0)+IF(2&gt;=Inputs!$D$55,1,0))*1</f>
        <v/>
      </c>
      <c r="E50" s="24">
        <f>Inputs!$B$78*(IF(3&gt;=Inputs!$D$38,1,0)+IF(3&gt;=Inputs!$D$39,1,0)+IF(3&gt;=Inputs!$D$42,1,0)+IF(3&gt;=Inputs!$D$44,1,0)+IF(3&gt;=Inputs!$D$45,1,0)+IF(3&gt;=Inputs!$D$46,1,0)+IF(3&gt;=Inputs!$D$47,1,0)+IF(3&gt;=Inputs!$D$48,1,0)+IF(3&gt;=Inputs!$D$49,1,0)+IF(3&gt;=Inputs!$D$50,1,0)+IF(3&gt;=Inputs!$D$51,1,0)+IF(3&gt;=Inputs!$D$52,1,0)+IF(3&gt;=Inputs!$D$53,1,0)+IF(3&gt;=Inputs!$D$54,1,0)+IF(3&gt;=Inputs!$D$55,1,0))*1</f>
        <v/>
      </c>
      <c r="F50" s="24">
        <f>Inputs!$B$78*(IF(4&gt;=Inputs!$D$38,1,0)+IF(4&gt;=Inputs!$D$39,1,0)+IF(4&gt;=Inputs!$D$42,1,0)+IF(4&gt;=Inputs!$D$44,1,0)+IF(4&gt;=Inputs!$D$45,1,0)+IF(4&gt;=Inputs!$D$46,1,0)+IF(4&gt;=Inputs!$D$47,1,0)+IF(4&gt;=Inputs!$D$48,1,0)+IF(4&gt;=Inputs!$D$49,1,0)+IF(4&gt;=Inputs!$D$50,1,0)+IF(4&gt;=Inputs!$D$51,1,0)+IF(4&gt;=Inputs!$D$52,1,0)+IF(4&gt;=Inputs!$D$53,1,0)+IF(4&gt;=Inputs!$D$54,1,0)+IF(4&gt;=Inputs!$D$55,1,0))*1</f>
        <v/>
      </c>
      <c r="G50" s="24">
        <f>Inputs!$B$78*(IF(5&gt;=Inputs!$D$38,1,0)+IF(5&gt;=Inputs!$D$39,1,0)+IF(5&gt;=Inputs!$D$42,1,0)+IF(5&gt;=Inputs!$D$44,1,0)+IF(5&gt;=Inputs!$D$45,1,0)+IF(5&gt;=Inputs!$D$46,1,0)+IF(5&gt;=Inputs!$D$47,1,0)+IF(5&gt;=Inputs!$D$48,1,0)+IF(5&gt;=Inputs!$D$49,1,0)+IF(5&gt;=Inputs!$D$50,1,0)+IF(5&gt;=Inputs!$D$51,1,0)+IF(5&gt;=Inputs!$D$52,1,0)+IF(5&gt;=Inputs!$D$53,1,0)+IF(5&gt;=Inputs!$D$54,1,0)+IF(5&gt;=Inputs!$D$55,1,0))*1</f>
        <v/>
      </c>
      <c r="H50" s="24">
        <f>Inputs!$B$78*(IF(6&gt;=Inputs!$D$38,1,0)+IF(6&gt;=Inputs!$D$39,1,0)+IF(6&gt;=Inputs!$D$42,1,0)+IF(6&gt;=Inputs!$D$44,1,0)+IF(6&gt;=Inputs!$D$45,1,0)+IF(6&gt;=Inputs!$D$46,1,0)+IF(6&gt;=Inputs!$D$47,1,0)+IF(6&gt;=Inputs!$D$48,1,0)+IF(6&gt;=Inputs!$D$49,1,0)+IF(6&gt;=Inputs!$D$50,1,0)+IF(6&gt;=Inputs!$D$51,1,0)+IF(6&gt;=Inputs!$D$52,1,0)+IF(6&gt;=Inputs!$D$53,1,0)+IF(6&gt;=Inputs!$D$54,1,0)+IF(6&gt;=Inputs!$D$55,1,0))*1</f>
        <v/>
      </c>
      <c r="I50" s="24">
        <f>Inputs!$B$78*(IF(7&gt;=Inputs!$D$38,1,0)+IF(7&gt;=Inputs!$D$39,1,0)+IF(7&gt;=Inputs!$D$42,1,0)+IF(7&gt;=Inputs!$D$44,1,0)+IF(7&gt;=Inputs!$D$45,1,0)+IF(7&gt;=Inputs!$D$46,1,0)+IF(7&gt;=Inputs!$D$47,1,0)+IF(7&gt;=Inputs!$D$48,1,0)+IF(7&gt;=Inputs!$D$49,1,0)+IF(7&gt;=Inputs!$D$50,1,0)+IF(7&gt;=Inputs!$D$51,1,0)+IF(7&gt;=Inputs!$D$52,1,0)+IF(7&gt;=Inputs!$D$53,1,0)+IF(7&gt;=Inputs!$D$54,1,0)+IF(7&gt;=Inputs!$D$55,1,0))*1</f>
        <v/>
      </c>
      <c r="J50" s="24">
        <f>Inputs!$B$78*(IF(8&gt;=Inputs!$D$38,1,0)+IF(8&gt;=Inputs!$D$39,1,0)+IF(8&gt;=Inputs!$D$42,1,0)+IF(8&gt;=Inputs!$D$44,1,0)+IF(8&gt;=Inputs!$D$45,1,0)+IF(8&gt;=Inputs!$D$46,1,0)+IF(8&gt;=Inputs!$D$47,1,0)+IF(8&gt;=Inputs!$D$48,1,0)+IF(8&gt;=Inputs!$D$49,1,0)+IF(8&gt;=Inputs!$D$50,1,0)+IF(8&gt;=Inputs!$D$51,1,0)+IF(8&gt;=Inputs!$D$52,1,0)+IF(8&gt;=Inputs!$D$53,1,0)+IF(8&gt;=Inputs!$D$54,1,0)+IF(8&gt;=Inputs!$D$55,1,0))*1</f>
        <v/>
      </c>
      <c r="K50" s="24">
        <f>Inputs!$B$78*(IF(9&gt;=Inputs!$D$38,1,0)+IF(9&gt;=Inputs!$D$39,1,0)+IF(9&gt;=Inputs!$D$42,1,0)+IF(9&gt;=Inputs!$D$44,1,0)+IF(9&gt;=Inputs!$D$45,1,0)+IF(9&gt;=Inputs!$D$46,1,0)+IF(9&gt;=Inputs!$D$47,1,0)+IF(9&gt;=Inputs!$D$48,1,0)+IF(9&gt;=Inputs!$D$49,1,0)+IF(9&gt;=Inputs!$D$50,1,0)+IF(9&gt;=Inputs!$D$51,1,0)+IF(9&gt;=Inputs!$D$52,1,0)+IF(9&gt;=Inputs!$D$53,1,0)+IF(9&gt;=Inputs!$D$54,1,0)+IF(9&gt;=Inputs!$D$55,1,0))*1</f>
        <v/>
      </c>
      <c r="L50" s="24">
        <f>Inputs!$B$78*(IF(10&gt;=Inputs!$D$38,1,0)+IF(10&gt;=Inputs!$D$39,1,0)+IF(10&gt;=Inputs!$D$42,1,0)+IF(10&gt;=Inputs!$D$44,1,0)+IF(10&gt;=Inputs!$D$45,1,0)+IF(10&gt;=Inputs!$D$46,1,0)+IF(10&gt;=Inputs!$D$47,1,0)+IF(10&gt;=Inputs!$D$48,1,0)+IF(10&gt;=Inputs!$D$49,1,0)+IF(10&gt;=Inputs!$D$50,1,0)+IF(10&gt;=Inputs!$D$51,1,0)+IF(10&gt;=Inputs!$D$52,1,0)+IF(10&gt;=Inputs!$D$53,1,0)+IF(10&gt;=Inputs!$D$54,1,0)+IF(10&gt;=Inputs!$D$55,1,0))*1</f>
        <v/>
      </c>
      <c r="M50" s="24">
        <f>Inputs!$B$78*(IF(11&gt;=Inputs!$D$38,1,0)+IF(11&gt;=Inputs!$D$39,1,0)+IF(11&gt;=Inputs!$D$42,1,0)+IF(11&gt;=Inputs!$D$44,1,0)+IF(11&gt;=Inputs!$D$45,1,0)+IF(11&gt;=Inputs!$D$46,1,0)+IF(11&gt;=Inputs!$D$47,1,0)+IF(11&gt;=Inputs!$D$48,1,0)+IF(11&gt;=Inputs!$D$49,1,0)+IF(11&gt;=Inputs!$D$50,1,0)+IF(11&gt;=Inputs!$D$51,1,0)+IF(11&gt;=Inputs!$D$52,1,0)+IF(11&gt;=Inputs!$D$53,1,0)+IF(11&gt;=Inputs!$D$54,1,0)+IF(11&gt;=Inputs!$D$55,1,0))*1</f>
        <v/>
      </c>
      <c r="N50" s="24">
        <f>Inputs!$B$78*(IF(12&gt;=Inputs!$D$38,1,0)+IF(12&gt;=Inputs!$D$39,1,0)+IF(12&gt;=Inputs!$D$42,1,0)+IF(12&gt;=Inputs!$D$44,1,0)+IF(12&gt;=Inputs!$D$45,1,0)+IF(12&gt;=Inputs!$D$46,1,0)+IF(12&gt;=Inputs!$D$47,1,0)+IF(12&gt;=Inputs!$D$48,1,0)+IF(12&gt;=Inputs!$D$49,1,0)+IF(12&gt;=Inputs!$D$50,1,0)+IF(12&gt;=Inputs!$D$51,1,0)+IF(12&gt;=Inputs!$D$52,1,0)+IF(12&gt;=Inputs!$D$53,1,0)+IF(12&gt;=Inputs!$D$54,1,0)+IF(12&gt;=Inputs!$D$55,1,0))*1</f>
        <v/>
      </c>
      <c r="O50" s="24">
        <f>Inputs!$B$78*(IF(15&gt;=Inputs!$D$38,1,0)+IF(15&gt;=Inputs!$D$39,1,0)+IF(15&gt;=Inputs!$D$42,1,0)+IF(15&gt;=Inputs!$D$44,1,0)+IF(15&gt;=Inputs!$D$45,1,0)+IF(15&gt;=Inputs!$D$46,1,0)+IF(15&gt;=Inputs!$D$47,1,0)+IF(15&gt;=Inputs!$D$48,1,0)+IF(15&gt;=Inputs!$D$49,1,0)+IF(15&gt;=Inputs!$D$50,1,0)+IF(15&gt;=Inputs!$D$51,1,0)+IF(15&gt;=Inputs!$D$52,1,0)+IF(15&gt;=Inputs!$D$53,1,0)+IF(15&gt;=Inputs!$D$54,1,0)+IF(15&gt;=Inputs!$D$55,1,0))*3</f>
        <v/>
      </c>
      <c r="P50" s="24">
        <f>Inputs!$B$78*(IF(18&gt;=Inputs!$D$38,1,0)+IF(18&gt;=Inputs!$D$39,1,0)+IF(18&gt;=Inputs!$D$42,1,0)+IF(18&gt;=Inputs!$D$44,1,0)+IF(18&gt;=Inputs!$D$45,1,0)+IF(18&gt;=Inputs!$D$46,1,0)+IF(18&gt;=Inputs!$D$47,1,0)+IF(18&gt;=Inputs!$D$48,1,0)+IF(18&gt;=Inputs!$D$49,1,0)+IF(18&gt;=Inputs!$D$50,1,0)+IF(18&gt;=Inputs!$D$51,1,0)+IF(18&gt;=Inputs!$D$52,1,0)+IF(18&gt;=Inputs!$D$53,1,0)+IF(18&gt;=Inputs!$D$54,1,0)+IF(18&gt;=Inputs!$D$55,1,0))*3</f>
        <v/>
      </c>
      <c r="Q50" s="24">
        <f>Inputs!$B$78*(IF(21&gt;=Inputs!$D$38,1,0)+IF(21&gt;=Inputs!$D$39,1,0)+IF(21&gt;=Inputs!$D$42,1,0)+IF(21&gt;=Inputs!$D$44,1,0)+IF(21&gt;=Inputs!$D$45,1,0)+IF(21&gt;=Inputs!$D$46,1,0)+IF(21&gt;=Inputs!$D$47,1,0)+IF(21&gt;=Inputs!$D$48,1,0)+IF(21&gt;=Inputs!$D$49,1,0)+IF(21&gt;=Inputs!$D$50,1,0)+IF(21&gt;=Inputs!$D$51,1,0)+IF(21&gt;=Inputs!$D$52,1,0)+IF(21&gt;=Inputs!$D$53,1,0)+IF(21&gt;=Inputs!$D$54,1,0)+IF(21&gt;=Inputs!$D$55,1,0))*3</f>
        <v/>
      </c>
      <c r="R50" s="24">
        <f>Inputs!$B$78*(IF(24&gt;=Inputs!$D$38,1,0)+IF(24&gt;=Inputs!$D$39,1,0)+IF(24&gt;=Inputs!$D$42,1,0)+IF(24&gt;=Inputs!$D$44,1,0)+IF(24&gt;=Inputs!$D$45,1,0)+IF(24&gt;=Inputs!$D$46,1,0)+IF(24&gt;=Inputs!$D$47,1,0)+IF(24&gt;=Inputs!$D$48,1,0)+IF(24&gt;=Inputs!$D$49,1,0)+IF(24&gt;=Inputs!$D$50,1,0)+IF(24&gt;=Inputs!$D$51,1,0)+IF(24&gt;=Inputs!$D$52,1,0)+IF(24&gt;=Inputs!$D$53,1,0)+IF(24&gt;=Inputs!$D$54,1,0)+IF(24&gt;=Inputs!$D$55,1,0))*3</f>
        <v/>
      </c>
      <c r="S50" s="24">
        <f>Inputs!$B$78*(IF(27&gt;=Inputs!$D$38,1,0)+IF(27&gt;=Inputs!$D$39,1,0)+IF(27&gt;=Inputs!$D$42,1,0)+IF(27&gt;=Inputs!$D$44,1,0)+IF(27&gt;=Inputs!$D$45,1,0)+IF(27&gt;=Inputs!$D$46,1,0)+IF(27&gt;=Inputs!$D$47,1,0)+IF(27&gt;=Inputs!$D$48,1,0)+IF(27&gt;=Inputs!$D$49,1,0)+IF(27&gt;=Inputs!$D$50,1,0)+IF(27&gt;=Inputs!$D$51,1,0)+IF(27&gt;=Inputs!$D$52,1,0)+IF(27&gt;=Inputs!$D$53,1,0)+IF(27&gt;=Inputs!$D$54,1,0)+IF(27&gt;=Inputs!$D$55,1,0))*3</f>
        <v/>
      </c>
      <c r="T50" s="24">
        <f>Inputs!$B$78*(IF(30&gt;=Inputs!$D$38,1,0)+IF(30&gt;=Inputs!$D$39,1,0)+IF(30&gt;=Inputs!$D$42,1,0)+IF(30&gt;=Inputs!$D$44,1,0)+IF(30&gt;=Inputs!$D$45,1,0)+IF(30&gt;=Inputs!$D$46,1,0)+IF(30&gt;=Inputs!$D$47,1,0)+IF(30&gt;=Inputs!$D$48,1,0)+IF(30&gt;=Inputs!$D$49,1,0)+IF(30&gt;=Inputs!$D$50,1,0)+IF(30&gt;=Inputs!$D$51,1,0)+IF(30&gt;=Inputs!$D$52,1,0)+IF(30&gt;=Inputs!$D$53,1,0)+IF(30&gt;=Inputs!$D$54,1,0)+IF(30&gt;=Inputs!$D$55,1,0))*3</f>
        <v/>
      </c>
      <c r="U50" s="24">
        <f>Inputs!$B$78*(IF(33&gt;=Inputs!$D$38,1,0)+IF(33&gt;=Inputs!$D$39,1,0)+IF(33&gt;=Inputs!$D$42,1,0)+IF(33&gt;=Inputs!$D$44,1,0)+IF(33&gt;=Inputs!$D$45,1,0)+IF(33&gt;=Inputs!$D$46,1,0)+IF(33&gt;=Inputs!$D$47,1,0)+IF(33&gt;=Inputs!$D$48,1,0)+IF(33&gt;=Inputs!$D$49,1,0)+IF(33&gt;=Inputs!$D$50,1,0)+IF(33&gt;=Inputs!$D$51,1,0)+IF(33&gt;=Inputs!$D$52,1,0)+IF(33&gt;=Inputs!$D$53,1,0)+IF(33&gt;=Inputs!$D$54,1,0)+IF(33&gt;=Inputs!$D$55,1,0))*3</f>
        <v/>
      </c>
      <c r="V50" s="24">
        <f>Inputs!$B$78*(IF(36&gt;=Inputs!$D$38,1,0)+IF(36&gt;=Inputs!$D$39,1,0)+IF(36&gt;=Inputs!$D$42,1,0)+IF(36&gt;=Inputs!$D$44,1,0)+IF(36&gt;=Inputs!$D$45,1,0)+IF(36&gt;=Inputs!$D$46,1,0)+IF(36&gt;=Inputs!$D$47,1,0)+IF(36&gt;=Inputs!$D$48,1,0)+IF(36&gt;=Inputs!$D$49,1,0)+IF(36&gt;=Inputs!$D$50,1,0)+IF(36&gt;=Inputs!$D$51,1,0)+IF(36&gt;=Inputs!$D$52,1,0)+IF(36&gt;=Inputs!$D$53,1,0)+IF(36&gt;=Inputs!$D$54,1,0)+IF(36&gt;=Inputs!$D$55,1,0))*3</f>
        <v/>
      </c>
    </row>
    <row r="51">
      <c r="A51" s="4" t="inlineStr">
        <is>
          <t>Health insurance - indirect FT</t>
        </is>
      </c>
      <c r="C51" s="24">
        <f>Inputs!$B$78*(IF(1&gt;=Inputs!$D$37,1,0)+IF(1&gt;=Inputs!$D$40,1,0)+IF(1&gt;=Inputs!$D$41,1,0)+IF(1&gt;=Inputs!$D$43,1,0)+IF(1&gt;=Inputs!$D$56,1,0)+IF(1&gt;=Inputs!$D$57,1,0)+IF(1&gt;=Inputs!$D$58,1,0))*1</f>
        <v/>
      </c>
      <c r="D51" s="24">
        <f>Inputs!$B$78*(IF(2&gt;=Inputs!$D$37,1,0)+IF(2&gt;=Inputs!$D$40,1,0)+IF(2&gt;=Inputs!$D$41,1,0)+IF(2&gt;=Inputs!$D$43,1,0)+IF(2&gt;=Inputs!$D$56,1,0)+IF(2&gt;=Inputs!$D$57,1,0)+IF(2&gt;=Inputs!$D$58,1,0))*1</f>
        <v/>
      </c>
      <c r="E51" s="24">
        <f>Inputs!$B$78*(IF(3&gt;=Inputs!$D$37,1,0)+IF(3&gt;=Inputs!$D$40,1,0)+IF(3&gt;=Inputs!$D$41,1,0)+IF(3&gt;=Inputs!$D$43,1,0)+IF(3&gt;=Inputs!$D$56,1,0)+IF(3&gt;=Inputs!$D$57,1,0)+IF(3&gt;=Inputs!$D$58,1,0))*1</f>
        <v/>
      </c>
      <c r="F51" s="24">
        <f>Inputs!$B$78*(IF(4&gt;=Inputs!$D$37,1,0)+IF(4&gt;=Inputs!$D$40,1,0)+IF(4&gt;=Inputs!$D$41,1,0)+IF(4&gt;=Inputs!$D$43,1,0)+IF(4&gt;=Inputs!$D$56,1,0)+IF(4&gt;=Inputs!$D$57,1,0)+IF(4&gt;=Inputs!$D$58,1,0))*1</f>
        <v/>
      </c>
      <c r="G51" s="24">
        <f>Inputs!$B$78*(IF(5&gt;=Inputs!$D$37,1,0)+IF(5&gt;=Inputs!$D$40,1,0)+IF(5&gt;=Inputs!$D$41,1,0)+IF(5&gt;=Inputs!$D$43,1,0)+IF(5&gt;=Inputs!$D$56,1,0)+IF(5&gt;=Inputs!$D$57,1,0)+IF(5&gt;=Inputs!$D$58,1,0))*1</f>
        <v/>
      </c>
      <c r="H51" s="24">
        <f>Inputs!$B$78*(IF(6&gt;=Inputs!$D$37,1,0)+IF(6&gt;=Inputs!$D$40,1,0)+IF(6&gt;=Inputs!$D$41,1,0)+IF(6&gt;=Inputs!$D$43,1,0)+IF(6&gt;=Inputs!$D$56,1,0)+IF(6&gt;=Inputs!$D$57,1,0)+IF(6&gt;=Inputs!$D$58,1,0))*1</f>
        <v/>
      </c>
      <c r="I51" s="24">
        <f>Inputs!$B$78*(IF(7&gt;=Inputs!$D$37,1,0)+IF(7&gt;=Inputs!$D$40,1,0)+IF(7&gt;=Inputs!$D$41,1,0)+IF(7&gt;=Inputs!$D$43,1,0)+IF(7&gt;=Inputs!$D$56,1,0)+IF(7&gt;=Inputs!$D$57,1,0)+IF(7&gt;=Inputs!$D$58,1,0))*1</f>
        <v/>
      </c>
      <c r="J51" s="24">
        <f>Inputs!$B$78*(IF(8&gt;=Inputs!$D$37,1,0)+IF(8&gt;=Inputs!$D$40,1,0)+IF(8&gt;=Inputs!$D$41,1,0)+IF(8&gt;=Inputs!$D$43,1,0)+IF(8&gt;=Inputs!$D$56,1,0)+IF(8&gt;=Inputs!$D$57,1,0)+IF(8&gt;=Inputs!$D$58,1,0))*1</f>
        <v/>
      </c>
      <c r="K51" s="24">
        <f>Inputs!$B$78*(IF(9&gt;=Inputs!$D$37,1,0)+IF(9&gt;=Inputs!$D$40,1,0)+IF(9&gt;=Inputs!$D$41,1,0)+IF(9&gt;=Inputs!$D$43,1,0)+IF(9&gt;=Inputs!$D$56,1,0)+IF(9&gt;=Inputs!$D$57,1,0)+IF(9&gt;=Inputs!$D$58,1,0))*1</f>
        <v/>
      </c>
      <c r="L51" s="24">
        <f>Inputs!$B$78*(IF(10&gt;=Inputs!$D$37,1,0)+IF(10&gt;=Inputs!$D$40,1,0)+IF(10&gt;=Inputs!$D$41,1,0)+IF(10&gt;=Inputs!$D$43,1,0)+IF(10&gt;=Inputs!$D$56,1,0)+IF(10&gt;=Inputs!$D$57,1,0)+IF(10&gt;=Inputs!$D$58,1,0))*1</f>
        <v/>
      </c>
      <c r="M51" s="24">
        <f>Inputs!$B$78*(IF(11&gt;=Inputs!$D$37,1,0)+IF(11&gt;=Inputs!$D$40,1,0)+IF(11&gt;=Inputs!$D$41,1,0)+IF(11&gt;=Inputs!$D$43,1,0)+IF(11&gt;=Inputs!$D$56,1,0)+IF(11&gt;=Inputs!$D$57,1,0)+IF(11&gt;=Inputs!$D$58,1,0))*1</f>
        <v/>
      </c>
      <c r="N51" s="24">
        <f>Inputs!$B$78*(IF(12&gt;=Inputs!$D$37,1,0)+IF(12&gt;=Inputs!$D$40,1,0)+IF(12&gt;=Inputs!$D$41,1,0)+IF(12&gt;=Inputs!$D$43,1,0)+IF(12&gt;=Inputs!$D$56,1,0)+IF(12&gt;=Inputs!$D$57,1,0)+IF(12&gt;=Inputs!$D$58,1,0))*1</f>
        <v/>
      </c>
      <c r="O51" s="24">
        <f>Inputs!$B$78*(IF(15&gt;=Inputs!$D$37,1,0)+IF(15&gt;=Inputs!$D$40,1,0)+IF(15&gt;=Inputs!$D$41,1,0)+IF(15&gt;=Inputs!$D$43,1,0)+IF(15&gt;=Inputs!$D$56,1,0)+IF(15&gt;=Inputs!$D$57,1,0)+IF(15&gt;=Inputs!$D$58,1,0))*3</f>
        <v/>
      </c>
      <c r="P51" s="24">
        <f>Inputs!$B$78*(IF(18&gt;=Inputs!$D$37,1,0)+IF(18&gt;=Inputs!$D$40,1,0)+IF(18&gt;=Inputs!$D$41,1,0)+IF(18&gt;=Inputs!$D$43,1,0)+IF(18&gt;=Inputs!$D$56,1,0)+IF(18&gt;=Inputs!$D$57,1,0)+IF(18&gt;=Inputs!$D$58,1,0))*3</f>
        <v/>
      </c>
      <c r="Q51" s="24">
        <f>Inputs!$B$78*(IF(21&gt;=Inputs!$D$37,1,0)+IF(21&gt;=Inputs!$D$40,1,0)+IF(21&gt;=Inputs!$D$41,1,0)+IF(21&gt;=Inputs!$D$43,1,0)+IF(21&gt;=Inputs!$D$56,1,0)+IF(21&gt;=Inputs!$D$57,1,0)+IF(21&gt;=Inputs!$D$58,1,0))*3</f>
        <v/>
      </c>
      <c r="R51" s="24">
        <f>Inputs!$B$78*(IF(24&gt;=Inputs!$D$37,1,0)+IF(24&gt;=Inputs!$D$40,1,0)+IF(24&gt;=Inputs!$D$41,1,0)+IF(24&gt;=Inputs!$D$43,1,0)+IF(24&gt;=Inputs!$D$56,1,0)+IF(24&gt;=Inputs!$D$57,1,0)+IF(24&gt;=Inputs!$D$58,1,0))*3</f>
        <v/>
      </c>
      <c r="S51" s="24">
        <f>Inputs!$B$78*(IF(27&gt;=Inputs!$D$37,1,0)+IF(27&gt;=Inputs!$D$40,1,0)+IF(27&gt;=Inputs!$D$41,1,0)+IF(27&gt;=Inputs!$D$43,1,0)+IF(27&gt;=Inputs!$D$56,1,0)+IF(27&gt;=Inputs!$D$57,1,0)+IF(27&gt;=Inputs!$D$58,1,0))*3</f>
        <v/>
      </c>
      <c r="T51" s="24">
        <f>Inputs!$B$78*(IF(30&gt;=Inputs!$D$37,1,0)+IF(30&gt;=Inputs!$D$40,1,0)+IF(30&gt;=Inputs!$D$41,1,0)+IF(30&gt;=Inputs!$D$43,1,0)+IF(30&gt;=Inputs!$D$56,1,0)+IF(30&gt;=Inputs!$D$57,1,0)+IF(30&gt;=Inputs!$D$58,1,0))*3</f>
        <v/>
      </c>
      <c r="U51" s="24">
        <f>Inputs!$B$78*(IF(33&gt;=Inputs!$D$37,1,0)+IF(33&gt;=Inputs!$D$40,1,0)+IF(33&gt;=Inputs!$D$41,1,0)+IF(33&gt;=Inputs!$D$43,1,0)+IF(33&gt;=Inputs!$D$56,1,0)+IF(33&gt;=Inputs!$D$57,1,0)+IF(33&gt;=Inputs!$D$58,1,0))*3</f>
        <v/>
      </c>
      <c r="V51" s="24">
        <f>Inputs!$B$78*(IF(36&gt;=Inputs!$D$37,1,0)+IF(36&gt;=Inputs!$D$40,1,0)+IF(36&gt;=Inputs!$D$41,1,0)+IF(36&gt;=Inputs!$D$43,1,0)+IF(36&gt;=Inputs!$D$56,1,0)+IF(36&gt;=Inputs!$D$57,1,0)+IF(36&gt;=Inputs!$D$58,1,0))*3</f>
        <v/>
      </c>
    </row>
    <row r="53">
      <c r="A53" s="31" t="inlineStr">
        <is>
          <t>TOTAL DIRECT-CARE LABOR (COGS)</t>
        </is>
      </c>
      <c r="C53" s="48">
        <f>C30+C38+C39+C48+C50</f>
        <v/>
      </c>
      <c r="D53" s="48">
        <f>D30+D38+D39+D48+D50</f>
        <v/>
      </c>
      <c r="E53" s="48">
        <f>E30+E38+E39+E48+E50</f>
        <v/>
      </c>
      <c r="F53" s="48">
        <f>F30+F38+F39+F48+F50</f>
        <v/>
      </c>
      <c r="G53" s="48">
        <f>G30+G38+G39+G48+G50</f>
        <v/>
      </c>
      <c r="H53" s="48">
        <f>H30+H38+H39+H48+H50</f>
        <v/>
      </c>
      <c r="I53" s="48">
        <f>I30+I38+I39+I48+I50</f>
        <v/>
      </c>
      <c r="J53" s="48">
        <f>J30+J38+J39+J48+J50</f>
        <v/>
      </c>
      <c r="K53" s="48">
        <f>K30+K38+K39+K48+K50</f>
        <v/>
      </c>
      <c r="L53" s="48">
        <f>L30+L38+L39+L48+L50</f>
        <v/>
      </c>
      <c r="M53" s="48">
        <f>M30+M38+M39+M48+M50</f>
        <v/>
      </c>
      <c r="N53" s="48">
        <f>N30+N38+N39+N48+N50</f>
        <v/>
      </c>
      <c r="O53" s="48">
        <f>O30+O38+O39+O48+O50</f>
        <v/>
      </c>
      <c r="P53" s="48">
        <f>P30+P38+P39+P48+P50</f>
        <v/>
      </c>
      <c r="Q53" s="48">
        <f>Q30+Q38+Q39+Q48+Q50</f>
        <v/>
      </c>
      <c r="R53" s="48">
        <f>R30+R38+R39+R48+R50</f>
        <v/>
      </c>
      <c r="S53" s="48">
        <f>S30+S38+S39+S48+S50</f>
        <v/>
      </c>
      <c r="T53" s="48">
        <f>T30+T38+T39+T48+T50</f>
        <v/>
      </c>
      <c r="U53" s="48">
        <f>U30+U38+U39+U48+U50</f>
        <v/>
      </c>
      <c r="V53" s="48">
        <f>V30+V38+V39+V48+V50</f>
        <v/>
      </c>
    </row>
    <row r="54">
      <c r="A54" s="31" t="inlineStr">
        <is>
          <t>TOTAL INDIRECT LABOR (SG&amp;A)</t>
        </is>
      </c>
      <c r="C54" s="48">
        <f>C42+C43+C49+C51</f>
        <v/>
      </c>
      <c r="D54" s="48">
        <f>D42+D43+D49+D51</f>
        <v/>
      </c>
      <c r="E54" s="48">
        <f>E42+E43+E49+E51</f>
        <v/>
      </c>
      <c r="F54" s="48">
        <f>F42+F43+F49+F51</f>
        <v/>
      </c>
      <c r="G54" s="48">
        <f>G42+G43+G49+G51</f>
        <v/>
      </c>
      <c r="H54" s="48">
        <f>H42+H43+H49+H51</f>
        <v/>
      </c>
      <c r="I54" s="48">
        <f>I42+I43+I49+I51</f>
        <v/>
      </c>
      <c r="J54" s="48">
        <f>J42+J43+J49+J51</f>
        <v/>
      </c>
      <c r="K54" s="48">
        <f>K42+K43+K49+K51</f>
        <v/>
      </c>
      <c r="L54" s="48">
        <f>L42+L43+L49+L51</f>
        <v/>
      </c>
      <c r="M54" s="48">
        <f>M42+M43+M49+M51</f>
        <v/>
      </c>
      <c r="N54" s="48">
        <f>N42+N43+N49+N51</f>
        <v/>
      </c>
      <c r="O54" s="48">
        <f>O42+O43+O49+O51</f>
        <v/>
      </c>
      <c r="P54" s="48">
        <f>P42+P43+P49+P51</f>
        <v/>
      </c>
      <c r="Q54" s="48">
        <f>Q42+Q43+Q49+Q51</f>
        <v/>
      </c>
      <c r="R54" s="48">
        <f>R42+R43+R49+R51</f>
        <v/>
      </c>
      <c r="S54" s="48">
        <f>S42+S43+S49+S51</f>
        <v/>
      </c>
      <c r="T54" s="48">
        <f>T42+T43+T49+T51</f>
        <v/>
      </c>
      <c r="U54" s="48">
        <f>U42+U43+U49+U51</f>
        <v/>
      </c>
      <c r="V54" s="48">
        <f>V42+V43+V49+V51</f>
        <v/>
      </c>
    </row>
  </sheetData>
  <mergeCells count="9">
    <mergeCell ref="A2:V2"/>
    <mergeCell ref="O4:R4"/>
    <mergeCell ref="A41:V41"/>
    <mergeCell ref="S4:V4"/>
    <mergeCell ref="A1:V1"/>
    <mergeCell ref="A45:V45"/>
    <mergeCell ref="A32:V32"/>
    <mergeCell ref="A7:V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V3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Operating Budget - P&amp;L | Net Rev - COGS = Gross Profit - SG&amp;A = EBITDA - D&amp;A - Interest = Net Income</t>
        </is>
      </c>
    </row>
    <row r="4">
      <c r="A4" s="44" t="inlineStr">
        <is>
          <t>($ per period)</t>
        </is>
      </c>
      <c r="C4" s="45" t="inlineStr">
        <is>
          <t>YEAR 1 - monthly</t>
        </is>
      </c>
      <c r="O4" s="45" t="inlineStr">
        <is>
          <t>YEAR 2 - quarterly</t>
        </is>
      </c>
      <c r="S4" s="45" t="inlineStr">
        <is>
          <t>YEAR 3 -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31" t="inlineStr">
        <is>
          <t>NET REVENUE</t>
        </is>
      </c>
      <c r="C6" s="42">
        <f>'Revenue Model'!C17</f>
        <v/>
      </c>
      <c r="D6" s="42">
        <f>'Revenue Model'!D17</f>
        <v/>
      </c>
      <c r="E6" s="42">
        <f>'Revenue Model'!E17</f>
        <v/>
      </c>
      <c r="F6" s="42">
        <f>'Revenue Model'!F17</f>
        <v/>
      </c>
      <c r="G6" s="42">
        <f>'Revenue Model'!G17</f>
        <v/>
      </c>
      <c r="H6" s="42">
        <f>'Revenue Model'!H17</f>
        <v/>
      </c>
      <c r="I6" s="42">
        <f>'Revenue Model'!I17</f>
        <v/>
      </c>
      <c r="J6" s="42">
        <f>'Revenue Model'!J17</f>
        <v/>
      </c>
      <c r="K6" s="42">
        <f>'Revenue Model'!K17</f>
        <v/>
      </c>
      <c r="L6" s="42">
        <f>'Revenue Model'!L17</f>
        <v/>
      </c>
      <c r="M6" s="42">
        <f>'Revenue Model'!M17</f>
        <v/>
      </c>
      <c r="N6" s="42">
        <f>'Revenue Model'!N17</f>
        <v/>
      </c>
      <c r="O6" s="42">
        <f>'Revenue Model'!O17</f>
        <v/>
      </c>
      <c r="P6" s="42">
        <f>'Revenue Model'!P17</f>
        <v/>
      </c>
      <c r="Q6" s="42">
        <f>'Revenue Model'!Q17</f>
        <v/>
      </c>
      <c r="R6" s="42">
        <f>'Revenue Model'!R17</f>
        <v/>
      </c>
      <c r="S6" s="42">
        <f>'Revenue Model'!S17</f>
        <v/>
      </c>
      <c r="T6" s="42">
        <f>'Revenue Model'!T17</f>
        <v/>
      </c>
      <c r="U6" s="42">
        <f>'Revenue Model'!U17</f>
        <v/>
      </c>
      <c r="V6" s="42">
        <f>'Revenue Model'!V17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33">
        <f>'Staffing &amp; Payroll'!C53</f>
        <v/>
      </c>
      <c r="D9" s="33">
        <f>'Staffing &amp; Payroll'!D53</f>
        <v/>
      </c>
      <c r="E9" s="33">
        <f>'Staffing &amp; Payroll'!E53</f>
        <v/>
      </c>
      <c r="F9" s="33">
        <f>'Staffing &amp; Payroll'!F53</f>
        <v/>
      </c>
      <c r="G9" s="33">
        <f>'Staffing &amp; Payroll'!G53</f>
        <v/>
      </c>
      <c r="H9" s="33">
        <f>'Staffing &amp; Payroll'!H53</f>
        <v/>
      </c>
      <c r="I9" s="33">
        <f>'Staffing &amp; Payroll'!I53</f>
        <v/>
      </c>
      <c r="J9" s="33">
        <f>'Staffing &amp; Payroll'!J53</f>
        <v/>
      </c>
      <c r="K9" s="33">
        <f>'Staffing &amp; Payroll'!K53</f>
        <v/>
      </c>
      <c r="L9" s="33">
        <f>'Staffing &amp; Payroll'!L53</f>
        <v/>
      </c>
      <c r="M9" s="33">
        <f>'Staffing &amp; Payroll'!M53</f>
        <v/>
      </c>
      <c r="N9" s="33">
        <f>'Staffing &amp; Payroll'!N53</f>
        <v/>
      </c>
      <c r="O9" s="33">
        <f>'Staffing &amp; Payroll'!O53</f>
        <v/>
      </c>
      <c r="P9" s="33">
        <f>'Staffing &amp; Payroll'!P53</f>
        <v/>
      </c>
      <c r="Q9" s="33">
        <f>'Staffing &amp; Payroll'!Q53</f>
        <v/>
      </c>
      <c r="R9" s="33">
        <f>'Staffing &amp; Payroll'!R53</f>
        <v/>
      </c>
      <c r="S9" s="33">
        <f>'Staffing &amp; Payroll'!S53</f>
        <v/>
      </c>
      <c r="T9" s="33">
        <f>'Staffing &amp; Payroll'!T53</f>
        <v/>
      </c>
      <c r="U9" s="33">
        <f>'Staffing &amp; Payroll'!U53</f>
        <v/>
      </c>
      <c r="V9" s="33">
        <f>'Staffing &amp; Payroll'!V53</f>
        <v/>
      </c>
    </row>
    <row r="10">
      <c r="A10" s="4" t="inlineStr">
        <is>
          <t>Medical supplies</t>
        </is>
      </c>
      <c r="C10" s="33">
        <f>'Revenue Model'!C12*Inputs!$B$86</f>
        <v/>
      </c>
      <c r="D10" s="33">
        <f>'Revenue Model'!D12*Inputs!$B$86</f>
        <v/>
      </c>
      <c r="E10" s="33">
        <f>'Revenue Model'!E12*Inputs!$B$86</f>
        <v/>
      </c>
      <c r="F10" s="33">
        <f>'Revenue Model'!F12*Inputs!$B$86</f>
        <v/>
      </c>
      <c r="G10" s="33">
        <f>'Revenue Model'!G12*Inputs!$B$86</f>
        <v/>
      </c>
      <c r="H10" s="33">
        <f>'Revenue Model'!H12*Inputs!$B$86</f>
        <v/>
      </c>
      <c r="I10" s="33">
        <f>'Revenue Model'!I12*Inputs!$B$86</f>
        <v/>
      </c>
      <c r="J10" s="33">
        <f>'Revenue Model'!J12*Inputs!$B$86</f>
        <v/>
      </c>
      <c r="K10" s="33">
        <f>'Revenue Model'!K12*Inputs!$B$86</f>
        <v/>
      </c>
      <c r="L10" s="33">
        <f>'Revenue Model'!L12*Inputs!$B$86</f>
        <v/>
      </c>
      <c r="M10" s="33">
        <f>'Revenue Model'!M12*Inputs!$B$86</f>
        <v/>
      </c>
      <c r="N10" s="33">
        <f>'Revenue Model'!N12*Inputs!$B$86</f>
        <v/>
      </c>
      <c r="O10" s="33">
        <f>'Revenue Model'!O12*Inputs!$B$86</f>
        <v/>
      </c>
      <c r="P10" s="33">
        <f>'Revenue Model'!P12*Inputs!$B$86</f>
        <v/>
      </c>
      <c r="Q10" s="33">
        <f>'Revenue Model'!Q12*Inputs!$B$86</f>
        <v/>
      </c>
      <c r="R10" s="33">
        <f>'Revenue Model'!R12*Inputs!$B$86</f>
        <v/>
      </c>
      <c r="S10" s="33">
        <f>'Revenue Model'!S12*Inputs!$B$86</f>
        <v/>
      </c>
      <c r="T10" s="33">
        <f>'Revenue Model'!T12*Inputs!$B$86</f>
        <v/>
      </c>
      <c r="U10" s="33">
        <f>'Revenue Model'!U12*Inputs!$B$86</f>
        <v/>
      </c>
      <c r="V10" s="33">
        <f>'Revenue Model'!V12*Inputs!$B$86</f>
        <v/>
      </c>
    </row>
    <row r="11">
      <c r="A11" s="4" t="inlineStr">
        <is>
          <t>DME</t>
        </is>
      </c>
      <c r="C11" s="33">
        <f>'Revenue Model'!C12*Inputs!$B$87</f>
        <v/>
      </c>
      <c r="D11" s="33">
        <f>'Revenue Model'!D12*Inputs!$B$87</f>
        <v/>
      </c>
      <c r="E11" s="33">
        <f>'Revenue Model'!E12*Inputs!$B$87</f>
        <v/>
      </c>
      <c r="F11" s="33">
        <f>'Revenue Model'!F12*Inputs!$B$87</f>
        <v/>
      </c>
      <c r="G11" s="33">
        <f>'Revenue Model'!G12*Inputs!$B$87</f>
        <v/>
      </c>
      <c r="H11" s="33">
        <f>'Revenue Model'!H12*Inputs!$B$87</f>
        <v/>
      </c>
      <c r="I11" s="33">
        <f>'Revenue Model'!I12*Inputs!$B$87</f>
        <v/>
      </c>
      <c r="J11" s="33">
        <f>'Revenue Model'!J12*Inputs!$B$87</f>
        <v/>
      </c>
      <c r="K11" s="33">
        <f>'Revenue Model'!K12*Inputs!$B$87</f>
        <v/>
      </c>
      <c r="L11" s="33">
        <f>'Revenue Model'!L12*Inputs!$B$87</f>
        <v/>
      </c>
      <c r="M11" s="33">
        <f>'Revenue Model'!M12*Inputs!$B$87</f>
        <v/>
      </c>
      <c r="N11" s="33">
        <f>'Revenue Model'!N12*Inputs!$B$87</f>
        <v/>
      </c>
      <c r="O11" s="33">
        <f>'Revenue Model'!O12*Inputs!$B$87</f>
        <v/>
      </c>
      <c r="P11" s="33">
        <f>'Revenue Model'!P12*Inputs!$B$87</f>
        <v/>
      </c>
      <c r="Q11" s="33">
        <f>'Revenue Model'!Q12*Inputs!$B$87</f>
        <v/>
      </c>
      <c r="R11" s="33">
        <f>'Revenue Model'!R12*Inputs!$B$87</f>
        <v/>
      </c>
      <c r="S11" s="33">
        <f>'Revenue Model'!S12*Inputs!$B$87</f>
        <v/>
      </c>
      <c r="T11" s="33">
        <f>'Revenue Model'!T12*Inputs!$B$87</f>
        <v/>
      </c>
      <c r="U11" s="33">
        <f>'Revenue Model'!U12*Inputs!$B$87</f>
        <v/>
      </c>
      <c r="V11" s="33">
        <f>'Revenue Model'!V12*Inputs!$B$87</f>
        <v/>
      </c>
    </row>
    <row r="12">
      <c r="A12" s="4" t="inlineStr">
        <is>
          <t>Pharmacy</t>
        </is>
      </c>
      <c r="C12" s="33">
        <f>'Revenue Model'!C12*Inputs!$B$88</f>
        <v/>
      </c>
      <c r="D12" s="33">
        <f>'Revenue Model'!D12*Inputs!$B$88</f>
        <v/>
      </c>
      <c r="E12" s="33">
        <f>'Revenue Model'!E12*Inputs!$B$88</f>
        <v/>
      </c>
      <c r="F12" s="33">
        <f>'Revenue Model'!F12*Inputs!$B$88</f>
        <v/>
      </c>
      <c r="G12" s="33">
        <f>'Revenue Model'!G12*Inputs!$B$88</f>
        <v/>
      </c>
      <c r="H12" s="33">
        <f>'Revenue Model'!H12*Inputs!$B$88</f>
        <v/>
      </c>
      <c r="I12" s="33">
        <f>'Revenue Model'!I12*Inputs!$B$88</f>
        <v/>
      </c>
      <c r="J12" s="33">
        <f>'Revenue Model'!J12*Inputs!$B$88</f>
        <v/>
      </c>
      <c r="K12" s="33">
        <f>'Revenue Model'!K12*Inputs!$B$88</f>
        <v/>
      </c>
      <c r="L12" s="33">
        <f>'Revenue Model'!L12*Inputs!$B$88</f>
        <v/>
      </c>
      <c r="M12" s="33">
        <f>'Revenue Model'!M12*Inputs!$B$88</f>
        <v/>
      </c>
      <c r="N12" s="33">
        <f>'Revenue Model'!N12*Inputs!$B$88</f>
        <v/>
      </c>
      <c r="O12" s="33">
        <f>'Revenue Model'!O12*Inputs!$B$88</f>
        <v/>
      </c>
      <c r="P12" s="33">
        <f>'Revenue Model'!P12*Inputs!$B$88</f>
        <v/>
      </c>
      <c r="Q12" s="33">
        <f>'Revenue Model'!Q12*Inputs!$B$88</f>
        <v/>
      </c>
      <c r="R12" s="33">
        <f>'Revenue Model'!R12*Inputs!$B$88</f>
        <v/>
      </c>
      <c r="S12" s="33">
        <f>'Revenue Model'!S12*Inputs!$B$88</f>
        <v/>
      </c>
      <c r="T12" s="33">
        <f>'Revenue Model'!T12*Inputs!$B$88</f>
        <v/>
      </c>
      <c r="U12" s="33">
        <f>'Revenue Model'!U12*Inputs!$B$88</f>
        <v/>
      </c>
      <c r="V12" s="33">
        <f>'Revenue Model'!V12*Inputs!$B$88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31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31" t="inlineStr">
        <is>
          <t>GROSS PROFIT</t>
        </is>
      </c>
      <c r="C15" s="48">
        <f>C6-C14</f>
        <v/>
      </c>
      <c r="D15" s="48">
        <f>D6-D14</f>
        <v/>
      </c>
      <c r="E15" s="48">
        <f>E6-E14</f>
        <v/>
      </c>
      <c r="F15" s="48">
        <f>F6-F14</f>
        <v/>
      </c>
      <c r="G15" s="48">
        <f>G6-G14</f>
        <v/>
      </c>
      <c r="H15" s="48">
        <f>H6-H14</f>
        <v/>
      </c>
      <c r="I15" s="48">
        <f>I6-I14</f>
        <v/>
      </c>
      <c r="J15" s="48">
        <f>J6-J14</f>
        <v/>
      </c>
      <c r="K15" s="48">
        <f>K6-K14</f>
        <v/>
      </c>
      <c r="L15" s="48">
        <f>L6-L14</f>
        <v/>
      </c>
      <c r="M15" s="48">
        <f>M6-M14</f>
        <v/>
      </c>
      <c r="N15" s="48">
        <f>N6-N14</f>
        <v/>
      </c>
      <c r="O15" s="48">
        <f>O6-O14</f>
        <v/>
      </c>
      <c r="P15" s="48">
        <f>P6-P14</f>
        <v/>
      </c>
      <c r="Q15" s="48">
        <f>Q6-Q14</f>
        <v/>
      </c>
      <c r="R15" s="48">
        <f>R6-R14</f>
        <v/>
      </c>
      <c r="S15" s="48">
        <f>S6-S14</f>
        <v/>
      </c>
      <c r="T15" s="48">
        <f>T6-T14</f>
        <v/>
      </c>
      <c r="U15" s="48">
        <f>U6-U14</f>
        <v/>
      </c>
      <c r="V15" s="48">
        <f>V6-V14</f>
        <v/>
      </c>
    </row>
    <row r="16">
      <c r="A16" s="21" t="inlineStr">
        <is>
          <t>Gross margin %</t>
        </is>
      </c>
      <c r="C16" s="34">
        <f>IF(C6=0,0,C15/C6)</f>
        <v/>
      </c>
      <c r="D16" s="34">
        <f>IF(D6=0,0,D15/D6)</f>
        <v/>
      </c>
      <c r="E16" s="34">
        <f>IF(E6=0,0,E15/E6)</f>
        <v/>
      </c>
      <c r="F16" s="34">
        <f>IF(F6=0,0,F15/F6)</f>
        <v/>
      </c>
      <c r="G16" s="34">
        <f>IF(G6=0,0,G15/G6)</f>
        <v/>
      </c>
      <c r="H16" s="34">
        <f>IF(H6=0,0,H15/H6)</f>
        <v/>
      </c>
      <c r="I16" s="34">
        <f>IF(I6=0,0,I15/I6)</f>
        <v/>
      </c>
      <c r="J16" s="34">
        <f>IF(J6=0,0,J15/J6)</f>
        <v/>
      </c>
      <c r="K16" s="34">
        <f>IF(K6=0,0,K15/K6)</f>
        <v/>
      </c>
      <c r="L16" s="34">
        <f>IF(L6=0,0,L15/L6)</f>
        <v/>
      </c>
      <c r="M16" s="34">
        <f>IF(M6=0,0,M15/M6)</f>
        <v/>
      </c>
      <c r="N16" s="34">
        <f>IF(N6=0,0,N15/N6)</f>
        <v/>
      </c>
      <c r="O16" s="34">
        <f>IF(O6=0,0,O15/O6)</f>
        <v/>
      </c>
      <c r="P16" s="34">
        <f>IF(P6=0,0,P15/P6)</f>
        <v/>
      </c>
      <c r="Q16" s="34">
        <f>IF(Q6=0,0,Q15/Q6)</f>
        <v/>
      </c>
      <c r="R16" s="34">
        <f>IF(R6=0,0,R15/R6)</f>
        <v/>
      </c>
      <c r="S16" s="34">
        <f>IF(S6=0,0,S15/S6)</f>
        <v/>
      </c>
      <c r="T16" s="34">
        <f>IF(T6=0,0,T15/T6)</f>
        <v/>
      </c>
      <c r="U16" s="34">
        <f>IF(U6=0,0,U15/U6)</f>
        <v/>
      </c>
      <c r="V16" s="34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33">
        <f>'Staffing &amp; Payroll'!C54</f>
        <v/>
      </c>
      <c r="D19" s="33">
        <f>'Staffing &amp; Payroll'!D54</f>
        <v/>
      </c>
      <c r="E19" s="33">
        <f>'Staffing &amp; Payroll'!E54</f>
        <v/>
      </c>
      <c r="F19" s="33">
        <f>'Staffing &amp; Payroll'!F54</f>
        <v/>
      </c>
      <c r="G19" s="33">
        <f>'Staffing &amp; Payroll'!G54</f>
        <v/>
      </c>
      <c r="H19" s="33">
        <f>'Staffing &amp; Payroll'!H54</f>
        <v/>
      </c>
      <c r="I19" s="33">
        <f>'Staffing &amp; Payroll'!I54</f>
        <v/>
      </c>
      <c r="J19" s="33">
        <f>'Staffing &amp; Payroll'!J54</f>
        <v/>
      </c>
      <c r="K19" s="33">
        <f>'Staffing &amp; Payroll'!K54</f>
        <v/>
      </c>
      <c r="L19" s="33">
        <f>'Staffing &amp; Payroll'!L54</f>
        <v/>
      </c>
      <c r="M19" s="33">
        <f>'Staffing &amp; Payroll'!M54</f>
        <v/>
      </c>
      <c r="N19" s="33">
        <f>'Staffing &amp; Payroll'!N54</f>
        <v/>
      </c>
      <c r="O19" s="33">
        <f>'Staffing &amp; Payroll'!O54</f>
        <v/>
      </c>
      <c r="P19" s="33">
        <f>'Staffing &amp; Payroll'!P54</f>
        <v/>
      </c>
      <c r="Q19" s="33">
        <f>'Staffing &amp; Payroll'!Q54</f>
        <v/>
      </c>
      <c r="R19" s="33">
        <f>'Staffing &amp; Payroll'!R54</f>
        <v/>
      </c>
      <c r="S19" s="33">
        <f>'Staffing &amp; Payroll'!S54</f>
        <v/>
      </c>
      <c r="T19" s="33">
        <f>'Staffing &amp; Payroll'!T54</f>
        <v/>
      </c>
      <c r="U19" s="33">
        <f>'Staffing &amp; Payroll'!U54</f>
        <v/>
      </c>
      <c r="V19" s="33">
        <f>'Staffing &amp; Payroll'!V54</f>
        <v/>
      </c>
    </row>
    <row r="20">
      <c r="A20" s="4" t="inlineStr">
        <is>
          <t>Fixed G&amp;A (utilities, EMR, billing, rent, mktg...)</t>
        </is>
      </c>
      <c r="C20" s="33">
        <f>SUM(Inputs!$B$91:$B$103)*1</f>
        <v/>
      </c>
      <c r="D20" s="33">
        <f>SUM(Inputs!$B$91:$B$103)*1</f>
        <v/>
      </c>
      <c r="E20" s="33">
        <f>SUM(Inputs!$B$91:$B$103)*1</f>
        <v/>
      </c>
      <c r="F20" s="33">
        <f>SUM(Inputs!$B$91:$B$103)*1</f>
        <v/>
      </c>
      <c r="G20" s="33">
        <f>SUM(Inputs!$B$91:$B$103)*1</f>
        <v/>
      </c>
      <c r="H20" s="33">
        <f>SUM(Inputs!$B$91:$B$103)*1</f>
        <v/>
      </c>
      <c r="I20" s="33">
        <f>SUM(Inputs!$B$91:$B$103)*1</f>
        <v/>
      </c>
      <c r="J20" s="33">
        <f>SUM(Inputs!$B$91:$B$103)*1</f>
        <v/>
      </c>
      <c r="K20" s="33">
        <f>SUM(Inputs!$B$91:$B$103)*1</f>
        <v/>
      </c>
      <c r="L20" s="33">
        <f>SUM(Inputs!$B$91:$B$103)*1</f>
        <v/>
      </c>
      <c r="M20" s="33">
        <f>SUM(Inputs!$B$91:$B$103)*1</f>
        <v/>
      </c>
      <c r="N20" s="33">
        <f>SUM(Inputs!$B$91:$B$103)*1</f>
        <v/>
      </c>
      <c r="O20" s="33">
        <f>SUM(Inputs!$B$91:$B$103)*3</f>
        <v/>
      </c>
      <c r="P20" s="33">
        <f>SUM(Inputs!$B$91:$B$103)*3</f>
        <v/>
      </c>
      <c r="Q20" s="33">
        <f>SUM(Inputs!$B$91:$B$103)*3</f>
        <v/>
      </c>
      <c r="R20" s="33">
        <f>SUM(Inputs!$B$91:$B$103)*3</f>
        <v/>
      </c>
      <c r="S20" s="33">
        <f>SUM(Inputs!$B$91:$B$103)*3</f>
        <v/>
      </c>
      <c r="T20" s="33">
        <f>SUM(Inputs!$B$91:$B$103)*3</f>
        <v/>
      </c>
      <c r="U20" s="33">
        <f>SUM(Inputs!$B$91:$B$103)*3</f>
        <v/>
      </c>
      <c r="V20" s="33">
        <f>SUM(Inputs!$B$91:$B$103)*3</f>
        <v/>
      </c>
    </row>
    <row r="21">
      <c r="A21" s="4" t="inlineStr">
        <is>
          <t>Outsourced billing fee (1.5% of gross)</t>
        </is>
      </c>
      <c r="C21" s="33">
        <f>'Revenue Model'!C14*Inputs!$B$106</f>
        <v/>
      </c>
      <c r="D21" s="33">
        <f>'Revenue Model'!D14*Inputs!$B$106</f>
        <v/>
      </c>
      <c r="E21" s="33">
        <f>'Revenue Model'!E14*Inputs!$B$106</f>
        <v/>
      </c>
      <c r="F21" s="33">
        <f>'Revenue Model'!F14*Inputs!$B$106</f>
        <v/>
      </c>
      <c r="G21" s="33">
        <f>'Revenue Model'!G14*Inputs!$B$106</f>
        <v/>
      </c>
      <c r="H21" s="33">
        <f>'Revenue Model'!H14*Inputs!$B$106</f>
        <v/>
      </c>
      <c r="I21" s="33">
        <f>'Revenue Model'!I14*Inputs!$B$106</f>
        <v/>
      </c>
      <c r="J21" s="33">
        <f>'Revenue Model'!J14*Inputs!$B$106</f>
        <v/>
      </c>
      <c r="K21" s="33">
        <f>'Revenue Model'!K14*Inputs!$B$106</f>
        <v/>
      </c>
      <c r="L21" s="33">
        <f>'Revenue Model'!L14*Inputs!$B$106</f>
        <v/>
      </c>
      <c r="M21" s="33">
        <f>'Revenue Model'!M14*Inputs!$B$106</f>
        <v/>
      </c>
      <c r="N21" s="33">
        <f>'Revenue Model'!N14*Inputs!$B$106</f>
        <v/>
      </c>
      <c r="O21" s="33">
        <f>'Revenue Model'!O14*Inputs!$B$106</f>
        <v/>
      </c>
      <c r="P21" s="33">
        <f>'Revenue Model'!P14*Inputs!$B$106</f>
        <v/>
      </c>
      <c r="Q21" s="33">
        <f>'Revenue Model'!Q14*Inputs!$B$106</f>
        <v/>
      </c>
      <c r="R21" s="33">
        <f>'Revenue Model'!R14*Inputs!$B$106</f>
        <v/>
      </c>
      <c r="S21" s="33">
        <f>'Revenue Model'!S14*Inputs!$B$106</f>
        <v/>
      </c>
      <c r="T21" s="33">
        <f>'Revenue Model'!T14*Inputs!$B$106</f>
        <v/>
      </c>
      <c r="U21" s="33">
        <f>'Revenue Model'!U14*Inputs!$B$106</f>
        <v/>
      </c>
      <c r="V21" s="33">
        <f>'Revenue Model'!V14*Inputs!$B$106</f>
        <v/>
      </c>
    </row>
    <row r="22">
      <c r="A22" s="4" t="inlineStr">
        <is>
          <t>QR payment fee (% of gross)</t>
        </is>
      </c>
      <c r="C22" s="33">
        <f>'Revenue Model'!C14*Inputs!$B$107</f>
        <v/>
      </c>
      <c r="D22" s="33">
        <f>'Revenue Model'!D14*Inputs!$B$107</f>
        <v/>
      </c>
      <c r="E22" s="33">
        <f>'Revenue Model'!E14*Inputs!$B$107</f>
        <v/>
      </c>
      <c r="F22" s="33">
        <f>'Revenue Model'!F14*Inputs!$B$107</f>
        <v/>
      </c>
      <c r="G22" s="33">
        <f>'Revenue Model'!G14*Inputs!$B$107</f>
        <v/>
      </c>
      <c r="H22" s="33">
        <f>'Revenue Model'!H14*Inputs!$B$107</f>
        <v/>
      </c>
      <c r="I22" s="33">
        <f>'Revenue Model'!I14*Inputs!$B$107</f>
        <v/>
      </c>
      <c r="J22" s="33">
        <f>'Revenue Model'!J14*Inputs!$B$107</f>
        <v/>
      </c>
      <c r="K22" s="33">
        <f>'Revenue Model'!K14*Inputs!$B$107</f>
        <v/>
      </c>
      <c r="L22" s="33">
        <f>'Revenue Model'!L14*Inputs!$B$107</f>
        <v/>
      </c>
      <c r="M22" s="33">
        <f>'Revenue Model'!M14*Inputs!$B$107</f>
        <v/>
      </c>
      <c r="N22" s="33">
        <f>'Revenue Model'!N14*Inputs!$B$107</f>
        <v/>
      </c>
      <c r="O22" s="33">
        <f>'Revenue Model'!O14*Inputs!$B$107</f>
        <v/>
      </c>
      <c r="P22" s="33">
        <f>'Revenue Model'!P14*Inputs!$B$107</f>
        <v/>
      </c>
      <c r="Q22" s="33">
        <f>'Revenue Model'!Q14*Inputs!$B$107</f>
        <v/>
      </c>
      <c r="R22" s="33">
        <f>'Revenue Model'!R14*Inputs!$B$107</f>
        <v/>
      </c>
      <c r="S22" s="33">
        <f>'Revenue Model'!S14*Inputs!$B$107</f>
        <v/>
      </c>
      <c r="T22" s="33">
        <f>'Revenue Model'!T14*Inputs!$B$107</f>
        <v/>
      </c>
      <c r="U22" s="33">
        <f>'Revenue Model'!U14*Inputs!$B$107</f>
        <v/>
      </c>
      <c r="V22" s="33">
        <f>'Revenue Model'!V14*Inputs!$B$107</f>
        <v/>
      </c>
    </row>
    <row r="23">
      <c r="A23" s="31" t="inlineStr">
        <is>
          <t>TOTAL SG&amp;A</t>
        </is>
      </c>
      <c r="C23" s="23">
        <f>C19+C20+C21+C22</f>
        <v/>
      </c>
      <c r="D23" s="23">
        <f>D19+D20+D21+D22</f>
        <v/>
      </c>
      <c r="E23" s="23">
        <f>E19+E20+E21+E22</f>
        <v/>
      </c>
      <c r="F23" s="23">
        <f>F19+F20+F21+F22</f>
        <v/>
      </c>
      <c r="G23" s="23">
        <f>G19+G20+G21+G22</f>
        <v/>
      </c>
      <c r="H23" s="23">
        <f>H19+H20+H21+H22</f>
        <v/>
      </c>
      <c r="I23" s="23">
        <f>I19+I20+I21+I22</f>
        <v/>
      </c>
      <c r="J23" s="23">
        <f>J19+J20+J21+J22</f>
        <v/>
      </c>
      <c r="K23" s="23">
        <f>K19+K20+K21+K22</f>
        <v/>
      </c>
      <c r="L23" s="23">
        <f>L19+L20+L21+L22</f>
        <v/>
      </c>
      <c r="M23" s="23">
        <f>M19+M20+M21+M22</f>
        <v/>
      </c>
      <c r="N23" s="23">
        <f>N19+N20+N21+N22</f>
        <v/>
      </c>
      <c r="O23" s="23">
        <f>O19+O20+O21+O22</f>
        <v/>
      </c>
      <c r="P23" s="23">
        <f>P19+P20+P21+P22</f>
        <v/>
      </c>
      <c r="Q23" s="23">
        <f>Q19+Q20+Q21+Q22</f>
        <v/>
      </c>
      <c r="R23" s="23">
        <f>R19+R20+R21+R22</f>
        <v/>
      </c>
      <c r="S23" s="23">
        <f>S19+S20+S21+S22</f>
        <v/>
      </c>
      <c r="T23" s="23">
        <f>T19+T20+T21+T22</f>
        <v/>
      </c>
      <c r="U23" s="23">
        <f>U19+U20+U21+U22</f>
        <v/>
      </c>
      <c r="V23" s="23">
        <f>V19+V20+V21+V22</f>
        <v/>
      </c>
    </row>
    <row r="24">
      <c r="A24" s="31" t="inlineStr">
        <is>
          <t>EBITDA</t>
        </is>
      </c>
      <c r="C24" s="49">
        <f>C15-C23</f>
        <v/>
      </c>
      <c r="D24" s="49">
        <f>D15-D23</f>
        <v/>
      </c>
      <c r="E24" s="49">
        <f>E15-E23</f>
        <v/>
      </c>
      <c r="F24" s="49">
        <f>F15-F23</f>
        <v/>
      </c>
      <c r="G24" s="49">
        <f>G15-G23</f>
        <v/>
      </c>
      <c r="H24" s="49">
        <f>H15-H23</f>
        <v/>
      </c>
      <c r="I24" s="49">
        <f>I15-I23</f>
        <v/>
      </c>
      <c r="J24" s="49">
        <f>J15-J23</f>
        <v/>
      </c>
      <c r="K24" s="49">
        <f>K15-K23</f>
        <v/>
      </c>
      <c r="L24" s="49">
        <f>L15-L23</f>
        <v/>
      </c>
      <c r="M24" s="49">
        <f>M15-M23</f>
        <v/>
      </c>
      <c r="N24" s="49">
        <f>N15-N23</f>
        <v/>
      </c>
      <c r="O24" s="49">
        <f>O15-O23</f>
        <v/>
      </c>
      <c r="P24" s="49">
        <f>P15-P23</f>
        <v/>
      </c>
      <c r="Q24" s="49">
        <f>Q15-Q23</f>
        <v/>
      </c>
      <c r="R24" s="49">
        <f>R15-R23</f>
        <v/>
      </c>
      <c r="S24" s="49">
        <f>S15-S23</f>
        <v/>
      </c>
      <c r="T24" s="49">
        <f>T15-T23</f>
        <v/>
      </c>
      <c r="U24" s="49">
        <f>U15-U23</f>
        <v/>
      </c>
      <c r="V24" s="49">
        <f>V15-V23</f>
        <v/>
      </c>
    </row>
    <row r="25">
      <c r="A25" s="21" t="inlineStr">
        <is>
          <t>EBITDA margin %</t>
        </is>
      </c>
      <c r="C25" s="34">
        <f>IF(C6=0,0,C24/C6)</f>
        <v/>
      </c>
      <c r="D25" s="34">
        <f>IF(D6=0,0,D24/D6)</f>
        <v/>
      </c>
      <c r="E25" s="34">
        <f>IF(E6=0,0,E24/E6)</f>
        <v/>
      </c>
      <c r="F25" s="34">
        <f>IF(F6=0,0,F24/F6)</f>
        <v/>
      </c>
      <c r="G25" s="34">
        <f>IF(G6=0,0,G24/G6)</f>
        <v/>
      </c>
      <c r="H25" s="34">
        <f>IF(H6=0,0,H24/H6)</f>
        <v/>
      </c>
      <c r="I25" s="34">
        <f>IF(I6=0,0,I24/I6)</f>
        <v/>
      </c>
      <c r="J25" s="34">
        <f>IF(J6=0,0,J24/J6)</f>
        <v/>
      </c>
      <c r="K25" s="34">
        <f>IF(K6=0,0,K24/K6)</f>
        <v/>
      </c>
      <c r="L25" s="34">
        <f>IF(L6=0,0,L24/L6)</f>
        <v/>
      </c>
      <c r="M25" s="34">
        <f>IF(M6=0,0,M24/M6)</f>
        <v/>
      </c>
      <c r="N25" s="34">
        <f>IF(N6=0,0,N24/N6)</f>
        <v/>
      </c>
      <c r="O25" s="34">
        <f>IF(O6=0,0,O24/O6)</f>
        <v/>
      </c>
      <c r="P25" s="34">
        <f>IF(P6=0,0,P24/P6)</f>
        <v/>
      </c>
      <c r="Q25" s="34">
        <f>IF(Q6=0,0,Q24/Q6)</f>
        <v/>
      </c>
      <c r="R25" s="34">
        <f>IF(R6=0,0,R24/R6)</f>
        <v/>
      </c>
      <c r="S25" s="34">
        <f>IF(S6=0,0,S24/S6)</f>
        <v/>
      </c>
      <c r="T25" s="34">
        <f>IF(T6=0,0,T24/T6)</f>
        <v/>
      </c>
      <c r="U25" s="34">
        <f>IF(U6=0,0,U24/U6)</f>
        <v/>
      </c>
      <c r="V25" s="34">
        <f>IF(V6=0,0,V24/V6)</f>
        <v/>
      </c>
    </row>
    <row r="27">
      <c r="A27" s="3" t="inlineStr">
        <is>
          <t>BELOW EBITDA</t>
        </is>
      </c>
    </row>
    <row r="28">
      <c r="A28" s="4" t="inlineStr">
        <is>
          <t>Depreciation &amp; amortization</t>
        </is>
      </c>
      <c r="C28" s="33">
        <f>Inputs!$B$140*1</f>
        <v/>
      </c>
      <c r="D28" s="33">
        <f>Inputs!$B$140*1</f>
        <v/>
      </c>
      <c r="E28" s="33">
        <f>Inputs!$B$140*1</f>
        <v/>
      </c>
      <c r="F28" s="33">
        <f>Inputs!$B$140*1</f>
        <v/>
      </c>
      <c r="G28" s="33">
        <f>Inputs!$B$140*1</f>
        <v/>
      </c>
      <c r="H28" s="33">
        <f>Inputs!$B$140*1</f>
        <v/>
      </c>
      <c r="I28" s="33">
        <f>Inputs!$B$140*1</f>
        <v/>
      </c>
      <c r="J28" s="33">
        <f>Inputs!$B$140*1</f>
        <v/>
      </c>
      <c r="K28" s="33">
        <f>Inputs!$B$140*1</f>
        <v/>
      </c>
      <c r="L28" s="33">
        <f>Inputs!$B$140*1</f>
        <v/>
      </c>
      <c r="M28" s="33">
        <f>Inputs!$B$140*1</f>
        <v/>
      </c>
      <c r="N28" s="33">
        <f>Inputs!$B$140*1</f>
        <v/>
      </c>
      <c r="O28" s="33">
        <f>Inputs!$B$140*3</f>
        <v/>
      </c>
      <c r="P28" s="33">
        <f>Inputs!$B$140*3</f>
        <v/>
      </c>
      <c r="Q28" s="33">
        <f>Inputs!$B$140*3</f>
        <v/>
      </c>
      <c r="R28" s="33">
        <f>Inputs!$B$140*3</f>
        <v/>
      </c>
      <c r="S28" s="33">
        <f>Inputs!$B$140*3</f>
        <v/>
      </c>
      <c r="T28" s="33">
        <f>Inputs!$B$140*3</f>
        <v/>
      </c>
      <c r="U28" s="33">
        <f>Inputs!$B$140*3</f>
        <v/>
      </c>
      <c r="V28" s="33">
        <f>Inputs!$B$140*3</f>
        <v/>
      </c>
    </row>
    <row r="29">
      <c r="A29" s="4" t="inlineStr">
        <is>
          <t>Interest - SBA loan</t>
        </is>
      </c>
      <c r="C29" s="33">
        <f>'Debt Schedule'!C13</f>
        <v/>
      </c>
      <c r="D29" s="33">
        <f>'Debt Schedule'!D13</f>
        <v/>
      </c>
      <c r="E29" s="33">
        <f>'Debt Schedule'!E13</f>
        <v/>
      </c>
      <c r="F29" s="33">
        <f>'Debt Schedule'!F13</f>
        <v/>
      </c>
      <c r="G29" s="33">
        <f>'Debt Schedule'!G13</f>
        <v/>
      </c>
      <c r="H29" s="33">
        <f>'Debt Schedule'!H13</f>
        <v/>
      </c>
      <c r="I29" s="33">
        <f>'Debt Schedule'!I13</f>
        <v/>
      </c>
      <c r="J29" s="33">
        <f>'Debt Schedule'!J13</f>
        <v/>
      </c>
      <c r="K29" s="33">
        <f>'Debt Schedule'!K13</f>
        <v/>
      </c>
      <c r="L29" s="33">
        <f>'Debt Schedule'!L13</f>
        <v/>
      </c>
      <c r="M29" s="33">
        <f>'Debt Schedule'!M13</f>
        <v/>
      </c>
      <c r="N29" s="33">
        <f>'Debt Schedule'!N13</f>
        <v/>
      </c>
      <c r="O29" s="33">
        <f>'Debt Schedule'!O13</f>
        <v/>
      </c>
      <c r="P29" s="33">
        <f>'Debt Schedule'!P13</f>
        <v/>
      </c>
      <c r="Q29" s="33">
        <f>'Debt Schedule'!Q13</f>
        <v/>
      </c>
      <c r="R29" s="33">
        <f>'Debt Schedule'!R13</f>
        <v/>
      </c>
      <c r="S29" s="33">
        <f>'Debt Schedule'!S13</f>
        <v/>
      </c>
      <c r="T29" s="33">
        <f>'Debt Schedule'!T13</f>
        <v/>
      </c>
      <c r="U29" s="33">
        <f>'Debt Schedule'!U13</f>
        <v/>
      </c>
      <c r="V29" s="33">
        <f>'Debt Schedule'!V13</f>
        <v/>
      </c>
    </row>
    <row r="30">
      <c r="A30" s="4" t="inlineStr">
        <is>
          <t>Interest - Hickory license note</t>
        </is>
      </c>
      <c r="C30" s="33">
        <f>'Debt Schedule'!C21</f>
        <v/>
      </c>
      <c r="D30" s="33">
        <f>'Debt Schedule'!D21</f>
        <v/>
      </c>
      <c r="E30" s="33">
        <f>'Debt Schedule'!E21</f>
        <v/>
      </c>
      <c r="F30" s="33">
        <f>'Debt Schedule'!F21</f>
        <v/>
      </c>
      <c r="G30" s="33">
        <f>'Debt Schedule'!G21</f>
        <v/>
      </c>
      <c r="H30" s="33">
        <f>'Debt Schedule'!H21</f>
        <v/>
      </c>
      <c r="I30" s="33">
        <f>'Debt Schedule'!I21</f>
        <v/>
      </c>
      <c r="J30" s="33">
        <f>'Debt Schedule'!J21</f>
        <v/>
      </c>
      <c r="K30" s="33">
        <f>'Debt Schedule'!K21</f>
        <v/>
      </c>
      <c r="L30" s="33">
        <f>'Debt Schedule'!L21</f>
        <v/>
      </c>
      <c r="M30" s="33">
        <f>'Debt Schedule'!M21</f>
        <v/>
      </c>
      <c r="N30" s="33">
        <f>'Debt Schedule'!N21</f>
        <v/>
      </c>
      <c r="O30" s="33">
        <f>'Debt Schedule'!O21</f>
        <v/>
      </c>
      <c r="P30" s="33">
        <f>'Debt Schedule'!P21</f>
        <v/>
      </c>
      <c r="Q30" s="33">
        <f>'Debt Schedule'!Q21</f>
        <v/>
      </c>
      <c r="R30" s="33">
        <f>'Debt Schedule'!R21</f>
        <v/>
      </c>
      <c r="S30" s="33">
        <f>'Debt Schedule'!S21</f>
        <v/>
      </c>
      <c r="T30" s="33">
        <f>'Debt Schedule'!T21</f>
        <v/>
      </c>
      <c r="U30" s="33">
        <f>'Debt Schedule'!U21</f>
        <v/>
      </c>
      <c r="V30" s="33">
        <f>'Debt Schedule'!V21</f>
        <v/>
      </c>
    </row>
    <row r="31">
      <c r="A31" s="4" t="inlineStr">
        <is>
          <t>Interest - working-capital line</t>
        </is>
      </c>
      <c r="C31" s="33">
        <f>'Cash Flow &amp; BS'!C16</f>
        <v/>
      </c>
      <c r="D31" s="33">
        <f>'Cash Flow &amp; BS'!D16</f>
        <v/>
      </c>
      <c r="E31" s="33">
        <f>'Cash Flow &amp; BS'!E16</f>
        <v/>
      </c>
      <c r="F31" s="33">
        <f>'Cash Flow &amp; BS'!F16</f>
        <v/>
      </c>
      <c r="G31" s="33">
        <f>'Cash Flow &amp; BS'!G16</f>
        <v/>
      </c>
      <c r="H31" s="33">
        <f>'Cash Flow &amp; BS'!H16</f>
        <v/>
      </c>
      <c r="I31" s="33">
        <f>'Cash Flow &amp; BS'!I16</f>
        <v/>
      </c>
      <c r="J31" s="33">
        <f>'Cash Flow &amp; BS'!J16</f>
        <v/>
      </c>
      <c r="K31" s="33">
        <f>'Cash Flow &amp; BS'!K16</f>
        <v/>
      </c>
      <c r="L31" s="33">
        <f>'Cash Flow &amp; BS'!L16</f>
        <v/>
      </c>
      <c r="M31" s="33">
        <f>'Cash Flow &amp; BS'!M16</f>
        <v/>
      </c>
      <c r="N31" s="33">
        <f>'Cash Flow &amp; BS'!N16</f>
        <v/>
      </c>
      <c r="O31" s="33">
        <f>'Cash Flow &amp; BS'!O16</f>
        <v/>
      </c>
      <c r="P31" s="33">
        <f>'Cash Flow &amp; BS'!P16</f>
        <v/>
      </c>
      <c r="Q31" s="33">
        <f>'Cash Flow &amp; BS'!Q16</f>
        <v/>
      </c>
      <c r="R31" s="33">
        <f>'Cash Flow &amp; BS'!R16</f>
        <v/>
      </c>
      <c r="S31" s="33">
        <f>'Cash Flow &amp; BS'!S16</f>
        <v/>
      </c>
      <c r="T31" s="33">
        <f>'Cash Flow &amp; BS'!T16</f>
        <v/>
      </c>
      <c r="U31" s="33">
        <f>'Cash Flow &amp; BS'!U16</f>
        <v/>
      </c>
      <c r="V31" s="33">
        <f>'Cash Flow &amp; BS'!V16</f>
        <v/>
      </c>
    </row>
    <row r="32">
      <c r="A32" s="31" t="inlineStr">
        <is>
          <t>PRE-TAX INCOME</t>
        </is>
      </c>
      <c r="C32" s="23">
        <f>C24-C28-C29-C30-C31</f>
        <v/>
      </c>
      <c r="D32" s="23">
        <f>D24-D28-D29-D30-D31</f>
        <v/>
      </c>
      <c r="E32" s="23">
        <f>E24-E28-E29-E30-E31</f>
        <v/>
      </c>
      <c r="F32" s="23">
        <f>F24-F28-F29-F30-F31</f>
        <v/>
      </c>
      <c r="G32" s="23">
        <f>G24-G28-G29-G30-G31</f>
        <v/>
      </c>
      <c r="H32" s="23">
        <f>H24-H28-H29-H30-H31</f>
        <v/>
      </c>
      <c r="I32" s="23">
        <f>I24-I28-I29-I30-I31</f>
        <v/>
      </c>
      <c r="J32" s="23">
        <f>J24-J28-J29-J30-J31</f>
        <v/>
      </c>
      <c r="K32" s="23">
        <f>K24-K28-K29-K30-K31</f>
        <v/>
      </c>
      <c r="L32" s="23">
        <f>L24-L28-L29-L30-L31</f>
        <v/>
      </c>
      <c r="M32" s="23">
        <f>M24-M28-M29-M30-M31</f>
        <v/>
      </c>
      <c r="N32" s="23">
        <f>N24-N28-N29-N30-N31</f>
        <v/>
      </c>
      <c r="O32" s="23">
        <f>O24-O28-O29-O30-O31</f>
        <v/>
      </c>
      <c r="P32" s="23">
        <f>P24-P28-P29-P30-P31</f>
        <v/>
      </c>
      <c r="Q32" s="23">
        <f>Q24-Q28-Q29-Q30-Q31</f>
        <v/>
      </c>
      <c r="R32" s="23">
        <f>R24-R28-R29-R30-R31</f>
        <v/>
      </c>
      <c r="S32" s="23">
        <f>S24-S28-S29-S30-S31</f>
        <v/>
      </c>
      <c r="T32" s="23">
        <f>T24-T28-T29-T30-T31</f>
        <v/>
      </c>
      <c r="U32" s="23">
        <f>U24-U28-U29-U30-U31</f>
        <v/>
      </c>
      <c r="V32" s="23">
        <f>V24-V28-V29-V30-V31</f>
        <v/>
      </c>
    </row>
    <row r="33">
      <c r="A33" s="4" t="inlineStr">
        <is>
          <t>TX franchise / margin tax</t>
        </is>
      </c>
      <c r="C33" s="24">
        <f>IF(C32&gt;0,C6*Inputs!$B$119,0)</f>
        <v/>
      </c>
      <c r="D33" s="24">
        <f>IF(D32&gt;0,D6*Inputs!$B$119,0)</f>
        <v/>
      </c>
      <c r="E33" s="24">
        <f>IF(E32&gt;0,E6*Inputs!$B$119,0)</f>
        <v/>
      </c>
      <c r="F33" s="24">
        <f>IF(F32&gt;0,F6*Inputs!$B$119,0)</f>
        <v/>
      </c>
      <c r="G33" s="24">
        <f>IF(G32&gt;0,G6*Inputs!$B$119,0)</f>
        <v/>
      </c>
      <c r="H33" s="24">
        <f>IF(H32&gt;0,H6*Inputs!$B$119,0)</f>
        <v/>
      </c>
      <c r="I33" s="24">
        <f>IF(I32&gt;0,I6*Inputs!$B$119,0)</f>
        <v/>
      </c>
      <c r="J33" s="24">
        <f>IF(J32&gt;0,J6*Inputs!$B$119,0)</f>
        <v/>
      </c>
      <c r="K33" s="24">
        <f>IF(K32&gt;0,K6*Inputs!$B$119,0)</f>
        <v/>
      </c>
      <c r="L33" s="24">
        <f>IF(L32&gt;0,L6*Inputs!$B$119,0)</f>
        <v/>
      </c>
      <c r="M33" s="24">
        <f>IF(M32&gt;0,M6*Inputs!$B$119,0)</f>
        <v/>
      </c>
      <c r="N33" s="24">
        <f>IF(N32&gt;0,N6*Inputs!$B$119,0)</f>
        <v/>
      </c>
      <c r="O33" s="24">
        <f>IF(O32&gt;0,O6*Inputs!$B$119,0)</f>
        <v/>
      </c>
      <c r="P33" s="24">
        <f>IF(P32&gt;0,P6*Inputs!$B$119,0)</f>
        <v/>
      </c>
      <c r="Q33" s="24">
        <f>IF(Q32&gt;0,Q6*Inputs!$B$119,0)</f>
        <v/>
      </c>
      <c r="R33" s="24">
        <f>IF(R32&gt;0,R6*Inputs!$B$119,0)</f>
        <v/>
      </c>
      <c r="S33" s="24">
        <f>IF(S32&gt;0,S6*Inputs!$B$119,0)</f>
        <v/>
      </c>
      <c r="T33" s="24">
        <f>IF(T32&gt;0,T6*Inputs!$B$119,0)</f>
        <v/>
      </c>
      <c r="U33" s="24">
        <f>IF(U32&gt;0,U6*Inputs!$B$119,0)</f>
        <v/>
      </c>
      <c r="V33" s="24">
        <f>IF(V32&gt;0,V6*Inputs!$B$119,0)</f>
        <v/>
      </c>
    </row>
    <row r="34">
      <c r="A34" s="31" t="inlineStr">
        <is>
          <t>NET INCOME</t>
        </is>
      </c>
      <c r="C34" s="48">
        <f>C32-C33</f>
        <v/>
      </c>
      <c r="D34" s="48">
        <f>D32-D33</f>
        <v/>
      </c>
      <c r="E34" s="48">
        <f>E32-E33</f>
        <v/>
      </c>
      <c r="F34" s="48">
        <f>F32-F33</f>
        <v/>
      </c>
      <c r="G34" s="48">
        <f>G32-G33</f>
        <v/>
      </c>
      <c r="H34" s="48">
        <f>H32-H33</f>
        <v/>
      </c>
      <c r="I34" s="48">
        <f>I32-I33</f>
        <v/>
      </c>
      <c r="J34" s="48">
        <f>J32-J33</f>
        <v/>
      </c>
      <c r="K34" s="48">
        <f>K32-K33</f>
        <v/>
      </c>
      <c r="L34" s="48">
        <f>L32-L33</f>
        <v/>
      </c>
      <c r="M34" s="48">
        <f>M32-M33</f>
        <v/>
      </c>
      <c r="N34" s="48">
        <f>N32-N33</f>
        <v/>
      </c>
      <c r="O34" s="48">
        <f>O32-O33</f>
        <v/>
      </c>
      <c r="P34" s="48">
        <f>P32-P33</f>
        <v/>
      </c>
      <c r="Q34" s="48">
        <f>Q32-Q33</f>
        <v/>
      </c>
      <c r="R34" s="48">
        <f>R32-R33</f>
        <v/>
      </c>
      <c r="S34" s="48">
        <f>S32-S33</f>
        <v/>
      </c>
      <c r="T34" s="48">
        <f>T32-T33</f>
        <v/>
      </c>
      <c r="U34" s="48">
        <f>U32-U33</f>
        <v/>
      </c>
      <c r="V34" s="48">
        <f>V32-V33</f>
        <v/>
      </c>
    </row>
  </sheetData>
  <mergeCells count="8">
    <mergeCell ref="A2:V2"/>
    <mergeCell ref="O4:R4"/>
    <mergeCell ref="S4:V4"/>
    <mergeCell ref="A1:V1"/>
    <mergeCell ref="A8:V8"/>
    <mergeCell ref="A18:V18"/>
    <mergeCell ref="A27:V27"/>
    <mergeCell ref="C4:N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50" t="inlineStr">
        <is>
          <t>Azalea Hospice &amp; Palliative Care - Tyler, TX</t>
        </is>
      </c>
    </row>
    <row r="2">
      <c r="A2" s="51" t="inlineStr">
        <is>
          <t>Profit and Loss</t>
        </is>
      </c>
    </row>
    <row r="3">
      <c r="A3" s="15" t="inlineStr">
        <is>
          <t>Year 1 (monthly) | Years 2-3 (annual) | model data, cash basis</t>
        </is>
      </c>
    </row>
    <row r="5">
      <c r="B5" s="52" t="inlineStr">
        <is>
          <t>M1</t>
        </is>
      </c>
      <c r="C5" s="52" t="inlineStr">
        <is>
          <t>M2</t>
        </is>
      </c>
      <c r="D5" s="52" t="inlineStr">
        <is>
          <t>M3</t>
        </is>
      </c>
      <c r="E5" s="52" t="inlineStr">
        <is>
          <t>M4</t>
        </is>
      </c>
      <c r="F5" s="52" t="inlineStr">
        <is>
          <t>M5</t>
        </is>
      </c>
      <c r="G5" s="52" t="inlineStr">
        <is>
          <t>M6</t>
        </is>
      </c>
      <c r="H5" s="52" t="inlineStr">
        <is>
          <t>M7</t>
        </is>
      </c>
      <c r="I5" s="52" t="inlineStr">
        <is>
          <t>M8</t>
        </is>
      </c>
      <c r="J5" s="52" t="inlineStr">
        <is>
          <t>M9</t>
        </is>
      </c>
      <c r="K5" s="52" t="inlineStr">
        <is>
          <t>M10</t>
        </is>
      </c>
      <c r="L5" s="52" t="inlineStr">
        <is>
          <t>M11</t>
        </is>
      </c>
      <c r="M5" s="52" t="inlineStr">
        <is>
          <t>M12</t>
        </is>
      </c>
      <c r="N5" s="52" t="inlineStr">
        <is>
          <t>Year 2</t>
        </is>
      </c>
      <c r="O5" s="52" t="inlineStr">
        <is>
          <t>Year 3</t>
        </is>
      </c>
      <c r="P5" s="52" t="inlineStr">
        <is>
          <t>TOTAL</t>
        </is>
      </c>
    </row>
    <row r="6">
      <c r="A6" s="31" t="inlineStr">
        <is>
          <t>Income</t>
        </is>
      </c>
    </row>
    <row r="7">
      <c r="A7" s="4" t="inlineStr">
        <is>
          <t>Gross Billed Revenue</t>
        </is>
      </c>
      <c r="B7" s="53">
        <f>'Revenue Model'!C14</f>
        <v/>
      </c>
      <c r="C7" s="53">
        <f>'Revenue Model'!D14</f>
        <v/>
      </c>
      <c r="D7" s="53">
        <f>'Revenue Model'!E14</f>
        <v/>
      </c>
      <c r="E7" s="53">
        <f>'Revenue Model'!F14</f>
        <v/>
      </c>
      <c r="F7" s="53">
        <f>'Revenue Model'!G14</f>
        <v/>
      </c>
      <c r="G7" s="53">
        <f>'Revenue Model'!H14</f>
        <v/>
      </c>
      <c r="H7" s="53">
        <f>'Revenue Model'!I14</f>
        <v/>
      </c>
      <c r="I7" s="53">
        <f>'Revenue Model'!J14</f>
        <v/>
      </c>
      <c r="J7" s="53">
        <f>'Revenue Model'!K14</f>
        <v/>
      </c>
      <c r="K7" s="53">
        <f>'Revenue Model'!L14</f>
        <v/>
      </c>
      <c r="L7" s="53">
        <f>'Revenue Model'!M14</f>
        <v/>
      </c>
      <c r="M7" s="53">
        <f>'Revenue Model'!N14</f>
        <v/>
      </c>
      <c r="N7" s="54">
        <f>SUM('Revenue Model'!O14:R14)</f>
        <v/>
      </c>
      <c r="O7" s="54">
        <f>SUM('Revenue Model'!S14:V14)</f>
        <v/>
      </c>
      <c r="P7" s="55">
        <f>SUM(B7:M7)+N7+O7</f>
        <v/>
      </c>
    </row>
    <row r="8">
      <c r="A8" s="4" t="inlineStr">
        <is>
          <t>Less: CDAs Adjustment</t>
        </is>
      </c>
      <c r="B8" s="53">
        <f>0</f>
        <v/>
      </c>
      <c r="C8" s="53">
        <f>0</f>
        <v/>
      </c>
      <c r="D8" s="53">
        <f>0</f>
        <v/>
      </c>
      <c r="E8" s="53">
        <f>0</f>
        <v/>
      </c>
      <c r="F8" s="53">
        <f>0</f>
        <v/>
      </c>
      <c r="G8" s="53">
        <f>0</f>
        <v/>
      </c>
      <c r="H8" s="53">
        <f>0</f>
        <v/>
      </c>
      <c r="I8" s="53">
        <f>0</f>
        <v/>
      </c>
      <c r="J8" s="53">
        <f>0</f>
        <v/>
      </c>
      <c r="K8" s="53">
        <f>0</f>
        <v/>
      </c>
      <c r="L8" s="53">
        <f>0</f>
        <v/>
      </c>
      <c r="M8" s="53">
        <f>0</f>
        <v/>
      </c>
      <c r="N8" s="54">
        <f>0</f>
        <v/>
      </c>
      <c r="O8" s="54">
        <f>0</f>
        <v/>
      </c>
      <c r="P8" s="55">
        <f>SUM(B8:M8)+N8+O8</f>
        <v/>
      </c>
    </row>
    <row r="9">
      <c r="A9" s="4" t="inlineStr">
        <is>
          <t>Less: Net Due Zero (Write-offs)</t>
        </is>
      </c>
      <c r="B9" s="53">
        <f>'Revenue Model'!C14*Inputs!$B$11</f>
        <v/>
      </c>
      <c r="C9" s="53">
        <f>'Revenue Model'!D14*Inputs!$B$11</f>
        <v/>
      </c>
      <c r="D9" s="53">
        <f>'Revenue Model'!E14*Inputs!$B$11</f>
        <v/>
      </c>
      <c r="E9" s="53">
        <f>'Revenue Model'!F14*Inputs!$B$11</f>
        <v/>
      </c>
      <c r="F9" s="53">
        <f>'Revenue Model'!G14*Inputs!$B$11</f>
        <v/>
      </c>
      <c r="G9" s="53">
        <f>'Revenue Model'!H14*Inputs!$B$11</f>
        <v/>
      </c>
      <c r="H9" s="53">
        <f>'Revenue Model'!I14*Inputs!$B$11</f>
        <v/>
      </c>
      <c r="I9" s="53">
        <f>'Revenue Model'!J14*Inputs!$B$11</f>
        <v/>
      </c>
      <c r="J9" s="53">
        <f>'Revenue Model'!K14*Inputs!$B$11</f>
        <v/>
      </c>
      <c r="K9" s="53">
        <f>'Revenue Model'!L14*Inputs!$B$11</f>
        <v/>
      </c>
      <c r="L9" s="53">
        <f>'Revenue Model'!M14*Inputs!$B$11</f>
        <v/>
      </c>
      <c r="M9" s="53">
        <f>'Revenue Model'!N14*Inputs!$B$11</f>
        <v/>
      </c>
      <c r="N9" s="54">
        <f>SUM('Revenue Model'!O14:R14)*Inputs!$B$11</f>
        <v/>
      </c>
      <c r="O9" s="54">
        <f>SUM('Revenue Model'!S14:V14)*Inputs!$B$11</f>
        <v/>
      </c>
      <c r="P9" s="55">
        <f>SUM(B9:M9)+N9+O9</f>
        <v/>
      </c>
    </row>
    <row r="10">
      <c r="A10" s="4" t="inlineStr">
        <is>
          <t>Less: Sequestration</t>
        </is>
      </c>
      <c r="B10" s="53">
        <f>'Revenue Model'!C14*Inputs!$B$10</f>
        <v/>
      </c>
      <c r="C10" s="53">
        <f>'Revenue Model'!D14*Inputs!$B$10</f>
        <v/>
      </c>
      <c r="D10" s="53">
        <f>'Revenue Model'!E14*Inputs!$B$10</f>
        <v/>
      </c>
      <c r="E10" s="53">
        <f>'Revenue Model'!F14*Inputs!$B$10</f>
        <v/>
      </c>
      <c r="F10" s="53">
        <f>'Revenue Model'!G14*Inputs!$B$10</f>
        <v/>
      </c>
      <c r="G10" s="53">
        <f>'Revenue Model'!H14*Inputs!$B$10</f>
        <v/>
      </c>
      <c r="H10" s="53">
        <f>'Revenue Model'!I14*Inputs!$B$10</f>
        <v/>
      </c>
      <c r="I10" s="53">
        <f>'Revenue Model'!J14*Inputs!$B$10</f>
        <v/>
      </c>
      <c r="J10" s="53">
        <f>'Revenue Model'!K14*Inputs!$B$10</f>
        <v/>
      </c>
      <c r="K10" s="53">
        <f>'Revenue Model'!L14*Inputs!$B$10</f>
        <v/>
      </c>
      <c r="L10" s="53">
        <f>'Revenue Model'!M14*Inputs!$B$10</f>
        <v/>
      </c>
      <c r="M10" s="53">
        <f>'Revenue Model'!N14*Inputs!$B$10</f>
        <v/>
      </c>
      <c r="N10" s="54">
        <f>SUM('Revenue Model'!O14:R14)*Inputs!$B$10</f>
        <v/>
      </c>
      <c r="O10" s="54">
        <f>SUM('Revenue Model'!S14:V14)*Inputs!$B$10</f>
        <v/>
      </c>
      <c r="P10" s="55">
        <f>SUM(B10:M10)+N10+O10</f>
        <v/>
      </c>
    </row>
    <row r="11">
      <c r="A11" s="4" t="inlineStr">
        <is>
          <t>Less: Medication Adjustments</t>
        </is>
      </c>
      <c r="B11" s="53">
        <f>0</f>
        <v/>
      </c>
      <c r="C11" s="53">
        <f>0</f>
        <v/>
      </c>
      <c r="D11" s="53">
        <f>0</f>
        <v/>
      </c>
      <c r="E11" s="53">
        <f>0</f>
        <v/>
      </c>
      <c r="F11" s="53">
        <f>0</f>
        <v/>
      </c>
      <c r="G11" s="53">
        <f>0</f>
        <v/>
      </c>
      <c r="H11" s="53">
        <f>0</f>
        <v/>
      </c>
      <c r="I11" s="53">
        <f>0</f>
        <v/>
      </c>
      <c r="J11" s="53">
        <f>0</f>
        <v/>
      </c>
      <c r="K11" s="53">
        <f>0</f>
        <v/>
      </c>
      <c r="L11" s="53">
        <f>0</f>
        <v/>
      </c>
      <c r="M11" s="53">
        <f>0</f>
        <v/>
      </c>
      <c r="N11" s="54">
        <f>0</f>
        <v/>
      </c>
      <c r="O11" s="54">
        <f>0</f>
        <v/>
      </c>
      <c r="P11" s="55">
        <f>SUM(B11:M11)+N11+O11</f>
        <v/>
      </c>
    </row>
    <row r="12">
      <c r="A12" s="12" t="inlineStr">
        <is>
          <t>Total Income</t>
        </is>
      </c>
      <c r="B12" s="56">
        <f>B7-B8-B9-B10-B11</f>
        <v/>
      </c>
      <c r="C12" s="56">
        <f>C7-C8-C9-C10-C11</f>
        <v/>
      </c>
      <c r="D12" s="56">
        <f>D7-D8-D9-D10-D11</f>
        <v/>
      </c>
      <c r="E12" s="56">
        <f>E7-E8-E9-E10-E11</f>
        <v/>
      </c>
      <c r="F12" s="56">
        <f>F7-F8-F9-F10-F11</f>
        <v/>
      </c>
      <c r="G12" s="56">
        <f>G7-G8-G9-G10-G11</f>
        <v/>
      </c>
      <c r="H12" s="56">
        <f>H7-H8-H9-H10-H11</f>
        <v/>
      </c>
      <c r="I12" s="56">
        <f>I7-I8-I9-I10-I11</f>
        <v/>
      </c>
      <c r="J12" s="56">
        <f>J7-J8-J9-J10-J11</f>
        <v/>
      </c>
      <c r="K12" s="56">
        <f>K7-K8-K9-K10-K11</f>
        <v/>
      </c>
      <c r="L12" s="56">
        <f>L7-L8-L9-L10-L11</f>
        <v/>
      </c>
      <c r="M12" s="56">
        <f>M7-M8-M9-M10-M11</f>
        <v/>
      </c>
      <c r="N12" s="56">
        <f>N7-N8-N9-N10-N11</f>
        <v/>
      </c>
      <c r="O12" s="56">
        <f>O7-O8-O9-O10-O11</f>
        <v/>
      </c>
      <c r="P12" s="56">
        <f>P7-P8-P9-P10-P11</f>
        <v/>
      </c>
    </row>
    <row r="14">
      <c r="A14" s="31" t="inlineStr">
        <is>
          <t>Cost of Services</t>
        </is>
      </c>
    </row>
    <row r="15">
      <c r="A15" s="4" t="inlineStr">
        <is>
          <t>Pharmacy</t>
        </is>
      </c>
      <c r="B15" s="53">
        <f>'Revenue Model'!C12*Inputs!$B$88</f>
        <v/>
      </c>
      <c r="C15" s="53">
        <f>'Revenue Model'!D12*Inputs!$B$88</f>
        <v/>
      </c>
      <c r="D15" s="53">
        <f>'Revenue Model'!E12*Inputs!$B$88</f>
        <v/>
      </c>
      <c r="E15" s="53">
        <f>'Revenue Model'!F12*Inputs!$B$88</f>
        <v/>
      </c>
      <c r="F15" s="53">
        <f>'Revenue Model'!G12*Inputs!$B$88</f>
        <v/>
      </c>
      <c r="G15" s="53">
        <f>'Revenue Model'!H12*Inputs!$B$88</f>
        <v/>
      </c>
      <c r="H15" s="53">
        <f>'Revenue Model'!I12*Inputs!$B$88</f>
        <v/>
      </c>
      <c r="I15" s="53">
        <f>'Revenue Model'!J12*Inputs!$B$88</f>
        <v/>
      </c>
      <c r="J15" s="53">
        <f>'Revenue Model'!K12*Inputs!$B$88</f>
        <v/>
      </c>
      <c r="K15" s="53">
        <f>'Revenue Model'!L12*Inputs!$B$88</f>
        <v/>
      </c>
      <c r="L15" s="53">
        <f>'Revenue Model'!M12*Inputs!$B$88</f>
        <v/>
      </c>
      <c r="M15" s="53">
        <f>'Revenue Model'!N12*Inputs!$B$88</f>
        <v/>
      </c>
      <c r="N15" s="54">
        <f>SUM('Revenue Model'!O12:R12)*Inputs!$B$88</f>
        <v/>
      </c>
      <c r="O15" s="54">
        <f>SUM('Revenue Model'!S12:V12)*Inputs!$B$88</f>
        <v/>
      </c>
      <c r="P15" s="55">
        <f>SUM(B15:M15)+N15+O15</f>
        <v/>
      </c>
    </row>
    <row r="16">
      <c r="A16" s="4" t="inlineStr">
        <is>
          <t>Medical Supplies</t>
        </is>
      </c>
      <c r="B16" s="53">
        <f>'Revenue Model'!C12*Inputs!$B$86</f>
        <v/>
      </c>
      <c r="C16" s="53">
        <f>'Revenue Model'!D12*Inputs!$B$86</f>
        <v/>
      </c>
      <c r="D16" s="53">
        <f>'Revenue Model'!E12*Inputs!$B$86</f>
        <v/>
      </c>
      <c r="E16" s="53">
        <f>'Revenue Model'!F12*Inputs!$B$86</f>
        <v/>
      </c>
      <c r="F16" s="53">
        <f>'Revenue Model'!G12*Inputs!$B$86</f>
        <v/>
      </c>
      <c r="G16" s="53">
        <f>'Revenue Model'!H12*Inputs!$B$86</f>
        <v/>
      </c>
      <c r="H16" s="53">
        <f>'Revenue Model'!I12*Inputs!$B$86</f>
        <v/>
      </c>
      <c r="I16" s="53">
        <f>'Revenue Model'!J12*Inputs!$B$86</f>
        <v/>
      </c>
      <c r="J16" s="53">
        <f>'Revenue Model'!K12*Inputs!$B$86</f>
        <v/>
      </c>
      <c r="K16" s="53">
        <f>'Revenue Model'!L12*Inputs!$B$86</f>
        <v/>
      </c>
      <c r="L16" s="53">
        <f>'Revenue Model'!M12*Inputs!$B$86</f>
        <v/>
      </c>
      <c r="M16" s="53">
        <f>'Revenue Model'!N12*Inputs!$B$86</f>
        <v/>
      </c>
      <c r="N16" s="54">
        <f>SUM('Revenue Model'!O12:R12)*Inputs!$B$86</f>
        <v/>
      </c>
      <c r="O16" s="54">
        <f>SUM('Revenue Model'!S12:V12)*Inputs!$B$86</f>
        <v/>
      </c>
      <c r="P16" s="55">
        <f>SUM(B16:M16)+N16+O16</f>
        <v/>
      </c>
    </row>
    <row r="17">
      <c r="A17" s="4" t="inlineStr">
        <is>
          <t>Durable Medical Equipment (DME)</t>
        </is>
      </c>
      <c r="B17" s="53">
        <f>'Revenue Model'!C12*Inputs!$B$87</f>
        <v/>
      </c>
      <c r="C17" s="53">
        <f>'Revenue Model'!D12*Inputs!$B$87</f>
        <v/>
      </c>
      <c r="D17" s="53">
        <f>'Revenue Model'!E12*Inputs!$B$87</f>
        <v/>
      </c>
      <c r="E17" s="53">
        <f>'Revenue Model'!F12*Inputs!$B$87</f>
        <v/>
      </c>
      <c r="F17" s="53">
        <f>'Revenue Model'!G12*Inputs!$B$87</f>
        <v/>
      </c>
      <c r="G17" s="53">
        <f>'Revenue Model'!H12*Inputs!$B$87</f>
        <v/>
      </c>
      <c r="H17" s="53">
        <f>'Revenue Model'!I12*Inputs!$B$87</f>
        <v/>
      </c>
      <c r="I17" s="53">
        <f>'Revenue Model'!J12*Inputs!$B$87</f>
        <v/>
      </c>
      <c r="J17" s="53">
        <f>'Revenue Model'!K12*Inputs!$B$87</f>
        <v/>
      </c>
      <c r="K17" s="53">
        <f>'Revenue Model'!L12*Inputs!$B$87</f>
        <v/>
      </c>
      <c r="L17" s="53">
        <f>'Revenue Model'!M12*Inputs!$B$87</f>
        <v/>
      </c>
      <c r="M17" s="53">
        <f>'Revenue Model'!N12*Inputs!$B$87</f>
        <v/>
      </c>
      <c r="N17" s="54">
        <f>SUM('Revenue Model'!O12:R12)*Inputs!$B$87</f>
        <v/>
      </c>
      <c r="O17" s="54">
        <f>SUM('Revenue Model'!S12:V12)*Inputs!$B$87</f>
        <v/>
      </c>
      <c r="P17" s="55">
        <f>SUM(B17:M17)+N17+O17</f>
        <v/>
      </c>
    </row>
    <row r="18">
      <c r="A18" s="4" t="inlineStr">
        <is>
          <t>Respite Care</t>
        </is>
      </c>
      <c r="B18" s="53">
        <f>0</f>
        <v/>
      </c>
      <c r="C18" s="53">
        <f>0</f>
        <v/>
      </c>
      <c r="D18" s="53">
        <f>0</f>
        <v/>
      </c>
      <c r="E18" s="53">
        <f>0</f>
        <v/>
      </c>
      <c r="F18" s="53">
        <f>0</f>
        <v/>
      </c>
      <c r="G18" s="53">
        <f>0</f>
        <v/>
      </c>
      <c r="H18" s="53">
        <f>0</f>
        <v/>
      </c>
      <c r="I18" s="53">
        <f>0</f>
        <v/>
      </c>
      <c r="J18" s="53">
        <f>0</f>
        <v/>
      </c>
      <c r="K18" s="53">
        <f>0</f>
        <v/>
      </c>
      <c r="L18" s="53">
        <f>0</f>
        <v/>
      </c>
      <c r="M18" s="53">
        <f>0</f>
        <v/>
      </c>
      <c r="N18" s="54">
        <f>0</f>
        <v/>
      </c>
      <c r="O18" s="54">
        <f>0</f>
        <v/>
      </c>
      <c r="P18" s="55">
        <f>SUM(B18:M18)+N18+O18</f>
        <v/>
      </c>
    </row>
    <row r="19">
      <c r="A19" s="4" t="inlineStr">
        <is>
          <t>Transportation</t>
        </is>
      </c>
      <c r="B19" s="53">
        <f>0</f>
        <v/>
      </c>
      <c r="C19" s="53">
        <f>0</f>
        <v/>
      </c>
      <c r="D19" s="53">
        <f>0</f>
        <v/>
      </c>
      <c r="E19" s="53">
        <f>0</f>
        <v/>
      </c>
      <c r="F19" s="53">
        <f>0</f>
        <v/>
      </c>
      <c r="G19" s="53">
        <f>0</f>
        <v/>
      </c>
      <c r="H19" s="53">
        <f>0</f>
        <v/>
      </c>
      <c r="I19" s="53">
        <f>0</f>
        <v/>
      </c>
      <c r="J19" s="53">
        <f>0</f>
        <v/>
      </c>
      <c r="K19" s="53">
        <f>0</f>
        <v/>
      </c>
      <c r="L19" s="53">
        <f>0</f>
        <v/>
      </c>
      <c r="M19" s="53">
        <f>0</f>
        <v/>
      </c>
      <c r="N19" s="54">
        <f>0</f>
        <v/>
      </c>
      <c r="O19" s="54">
        <f>0</f>
        <v/>
      </c>
      <c r="P19" s="55">
        <f>SUM(B19:M19)+N19+O19</f>
        <v/>
      </c>
    </row>
    <row r="20">
      <c r="A20" s="4" t="inlineStr">
        <is>
          <t>Infusion / Labs</t>
        </is>
      </c>
      <c r="B20" s="53">
        <f>0</f>
        <v/>
      </c>
      <c r="C20" s="53">
        <f>0</f>
        <v/>
      </c>
      <c r="D20" s="53">
        <f>0</f>
        <v/>
      </c>
      <c r="E20" s="53">
        <f>0</f>
        <v/>
      </c>
      <c r="F20" s="53">
        <f>0</f>
        <v/>
      </c>
      <c r="G20" s="53">
        <f>0</f>
        <v/>
      </c>
      <c r="H20" s="53">
        <f>0</f>
        <v/>
      </c>
      <c r="I20" s="53">
        <f>0</f>
        <v/>
      </c>
      <c r="J20" s="53">
        <f>0</f>
        <v/>
      </c>
      <c r="K20" s="53">
        <f>0</f>
        <v/>
      </c>
      <c r="L20" s="53">
        <f>0</f>
        <v/>
      </c>
      <c r="M20" s="53">
        <f>0</f>
        <v/>
      </c>
      <c r="N20" s="54">
        <f>0</f>
        <v/>
      </c>
      <c r="O20" s="54">
        <f>0</f>
        <v/>
      </c>
      <c r="P20" s="55">
        <f>SUM(B20:M20)+N20+O20</f>
        <v/>
      </c>
    </row>
    <row r="21">
      <c r="A21" s="4" t="inlineStr">
        <is>
          <t>PT / OT / ST</t>
        </is>
      </c>
      <c r="B21" s="53">
        <f>0</f>
        <v/>
      </c>
      <c r="C21" s="53">
        <f>0</f>
        <v/>
      </c>
      <c r="D21" s="53">
        <f>0</f>
        <v/>
      </c>
      <c r="E21" s="53">
        <f>0</f>
        <v/>
      </c>
      <c r="F21" s="53">
        <f>0</f>
        <v/>
      </c>
      <c r="G21" s="53">
        <f>0</f>
        <v/>
      </c>
      <c r="H21" s="53">
        <f>0</f>
        <v/>
      </c>
      <c r="I21" s="53">
        <f>0</f>
        <v/>
      </c>
      <c r="J21" s="53">
        <f>0</f>
        <v/>
      </c>
      <c r="K21" s="53">
        <f>0</f>
        <v/>
      </c>
      <c r="L21" s="53">
        <f>0</f>
        <v/>
      </c>
      <c r="M21" s="53">
        <f>0</f>
        <v/>
      </c>
      <c r="N21" s="54">
        <f>0</f>
        <v/>
      </c>
      <c r="O21" s="54">
        <f>0</f>
        <v/>
      </c>
      <c r="P21" s="55">
        <f>SUM(B21:M21)+N21+O21</f>
        <v/>
      </c>
    </row>
    <row r="22">
      <c r="A22" s="12" t="inlineStr">
        <is>
          <t>Total Cost of Services</t>
        </is>
      </c>
      <c r="B22" s="56">
        <f>SUM(B15:B21)</f>
        <v/>
      </c>
      <c r="C22" s="56">
        <f>SUM(C15:C21)</f>
        <v/>
      </c>
      <c r="D22" s="56">
        <f>SUM(D15:D21)</f>
        <v/>
      </c>
      <c r="E22" s="56">
        <f>SUM(E15:E21)</f>
        <v/>
      </c>
      <c r="F22" s="56">
        <f>SUM(F15:F21)</f>
        <v/>
      </c>
      <c r="G22" s="56">
        <f>SUM(G15:G21)</f>
        <v/>
      </c>
      <c r="H22" s="56">
        <f>SUM(H15:H21)</f>
        <v/>
      </c>
      <c r="I22" s="56">
        <f>SUM(I15:I21)</f>
        <v/>
      </c>
      <c r="J22" s="56">
        <f>SUM(J15:J21)</f>
        <v/>
      </c>
      <c r="K22" s="56">
        <f>SUM(K15:K21)</f>
        <v/>
      </c>
      <c r="L22" s="56">
        <f>SUM(L15:L21)</f>
        <v/>
      </c>
      <c r="M22" s="56">
        <f>SUM(M15:M21)</f>
        <v/>
      </c>
      <c r="N22" s="56">
        <f>SUM(N15:N21)</f>
        <v/>
      </c>
      <c r="O22" s="56">
        <f>SUM(O15:O21)</f>
        <v/>
      </c>
      <c r="P22" s="56">
        <f>SUM(P15:P21)</f>
        <v/>
      </c>
    </row>
    <row r="24">
      <c r="A24" s="31" t="inlineStr">
        <is>
          <t>Gross Profit</t>
        </is>
      </c>
      <c r="B24" s="56">
        <f>B12-B22</f>
        <v/>
      </c>
      <c r="C24" s="56">
        <f>C12-C22</f>
        <v/>
      </c>
      <c r="D24" s="56">
        <f>D12-D22</f>
        <v/>
      </c>
      <c r="E24" s="56">
        <f>E12-E22</f>
        <v/>
      </c>
      <c r="F24" s="56">
        <f>F12-F22</f>
        <v/>
      </c>
      <c r="G24" s="56">
        <f>G12-G22</f>
        <v/>
      </c>
      <c r="H24" s="56">
        <f>H12-H22</f>
        <v/>
      </c>
      <c r="I24" s="56">
        <f>I12-I22</f>
        <v/>
      </c>
      <c r="J24" s="56">
        <f>J12-J22</f>
        <v/>
      </c>
      <c r="K24" s="56">
        <f>K12-K22</f>
        <v/>
      </c>
      <c r="L24" s="56">
        <f>L12-L22</f>
        <v/>
      </c>
      <c r="M24" s="56">
        <f>M12-M22</f>
        <v/>
      </c>
      <c r="N24" s="56">
        <f>N12-N22</f>
        <v/>
      </c>
      <c r="O24" s="56">
        <f>O12-O22</f>
        <v/>
      </c>
      <c r="P24" s="56">
        <f>P12-P22</f>
        <v/>
      </c>
    </row>
    <row r="26">
      <c r="A26" s="31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57" t="inlineStr">
        <is>
          <t>Payroll - 1st Half</t>
        </is>
      </c>
      <c r="B28" s="53">
        <f>('Staffing &amp; Payroll'!C30+'Staffing &amp; Payroll'!C42+'Staffing &amp; Payroll'!C38+'Staffing &amp; Payroll'!C43)/2</f>
        <v/>
      </c>
      <c r="C28" s="53">
        <f>('Staffing &amp; Payroll'!D30+'Staffing &amp; Payroll'!D42+'Staffing &amp; Payroll'!D38+'Staffing &amp; Payroll'!D43)/2</f>
        <v/>
      </c>
      <c r="D28" s="53">
        <f>('Staffing &amp; Payroll'!E30+'Staffing &amp; Payroll'!E42+'Staffing &amp; Payroll'!E38+'Staffing &amp; Payroll'!E43)/2</f>
        <v/>
      </c>
      <c r="E28" s="53">
        <f>('Staffing &amp; Payroll'!F30+'Staffing &amp; Payroll'!F42+'Staffing &amp; Payroll'!F38+'Staffing &amp; Payroll'!F43)/2</f>
        <v/>
      </c>
      <c r="F28" s="53">
        <f>('Staffing &amp; Payroll'!G30+'Staffing &amp; Payroll'!G42+'Staffing &amp; Payroll'!G38+'Staffing &amp; Payroll'!G43)/2</f>
        <v/>
      </c>
      <c r="G28" s="53">
        <f>('Staffing &amp; Payroll'!H30+'Staffing &amp; Payroll'!H42+'Staffing &amp; Payroll'!H38+'Staffing &amp; Payroll'!H43)/2</f>
        <v/>
      </c>
      <c r="H28" s="53">
        <f>('Staffing &amp; Payroll'!I30+'Staffing &amp; Payroll'!I42+'Staffing &amp; Payroll'!I38+'Staffing &amp; Payroll'!I43)/2</f>
        <v/>
      </c>
      <c r="I28" s="53">
        <f>('Staffing &amp; Payroll'!J30+'Staffing &amp; Payroll'!J42+'Staffing &amp; Payroll'!J38+'Staffing &amp; Payroll'!J43)/2</f>
        <v/>
      </c>
      <c r="J28" s="53">
        <f>('Staffing &amp; Payroll'!K30+'Staffing &amp; Payroll'!K42+'Staffing &amp; Payroll'!K38+'Staffing &amp; Payroll'!K43)/2</f>
        <v/>
      </c>
      <c r="K28" s="53">
        <f>('Staffing &amp; Payroll'!L30+'Staffing &amp; Payroll'!L42+'Staffing &amp; Payroll'!L38+'Staffing &amp; Payroll'!L43)/2</f>
        <v/>
      </c>
      <c r="L28" s="53">
        <f>('Staffing &amp; Payroll'!M30+'Staffing &amp; Payroll'!M42+'Staffing &amp; Payroll'!M38+'Staffing &amp; Payroll'!M43)/2</f>
        <v/>
      </c>
      <c r="M28" s="53">
        <f>('Staffing &amp; Payroll'!N30+'Staffing &amp; Payroll'!N42+'Staffing &amp; Payroll'!N38+'Staffing &amp; Payroll'!N43)/2</f>
        <v/>
      </c>
      <c r="N28" s="54">
        <f>(SUM('Staffing &amp; Payroll'!O30:R30)+SUM('Staffing &amp; Payroll'!O42:R42)+SUM('Staffing &amp; Payroll'!O38:R38)+SUM('Staffing &amp; Payroll'!O43:R43))/2</f>
        <v/>
      </c>
      <c r="O28" s="54">
        <f>(SUM('Staffing &amp; Payroll'!S30:V30)+SUM('Staffing &amp; Payroll'!S42:V42)+SUM('Staffing &amp; Payroll'!S38:V38)+SUM('Staffing &amp; Payroll'!S43:V43))/2</f>
        <v/>
      </c>
      <c r="P28" s="55">
        <f>SUM(B28:M28)+N28+O28</f>
        <v/>
      </c>
    </row>
    <row r="29">
      <c r="A29" s="57" t="inlineStr">
        <is>
          <t>Payroll - 2nd Half</t>
        </is>
      </c>
      <c r="B29" s="53">
        <f>('Staffing &amp; Payroll'!C30+'Staffing &amp; Payroll'!C42+'Staffing &amp; Payroll'!C38+'Staffing &amp; Payroll'!C43)/2</f>
        <v/>
      </c>
      <c r="C29" s="53">
        <f>('Staffing &amp; Payroll'!D30+'Staffing &amp; Payroll'!D42+'Staffing &amp; Payroll'!D38+'Staffing &amp; Payroll'!D43)/2</f>
        <v/>
      </c>
      <c r="D29" s="53">
        <f>('Staffing &amp; Payroll'!E30+'Staffing &amp; Payroll'!E42+'Staffing &amp; Payroll'!E38+'Staffing &amp; Payroll'!E43)/2</f>
        <v/>
      </c>
      <c r="E29" s="53">
        <f>('Staffing &amp; Payroll'!F30+'Staffing &amp; Payroll'!F42+'Staffing &amp; Payroll'!F38+'Staffing &amp; Payroll'!F43)/2</f>
        <v/>
      </c>
      <c r="F29" s="53">
        <f>('Staffing &amp; Payroll'!G30+'Staffing &amp; Payroll'!G42+'Staffing &amp; Payroll'!G38+'Staffing &amp; Payroll'!G43)/2</f>
        <v/>
      </c>
      <c r="G29" s="53">
        <f>('Staffing &amp; Payroll'!H30+'Staffing &amp; Payroll'!H42+'Staffing &amp; Payroll'!H38+'Staffing &amp; Payroll'!H43)/2</f>
        <v/>
      </c>
      <c r="H29" s="53">
        <f>('Staffing &amp; Payroll'!I30+'Staffing &amp; Payroll'!I42+'Staffing &amp; Payroll'!I38+'Staffing &amp; Payroll'!I43)/2</f>
        <v/>
      </c>
      <c r="I29" s="53">
        <f>('Staffing &amp; Payroll'!J30+'Staffing &amp; Payroll'!J42+'Staffing &amp; Payroll'!J38+'Staffing &amp; Payroll'!J43)/2</f>
        <v/>
      </c>
      <c r="J29" s="53">
        <f>('Staffing &amp; Payroll'!K30+'Staffing &amp; Payroll'!K42+'Staffing &amp; Payroll'!K38+'Staffing &amp; Payroll'!K43)/2</f>
        <v/>
      </c>
      <c r="K29" s="53">
        <f>('Staffing &amp; Payroll'!L30+'Staffing &amp; Payroll'!L42+'Staffing &amp; Payroll'!L38+'Staffing &amp; Payroll'!L43)/2</f>
        <v/>
      </c>
      <c r="L29" s="53">
        <f>('Staffing &amp; Payroll'!M30+'Staffing &amp; Payroll'!M42+'Staffing &amp; Payroll'!M38+'Staffing &amp; Payroll'!M43)/2</f>
        <v/>
      </c>
      <c r="M29" s="53">
        <f>('Staffing &amp; Payroll'!N30+'Staffing &amp; Payroll'!N42+'Staffing &amp; Payroll'!N38+'Staffing &amp; Payroll'!N43)/2</f>
        <v/>
      </c>
      <c r="N29" s="54">
        <f>(SUM('Staffing &amp; Payroll'!O30:R30)+SUM('Staffing &amp; Payroll'!O42:R42)+SUM('Staffing &amp; Payroll'!O38:R38)+SUM('Staffing &amp; Payroll'!O43:R43))/2</f>
        <v/>
      </c>
      <c r="O29" s="54">
        <f>(SUM('Staffing &amp; Payroll'!S30:V30)+SUM('Staffing &amp; Payroll'!S42:V42)+SUM('Staffing &amp; Payroll'!S38:V38)+SUM('Staffing &amp; Payroll'!S43:V43))/2</f>
        <v/>
      </c>
      <c r="P29" s="55">
        <f>SUM(B29:M29)+N29+O29</f>
        <v/>
      </c>
    </row>
    <row r="30">
      <c r="A30" s="57" t="inlineStr">
        <is>
          <t>Payroll YTD Adjustments</t>
        </is>
      </c>
      <c r="B30" s="53">
        <f>0</f>
        <v/>
      </c>
      <c r="C30" s="53">
        <f>0</f>
        <v/>
      </c>
      <c r="D30" s="53">
        <f>0</f>
        <v/>
      </c>
      <c r="E30" s="53">
        <f>0</f>
        <v/>
      </c>
      <c r="F30" s="53">
        <f>0</f>
        <v/>
      </c>
      <c r="G30" s="53">
        <f>0</f>
        <v/>
      </c>
      <c r="H30" s="53">
        <f>0</f>
        <v/>
      </c>
      <c r="I30" s="53">
        <f>0</f>
        <v/>
      </c>
      <c r="J30" s="53">
        <f>0</f>
        <v/>
      </c>
      <c r="K30" s="53">
        <f>0</f>
        <v/>
      </c>
      <c r="L30" s="53">
        <f>0</f>
        <v/>
      </c>
      <c r="M30" s="53">
        <f>0</f>
        <v/>
      </c>
      <c r="N30" s="54">
        <f>0</f>
        <v/>
      </c>
      <c r="O30" s="54">
        <f>0</f>
        <v/>
      </c>
      <c r="P30" s="55">
        <f>SUM(B30:M30)+N30+O30</f>
        <v/>
      </c>
    </row>
    <row r="31">
      <c r="A31" s="57" t="inlineStr">
        <is>
          <t>Employer Taxes (FUTA/SUI/FICA/WC)</t>
        </is>
      </c>
      <c r="B31" s="53">
        <f>'Staffing &amp; Payroll'!C48+'Staffing &amp; Payroll'!C49</f>
        <v/>
      </c>
      <c r="C31" s="53">
        <f>'Staffing &amp; Payroll'!D48+'Staffing &amp; Payroll'!D49</f>
        <v/>
      </c>
      <c r="D31" s="53">
        <f>'Staffing &amp; Payroll'!E48+'Staffing &amp; Payroll'!E49</f>
        <v/>
      </c>
      <c r="E31" s="53">
        <f>'Staffing &amp; Payroll'!F48+'Staffing &amp; Payroll'!F49</f>
        <v/>
      </c>
      <c r="F31" s="53">
        <f>'Staffing &amp; Payroll'!G48+'Staffing &amp; Payroll'!G49</f>
        <v/>
      </c>
      <c r="G31" s="53">
        <f>'Staffing &amp; Payroll'!H48+'Staffing &amp; Payroll'!H49</f>
        <v/>
      </c>
      <c r="H31" s="53">
        <f>'Staffing &amp; Payroll'!I48+'Staffing &amp; Payroll'!I49</f>
        <v/>
      </c>
      <c r="I31" s="53">
        <f>'Staffing &amp; Payroll'!J48+'Staffing &amp; Payroll'!J49</f>
        <v/>
      </c>
      <c r="J31" s="53">
        <f>'Staffing &amp; Payroll'!K48+'Staffing &amp; Payroll'!K49</f>
        <v/>
      </c>
      <c r="K31" s="53">
        <f>'Staffing &amp; Payroll'!L48+'Staffing &amp; Payroll'!L49</f>
        <v/>
      </c>
      <c r="L31" s="53">
        <f>'Staffing &amp; Payroll'!M48+'Staffing &amp; Payroll'!M49</f>
        <v/>
      </c>
      <c r="M31" s="53">
        <f>'Staffing &amp; Payroll'!N48+'Staffing &amp; Payroll'!N49</f>
        <v/>
      </c>
      <c r="N31" s="54">
        <f>SUM('Staffing &amp; Payroll'!O48:R48)+SUM('Staffing &amp; Payroll'!O49:R49)</f>
        <v/>
      </c>
      <c r="O31" s="54">
        <f>SUM('Staffing &amp; Payroll'!S48:V48)+SUM('Staffing &amp; Payroll'!S49:V49)</f>
        <v/>
      </c>
      <c r="P31" s="55">
        <f>SUM(B31:M31)+N31+O31</f>
        <v/>
      </c>
    </row>
    <row r="32">
      <c r="A32" s="57" t="inlineStr">
        <is>
          <t>Contract Labor</t>
        </is>
      </c>
      <c r="B32" s="53">
        <f>0</f>
        <v/>
      </c>
      <c r="C32" s="53">
        <f>0</f>
        <v/>
      </c>
      <c r="D32" s="53">
        <f>0</f>
        <v/>
      </c>
      <c r="E32" s="53">
        <f>0</f>
        <v/>
      </c>
      <c r="F32" s="53">
        <f>0</f>
        <v/>
      </c>
      <c r="G32" s="53">
        <f>0</f>
        <v/>
      </c>
      <c r="H32" s="53">
        <f>0</f>
        <v/>
      </c>
      <c r="I32" s="53">
        <f>0</f>
        <v/>
      </c>
      <c r="J32" s="53">
        <f>0</f>
        <v/>
      </c>
      <c r="K32" s="53">
        <f>0</f>
        <v/>
      </c>
      <c r="L32" s="53">
        <f>0</f>
        <v/>
      </c>
      <c r="M32" s="53">
        <f>0</f>
        <v/>
      </c>
      <c r="N32" s="54">
        <f>0</f>
        <v/>
      </c>
      <c r="O32" s="54">
        <f>0</f>
        <v/>
      </c>
      <c r="P32" s="55">
        <f>SUM(B32:M32)+N32+O32</f>
        <v/>
      </c>
    </row>
    <row r="33">
      <c r="A33" s="57" t="inlineStr">
        <is>
          <t>Medical Director</t>
        </is>
      </c>
      <c r="B33" s="53">
        <f>'Staffing &amp; Payroll'!C39</f>
        <v/>
      </c>
      <c r="C33" s="53">
        <f>'Staffing &amp; Payroll'!D39</f>
        <v/>
      </c>
      <c r="D33" s="53">
        <f>'Staffing &amp; Payroll'!E39</f>
        <v/>
      </c>
      <c r="E33" s="53">
        <f>'Staffing &amp; Payroll'!F39</f>
        <v/>
      </c>
      <c r="F33" s="53">
        <f>'Staffing &amp; Payroll'!G39</f>
        <v/>
      </c>
      <c r="G33" s="53">
        <f>'Staffing &amp; Payroll'!H39</f>
        <v/>
      </c>
      <c r="H33" s="53">
        <f>'Staffing &amp; Payroll'!I39</f>
        <v/>
      </c>
      <c r="I33" s="53">
        <f>'Staffing &amp; Payroll'!J39</f>
        <v/>
      </c>
      <c r="J33" s="53">
        <f>'Staffing &amp; Payroll'!K39</f>
        <v/>
      </c>
      <c r="K33" s="53">
        <f>'Staffing &amp; Payroll'!L39</f>
        <v/>
      </c>
      <c r="L33" s="53">
        <f>'Staffing &amp; Payroll'!M39</f>
        <v/>
      </c>
      <c r="M33" s="53">
        <f>'Staffing &amp; Payroll'!N39</f>
        <v/>
      </c>
      <c r="N33" s="54">
        <f>SUM('Staffing &amp; Payroll'!O39:R39)</f>
        <v/>
      </c>
      <c r="O33" s="54">
        <f>SUM('Staffing &amp; Payroll'!S39:V39)</f>
        <v/>
      </c>
      <c r="P33" s="55">
        <f>SUM(B33:M33)+N33+O33</f>
        <v/>
      </c>
    </row>
    <row r="34">
      <c r="A34" s="57" t="inlineStr">
        <is>
          <t>Medical Director 2</t>
        </is>
      </c>
      <c r="B34" s="53">
        <f>0</f>
        <v/>
      </c>
      <c r="C34" s="53">
        <f>0</f>
        <v/>
      </c>
      <c r="D34" s="53">
        <f>0</f>
        <v/>
      </c>
      <c r="E34" s="53">
        <f>0</f>
        <v/>
      </c>
      <c r="F34" s="53">
        <f>0</f>
        <v/>
      </c>
      <c r="G34" s="53">
        <f>0</f>
        <v/>
      </c>
      <c r="H34" s="53">
        <f>0</f>
        <v/>
      </c>
      <c r="I34" s="53">
        <f>0</f>
        <v/>
      </c>
      <c r="J34" s="53">
        <f>0</f>
        <v/>
      </c>
      <c r="K34" s="53">
        <f>0</f>
        <v/>
      </c>
      <c r="L34" s="53">
        <f>0</f>
        <v/>
      </c>
      <c r="M34" s="53">
        <f>0</f>
        <v/>
      </c>
      <c r="N34" s="54">
        <f>0</f>
        <v/>
      </c>
      <c r="O34" s="54">
        <f>0</f>
        <v/>
      </c>
      <c r="P34" s="55">
        <f>SUM(B34:M34)+N34+O34</f>
        <v/>
      </c>
    </row>
    <row r="35">
      <c r="A35" s="57" t="inlineStr">
        <is>
          <t>Intercompany Transfer</t>
        </is>
      </c>
      <c r="B35" s="53">
        <f>0</f>
        <v/>
      </c>
      <c r="C35" s="53">
        <f>0</f>
        <v/>
      </c>
      <c r="D35" s="53">
        <f>0</f>
        <v/>
      </c>
      <c r="E35" s="53">
        <f>0</f>
        <v/>
      </c>
      <c r="F35" s="53">
        <f>0</f>
        <v/>
      </c>
      <c r="G35" s="53">
        <f>0</f>
        <v/>
      </c>
      <c r="H35" s="53">
        <f>0</f>
        <v/>
      </c>
      <c r="I35" s="53">
        <f>0</f>
        <v/>
      </c>
      <c r="J35" s="53">
        <f>0</f>
        <v/>
      </c>
      <c r="K35" s="53">
        <f>0</f>
        <v/>
      </c>
      <c r="L35" s="53">
        <f>0</f>
        <v/>
      </c>
      <c r="M35" s="53">
        <f>0</f>
        <v/>
      </c>
      <c r="N35" s="54">
        <f>0</f>
        <v/>
      </c>
      <c r="O35" s="54">
        <f>0</f>
        <v/>
      </c>
      <c r="P35" s="55">
        <f>SUM(B35:M35)+N35+O35</f>
        <v/>
      </c>
    </row>
    <row r="36">
      <c r="A36" s="57" t="inlineStr">
        <is>
          <t>Staff Other (health insurance)</t>
        </is>
      </c>
      <c r="B36" s="53">
        <f>'Staffing &amp; Payroll'!C50+'Staffing &amp; Payroll'!C51</f>
        <v/>
      </c>
      <c r="C36" s="53">
        <f>'Staffing &amp; Payroll'!D50+'Staffing &amp; Payroll'!D51</f>
        <v/>
      </c>
      <c r="D36" s="53">
        <f>'Staffing &amp; Payroll'!E50+'Staffing &amp; Payroll'!E51</f>
        <v/>
      </c>
      <c r="E36" s="53">
        <f>'Staffing &amp; Payroll'!F50+'Staffing &amp; Payroll'!F51</f>
        <v/>
      </c>
      <c r="F36" s="53">
        <f>'Staffing &amp; Payroll'!G50+'Staffing &amp; Payroll'!G51</f>
        <v/>
      </c>
      <c r="G36" s="53">
        <f>'Staffing &amp; Payroll'!H50+'Staffing &amp; Payroll'!H51</f>
        <v/>
      </c>
      <c r="H36" s="53">
        <f>'Staffing &amp; Payroll'!I50+'Staffing &amp; Payroll'!I51</f>
        <v/>
      </c>
      <c r="I36" s="53">
        <f>'Staffing &amp; Payroll'!J50+'Staffing &amp; Payroll'!J51</f>
        <v/>
      </c>
      <c r="J36" s="53">
        <f>'Staffing &amp; Payroll'!K50+'Staffing &amp; Payroll'!K51</f>
        <v/>
      </c>
      <c r="K36" s="53">
        <f>'Staffing &amp; Payroll'!L50+'Staffing &amp; Payroll'!L51</f>
        <v/>
      </c>
      <c r="L36" s="53">
        <f>'Staffing &amp; Payroll'!M50+'Staffing &amp; Payroll'!M51</f>
        <v/>
      </c>
      <c r="M36" s="53">
        <f>'Staffing &amp; Payroll'!N50+'Staffing &amp; Payroll'!N51</f>
        <v/>
      </c>
      <c r="N36" s="54">
        <f>SUM('Staffing &amp; Payroll'!O50:R50)+SUM('Staffing &amp; Payroll'!O51:R51)</f>
        <v/>
      </c>
      <c r="O36" s="54">
        <f>SUM('Staffing &amp; Payroll'!S50:V50)+SUM('Staffing &amp; Payroll'!S51:V51)</f>
        <v/>
      </c>
      <c r="P36" s="55">
        <f>SUM(B36:M36)+N36+O36</f>
        <v/>
      </c>
    </row>
    <row r="37">
      <c r="A37" s="12" t="inlineStr">
        <is>
          <t>Total Payroll &amp; Related</t>
        </is>
      </c>
      <c r="B37" s="56">
        <f>SUM(B28:B36)</f>
        <v/>
      </c>
      <c r="C37" s="56">
        <f>SUM(C28:C36)</f>
        <v/>
      </c>
      <c r="D37" s="56">
        <f>SUM(D28:D36)</f>
        <v/>
      </c>
      <c r="E37" s="56">
        <f>SUM(E28:E36)</f>
        <v/>
      </c>
      <c r="F37" s="56">
        <f>SUM(F28:F36)</f>
        <v/>
      </c>
      <c r="G37" s="56">
        <f>SUM(G28:G36)</f>
        <v/>
      </c>
      <c r="H37" s="56">
        <f>SUM(H28:H36)</f>
        <v/>
      </c>
      <c r="I37" s="56">
        <f>SUM(I28:I36)</f>
        <v/>
      </c>
      <c r="J37" s="56">
        <f>SUM(J28:J36)</f>
        <v/>
      </c>
      <c r="K37" s="56">
        <f>SUM(K28:K36)</f>
        <v/>
      </c>
      <c r="L37" s="56">
        <f>SUM(L28:L36)</f>
        <v/>
      </c>
      <c r="M37" s="56">
        <f>SUM(M28:M36)</f>
        <v/>
      </c>
      <c r="N37" s="56">
        <f>SUM(N28:N36)</f>
        <v/>
      </c>
      <c r="O37" s="56">
        <f>SUM(O28:O36)</f>
        <v/>
      </c>
      <c r="P37" s="56">
        <f>SUM(P28:P36)</f>
        <v/>
      </c>
    </row>
    <row r="39">
      <c r="A39" s="12" t="inlineStr">
        <is>
          <t>General &amp; Administrative</t>
        </is>
      </c>
    </row>
    <row r="40">
      <c r="A40" s="57" t="inlineStr">
        <is>
          <t>Bank / Payroll Fees</t>
        </is>
      </c>
      <c r="B40" s="53">
        <f>Inputs!$B$101</f>
        <v/>
      </c>
      <c r="C40" s="53">
        <f>Inputs!$B$101</f>
        <v/>
      </c>
      <c r="D40" s="53">
        <f>Inputs!$B$101</f>
        <v/>
      </c>
      <c r="E40" s="53">
        <f>Inputs!$B$101</f>
        <v/>
      </c>
      <c r="F40" s="53">
        <f>Inputs!$B$101</f>
        <v/>
      </c>
      <c r="G40" s="53">
        <f>Inputs!$B$101</f>
        <v/>
      </c>
      <c r="H40" s="53">
        <f>Inputs!$B$101</f>
        <v/>
      </c>
      <c r="I40" s="53">
        <f>Inputs!$B$101</f>
        <v/>
      </c>
      <c r="J40" s="53">
        <f>Inputs!$B$101</f>
        <v/>
      </c>
      <c r="K40" s="53">
        <f>Inputs!$B$101</f>
        <v/>
      </c>
      <c r="L40" s="53">
        <f>Inputs!$B$101</f>
        <v/>
      </c>
      <c r="M40" s="53">
        <f>Inputs!$B$101</f>
        <v/>
      </c>
      <c r="N40" s="54">
        <f>Inputs!$B$101*12</f>
        <v/>
      </c>
      <c r="O40" s="54">
        <f>Inputs!$B$101*12</f>
        <v/>
      </c>
      <c r="P40" s="55">
        <f>SUM(B40:M40)+N40+O40</f>
        <v/>
      </c>
    </row>
    <row r="41">
      <c r="A41" s="57" t="inlineStr">
        <is>
          <t>Triple Net Rent</t>
        </is>
      </c>
      <c r="B41" s="53">
        <f>Inputs!$B$102</f>
        <v/>
      </c>
      <c r="C41" s="53">
        <f>Inputs!$B$102</f>
        <v/>
      </c>
      <c r="D41" s="53">
        <f>Inputs!$B$102</f>
        <v/>
      </c>
      <c r="E41" s="53">
        <f>Inputs!$B$102</f>
        <v/>
      </c>
      <c r="F41" s="53">
        <f>Inputs!$B$102</f>
        <v/>
      </c>
      <c r="G41" s="53">
        <f>Inputs!$B$102</f>
        <v/>
      </c>
      <c r="H41" s="53">
        <f>Inputs!$B$102</f>
        <v/>
      </c>
      <c r="I41" s="53">
        <f>Inputs!$B$102</f>
        <v/>
      </c>
      <c r="J41" s="53">
        <f>Inputs!$B$102</f>
        <v/>
      </c>
      <c r="K41" s="53">
        <f>Inputs!$B$102</f>
        <v/>
      </c>
      <c r="L41" s="53">
        <f>Inputs!$B$102</f>
        <v/>
      </c>
      <c r="M41" s="53">
        <f>Inputs!$B$102</f>
        <v/>
      </c>
      <c r="N41" s="54">
        <f>Inputs!$B$102*12</f>
        <v/>
      </c>
      <c r="O41" s="54">
        <f>Inputs!$B$102*12</f>
        <v/>
      </c>
      <c r="P41" s="55">
        <f>SUM(B41:M41)+N41+O41</f>
        <v/>
      </c>
    </row>
    <row r="42">
      <c r="A42" s="57" t="inlineStr">
        <is>
          <t>Utilities</t>
        </is>
      </c>
      <c r="B42" s="53">
        <f>Inputs!$B$91</f>
        <v/>
      </c>
      <c r="C42" s="53">
        <f>Inputs!$B$91</f>
        <v/>
      </c>
      <c r="D42" s="53">
        <f>Inputs!$B$91</f>
        <v/>
      </c>
      <c r="E42" s="53">
        <f>Inputs!$B$91</f>
        <v/>
      </c>
      <c r="F42" s="53">
        <f>Inputs!$B$91</f>
        <v/>
      </c>
      <c r="G42" s="53">
        <f>Inputs!$B$91</f>
        <v/>
      </c>
      <c r="H42" s="53">
        <f>Inputs!$B$91</f>
        <v/>
      </c>
      <c r="I42" s="53">
        <f>Inputs!$B$91</f>
        <v/>
      </c>
      <c r="J42" s="53">
        <f>Inputs!$B$91</f>
        <v/>
      </c>
      <c r="K42" s="53">
        <f>Inputs!$B$91</f>
        <v/>
      </c>
      <c r="L42" s="53">
        <f>Inputs!$B$91</f>
        <v/>
      </c>
      <c r="M42" s="53">
        <f>Inputs!$B$91</f>
        <v/>
      </c>
      <c r="N42" s="54">
        <f>Inputs!$B$91*12</f>
        <v/>
      </c>
      <c r="O42" s="54">
        <f>Inputs!$B$91*12</f>
        <v/>
      </c>
      <c r="P42" s="55">
        <f>SUM(B42:M42)+N42+O42</f>
        <v/>
      </c>
    </row>
    <row r="43">
      <c r="A43" s="57" t="inlineStr">
        <is>
          <t>Internet</t>
        </is>
      </c>
      <c r="B43" s="53">
        <f>Inputs!$B$92</f>
        <v/>
      </c>
      <c r="C43" s="53">
        <f>Inputs!$B$92</f>
        <v/>
      </c>
      <c r="D43" s="53">
        <f>Inputs!$B$92</f>
        <v/>
      </c>
      <c r="E43" s="53">
        <f>Inputs!$B$92</f>
        <v/>
      </c>
      <c r="F43" s="53">
        <f>Inputs!$B$92</f>
        <v/>
      </c>
      <c r="G43" s="53">
        <f>Inputs!$B$92</f>
        <v/>
      </c>
      <c r="H43" s="53">
        <f>Inputs!$B$92</f>
        <v/>
      </c>
      <c r="I43" s="53">
        <f>Inputs!$B$92</f>
        <v/>
      </c>
      <c r="J43" s="53">
        <f>Inputs!$B$92</f>
        <v/>
      </c>
      <c r="K43" s="53">
        <f>Inputs!$B$92</f>
        <v/>
      </c>
      <c r="L43" s="53">
        <f>Inputs!$B$92</f>
        <v/>
      </c>
      <c r="M43" s="53">
        <f>Inputs!$B$92</f>
        <v/>
      </c>
      <c r="N43" s="54">
        <f>Inputs!$B$92*12</f>
        <v/>
      </c>
      <c r="O43" s="54">
        <f>Inputs!$B$92*12</f>
        <v/>
      </c>
      <c r="P43" s="55">
        <f>SUM(B43:M43)+N43+O43</f>
        <v/>
      </c>
    </row>
    <row r="44">
      <c r="A44" s="57" t="inlineStr">
        <is>
          <t>Telephone / Fax</t>
        </is>
      </c>
      <c r="B44" s="53">
        <f>Inputs!$B$93</f>
        <v/>
      </c>
      <c r="C44" s="53">
        <f>Inputs!$B$93</f>
        <v/>
      </c>
      <c r="D44" s="53">
        <f>Inputs!$B$93</f>
        <v/>
      </c>
      <c r="E44" s="53">
        <f>Inputs!$B$93</f>
        <v/>
      </c>
      <c r="F44" s="53">
        <f>Inputs!$B$93</f>
        <v/>
      </c>
      <c r="G44" s="53">
        <f>Inputs!$B$93</f>
        <v/>
      </c>
      <c r="H44" s="53">
        <f>Inputs!$B$93</f>
        <v/>
      </c>
      <c r="I44" s="53">
        <f>Inputs!$B$93</f>
        <v/>
      </c>
      <c r="J44" s="53">
        <f>Inputs!$B$93</f>
        <v/>
      </c>
      <c r="K44" s="53">
        <f>Inputs!$B$93</f>
        <v/>
      </c>
      <c r="L44" s="53">
        <f>Inputs!$B$93</f>
        <v/>
      </c>
      <c r="M44" s="53">
        <f>Inputs!$B$93</f>
        <v/>
      </c>
      <c r="N44" s="54">
        <f>Inputs!$B$93*12</f>
        <v/>
      </c>
      <c r="O44" s="54">
        <f>Inputs!$B$93*12</f>
        <v/>
      </c>
      <c r="P44" s="55">
        <f>SUM(B44:M44)+N44+O44</f>
        <v/>
      </c>
    </row>
    <row r="45">
      <c r="A45" s="57" t="inlineStr">
        <is>
          <t>After Hours Messaging (BVTM)</t>
        </is>
      </c>
      <c r="B45" s="53">
        <f>Inputs!$B$94</f>
        <v/>
      </c>
      <c r="C45" s="53">
        <f>Inputs!$B$94</f>
        <v/>
      </c>
      <c r="D45" s="53">
        <f>Inputs!$B$94</f>
        <v/>
      </c>
      <c r="E45" s="53">
        <f>Inputs!$B$94</f>
        <v/>
      </c>
      <c r="F45" s="53">
        <f>Inputs!$B$94</f>
        <v/>
      </c>
      <c r="G45" s="53">
        <f>Inputs!$B$94</f>
        <v/>
      </c>
      <c r="H45" s="53">
        <f>Inputs!$B$94</f>
        <v/>
      </c>
      <c r="I45" s="53">
        <f>Inputs!$B$94</f>
        <v/>
      </c>
      <c r="J45" s="53">
        <f>Inputs!$B$94</f>
        <v/>
      </c>
      <c r="K45" s="53">
        <f>Inputs!$B$94</f>
        <v/>
      </c>
      <c r="L45" s="53">
        <f>Inputs!$B$94</f>
        <v/>
      </c>
      <c r="M45" s="53">
        <f>Inputs!$B$94</f>
        <v/>
      </c>
      <c r="N45" s="54">
        <f>Inputs!$B$94*12</f>
        <v/>
      </c>
      <c r="O45" s="54">
        <f>Inputs!$B$94*12</f>
        <v/>
      </c>
      <c r="P45" s="55">
        <f>SUM(B45:M45)+N45+O45</f>
        <v/>
      </c>
    </row>
    <row r="46">
      <c r="A46" s="57" t="inlineStr">
        <is>
          <t>CFO / AP Support</t>
        </is>
      </c>
      <c r="B46" s="53">
        <f>0</f>
        <v/>
      </c>
      <c r="C46" s="53">
        <f>0</f>
        <v/>
      </c>
      <c r="D46" s="53">
        <f>0</f>
        <v/>
      </c>
      <c r="E46" s="53">
        <f>0</f>
        <v/>
      </c>
      <c r="F46" s="53">
        <f>0</f>
        <v/>
      </c>
      <c r="G46" s="53">
        <f>0</f>
        <v/>
      </c>
      <c r="H46" s="53">
        <f>0</f>
        <v/>
      </c>
      <c r="I46" s="53">
        <f>0</f>
        <v/>
      </c>
      <c r="J46" s="53">
        <f>0</f>
        <v/>
      </c>
      <c r="K46" s="53">
        <f>0</f>
        <v/>
      </c>
      <c r="L46" s="53">
        <f>0</f>
        <v/>
      </c>
      <c r="M46" s="53">
        <f>0</f>
        <v/>
      </c>
      <c r="N46" s="54">
        <f>0</f>
        <v/>
      </c>
      <c r="O46" s="54">
        <f>0</f>
        <v/>
      </c>
      <c r="P46" s="55">
        <f>SUM(B46:M46)+N46+O46</f>
        <v/>
      </c>
    </row>
    <row r="47">
      <c r="A47" s="57" t="inlineStr">
        <is>
          <t>Support Services</t>
        </is>
      </c>
      <c r="B47" s="53">
        <f>0</f>
        <v/>
      </c>
      <c r="C47" s="53">
        <f>0</f>
        <v/>
      </c>
      <c r="D47" s="53">
        <f>0</f>
        <v/>
      </c>
      <c r="E47" s="53">
        <f>0</f>
        <v/>
      </c>
      <c r="F47" s="53">
        <f>0</f>
        <v/>
      </c>
      <c r="G47" s="53">
        <f>0</f>
        <v/>
      </c>
      <c r="H47" s="53">
        <f>0</f>
        <v/>
      </c>
      <c r="I47" s="53">
        <f>0</f>
        <v/>
      </c>
      <c r="J47" s="53">
        <f>0</f>
        <v/>
      </c>
      <c r="K47" s="53">
        <f>0</f>
        <v/>
      </c>
      <c r="L47" s="53">
        <f>0</f>
        <v/>
      </c>
      <c r="M47" s="53">
        <f>0</f>
        <v/>
      </c>
      <c r="N47" s="54">
        <f>0</f>
        <v/>
      </c>
      <c r="O47" s="54">
        <f>0</f>
        <v/>
      </c>
      <c r="P47" s="55">
        <f>SUM(B47:M47)+N47+O47</f>
        <v/>
      </c>
    </row>
    <row r="48">
      <c r="A48" s="57" t="inlineStr">
        <is>
          <t>Messaging / CRG Signer</t>
        </is>
      </c>
      <c r="B48" s="53">
        <f>0</f>
        <v/>
      </c>
      <c r="C48" s="53">
        <f>0</f>
        <v/>
      </c>
      <c r="D48" s="53">
        <f>0</f>
        <v/>
      </c>
      <c r="E48" s="53">
        <f>0</f>
        <v/>
      </c>
      <c r="F48" s="53">
        <f>0</f>
        <v/>
      </c>
      <c r="G48" s="53">
        <f>0</f>
        <v/>
      </c>
      <c r="H48" s="53">
        <f>0</f>
        <v/>
      </c>
      <c r="I48" s="53">
        <f>0</f>
        <v/>
      </c>
      <c r="J48" s="53">
        <f>0</f>
        <v/>
      </c>
      <c r="K48" s="53">
        <f>0</f>
        <v/>
      </c>
      <c r="L48" s="53">
        <f>0</f>
        <v/>
      </c>
      <c r="M48" s="53">
        <f>0</f>
        <v/>
      </c>
      <c r="N48" s="54">
        <f>0</f>
        <v/>
      </c>
      <c r="O48" s="54">
        <f>0</f>
        <v/>
      </c>
      <c r="P48" s="55">
        <f>SUM(B48:M48)+N48+O48</f>
        <v/>
      </c>
    </row>
    <row r="49">
      <c r="A49" s="57" t="inlineStr">
        <is>
          <t>NM Room &amp; Board</t>
        </is>
      </c>
      <c r="B49" s="53">
        <f>0</f>
        <v/>
      </c>
      <c r="C49" s="53">
        <f>0</f>
        <v/>
      </c>
      <c r="D49" s="53">
        <f>0</f>
        <v/>
      </c>
      <c r="E49" s="53">
        <f>0</f>
        <v/>
      </c>
      <c r="F49" s="53">
        <f>0</f>
        <v/>
      </c>
      <c r="G49" s="53">
        <f>0</f>
        <v/>
      </c>
      <c r="H49" s="53">
        <f>0</f>
        <v/>
      </c>
      <c r="I49" s="53">
        <f>0</f>
        <v/>
      </c>
      <c r="J49" s="53">
        <f>0</f>
        <v/>
      </c>
      <c r="K49" s="53">
        <f>0</f>
        <v/>
      </c>
      <c r="L49" s="53">
        <f>0</f>
        <v/>
      </c>
      <c r="M49" s="53">
        <f>0</f>
        <v/>
      </c>
      <c r="N49" s="54">
        <f>0</f>
        <v/>
      </c>
      <c r="O49" s="54">
        <f>0</f>
        <v/>
      </c>
      <c r="P49" s="55">
        <f>SUM(B49:M49)+N49+O49</f>
        <v/>
      </c>
    </row>
    <row r="50">
      <c r="A50" s="57" t="inlineStr">
        <is>
          <t>Corporate Labor</t>
        </is>
      </c>
      <c r="B50" s="53">
        <f>0</f>
        <v/>
      </c>
      <c r="C50" s="53">
        <f>0</f>
        <v/>
      </c>
      <c r="D50" s="53">
        <f>0</f>
        <v/>
      </c>
      <c r="E50" s="53">
        <f>0</f>
        <v/>
      </c>
      <c r="F50" s="53">
        <f>0</f>
        <v/>
      </c>
      <c r="G50" s="53">
        <f>0</f>
        <v/>
      </c>
      <c r="H50" s="53">
        <f>0</f>
        <v/>
      </c>
      <c r="I50" s="53">
        <f>0</f>
        <v/>
      </c>
      <c r="J50" s="53">
        <f>0</f>
        <v/>
      </c>
      <c r="K50" s="53">
        <f>0</f>
        <v/>
      </c>
      <c r="L50" s="53">
        <f>0</f>
        <v/>
      </c>
      <c r="M50" s="53">
        <f>0</f>
        <v/>
      </c>
      <c r="N50" s="54">
        <f>0</f>
        <v/>
      </c>
      <c r="O50" s="54">
        <f>0</f>
        <v/>
      </c>
      <c r="P50" s="55">
        <f>SUM(B50:M50)+N50+O50</f>
        <v/>
      </c>
    </row>
    <row r="51">
      <c r="A51" s="57" t="inlineStr">
        <is>
          <t>Marketing</t>
        </is>
      </c>
      <c r="B51" s="53">
        <f>Inputs!$B$103</f>
        <v/>
      </c>
      <c r="C51" s="53">
        <f>Inputs!$B$103</f>
        <v/>
      </c>
      <c r="D51" s="53">
        <f>Inputs!$B$103</f>
        <v/>
      </c>
      <c r="E51" s="53">
        <f>Inputs!$B$103</f>
        <v/>
      </c>
      <c r="F51" s="53">
        <f>Inputs!$B$103</f>
        <v/>
      </c>
      <c r="G51" s="53">
        <f>Inputs!$B$103</f>
        <v/>
      </c>
      <c r="H51" s="53">
        <f>Inputs!$B$103</f>
        <v/>
      </c>
      <c r="I51" s="53">
        <f>Inputs!$B$103</f>
        <v/>
      </c>
      <c r="J51" s="53">
        <f>Inputs!$B$103</f>
        <v/>
      </c>
      <c r="K51" s="53">
        <f>Inputs!$B$103</f>
        <v/>
      </c>
      <c r="L51" s="53">
        <f>Inputs!$B$103</f>
        <v/>
      </c>
      <c r="M51" s="53">
        <f>Inputs!$B$103</f>
        <v/>
      </c>
      <c r="N51" s="54">
        <f>Inputs!$B$103*12</f>
        <v/>
      </c>
      <c r="O51" s="54">
        <f>Inputs!$B$103*12</f>
        <v/>
      </c>
      <c r="P51" s="55">
        <f>SUM(B51:M51)+N51+O51</f>
        <v/>
      </c>
    </row>
    <row r="52">
      <c r="A52" s="57" t="inlineStr">
        <is>
          <t>Outsourced Billing Fee (1.5%)</t>
        </is>
      </c>
      <c r="B52" s="53">
        <f>'Revenue Model'!C14*Inputs!$B$106</f>
        <v/>
      </c>
      <c r="C52" s="53">
        <f>'Revenue Model'!D14*Inputs!$B$106</f>
        <v/>
      </c>
      <c r="D52" s="53">
        <f>'Revenue Model'!E14*Inputs!$B$106</f>
        <v/>
      </c>
      <c r="E52" s="53">
        <f>'Revenue Model'!F14*Inputs!$B$106</f>
        <v/>
      </c>
      <c r="F52" s="53">
        <f>'Revenue Model'!G14*Inputs!$B$106</f>
        <v/>
      </c>
      <c r="G52" s="53">
        <f>'Revenue Model'!H14*Inputs!$B$106</f>
        <v/>
      </c>
      <c r="H52" s="53">
        <f>'Revenue Model'!I14*Inputs!$B$106</f>
        <v/>
      </c>
      <c r="I52" s="53">
        <f>'Revenue Model'!J14*Inputs!$B$106</f>
        <v/>
      </c>
      <c r="J52" s="53">
        <f>'Revenue Model'!K14*Inputs!$B$106</f>
        <v/>
      </c>
      <c r="K52" s="53">
        <f>'Revenue Model'!L14*Inputs!$B$106</f>
        <v/>
      </c>
      <c r="L52" s="53">
        <f>'Revenue Model'!M14*Inputs!$B$106</f>
        <v/>
      </c>
      <c r="M52" s="53">
        <f>'Revenue Model'!N14*Inputs!$B$106</f>
        <v/>
      </c>
      <c r="N52" s="54">
        <f>SUM('Revenue Model'!O14:R14)*Inputs!$B$106</f>
        <v/>
      </c>
      <c r="O52" s="54">
        <f>SUM('Revenue Model'!S14:V14)*Inputs!$B$106</f>
        <v/>
      </c>
      <c r="P52" s="55">
        <f>SUM(B52:M52)+N52+O52</f>
        <v/>
      </c>
    </row>
    <row r="53">
      <c r="A53" s="57" t="inlineStr">
        <is>
          <t>EMR System</t>
        </is>
      </c>
      <c r="B53" s="53">
        <f>Inputs!$B$95</f>
        <v/>
      </c>
      <c r="C53" s="53">
        <f>Inputs!$B$95</f>
        <v/>
      </c>
      <c r="D53" s="53">
        <f>Inputs!$B$95</f>
        <v/>
      </c>
      <c r="E53" s="53">
        <f>Inputs!$B$95</f>
        <v/>
      </c>
      <c r="F53" s="53">
        <f>Inputs!$B$95</f>
        <v/>
      </c>
      <c r="G53" s="53">
        <f>Inputs!$B$95</f>
        <v/>
      </c>
      <c r="H53" s="53">
        <f>Inputs!$B$95</f>
        <v/>
      </c>
      <c r="I53" s="53">
        <f>Inputs!$B$95</f>
        <v/>
      </c>
      <c r="J53" s="53">
        <f>Inputs!$B$95</f>
        <v/>
      </c>
      <c r="K53" s="53">
        <f>Inputs!$B$95</f>
        <v/>
      </c>
      <c r="L53" s="53">
        <f>Inputs!$B$95</f>
        <v/>
      </c>
      <c r="M53" s="53">
        <f>Inputs!$B$95</f>
        <v/>
      </c>
      <c r="N53" s="54">
        <f>Inputs!$B$95*12</f>
        <v/>
      </c>
      <c r="O53" s="54">
        <f>Inputs!$B$95*12</f>
        <v/>
      </c>
      <c r="P53" s="55">
        <f>SUM(B53:M53)+N53+O53</f>
        <v/>
      </c>
    </row>
    <row r="54">
      <c r="A54" s="57" t="inlineStr">
        <is>
          <t>Other EMR</t>
        </is>
      </c>
      <c r="B54" s="53">
        <f>0</f>
        <v/>
      </c>
      <c r="C54" s="53">
        <f>0</f>
        <v/>
      </c>
      <c r="D54" s="53">
        <f>0</f>
        <v/>
      </c>
      <c r="E54" s="53">
        <f>0</f>
        <v/>
      </c>
      <c r="F54" s="53">
        <f>0</f>
        <v/>
      </c>
      <c r="G54" s="53">
        <f>0</f>
        <v/>
      </c>
      <c r="H54" s="53">
        <f>0</f>
        <v/>
      </c>
      <c r="I54" s="53">
        <f>0</f>
        <v/>
      </c>
      <c r="J54" s="53">
        <f>0</f>
        <v/>
      </c>
      <c r="K54" s="53">
        <f>0</f>
        <v/>
      </c>
      <c r="L54" s="53">
        <f>0</f>
        <v/>
      </c>
      <c r="M54" s="53">
        <f>0</f>
        <v/>
      </c>
      <c r="N54" s="54">
        <f>0</f>
        <v/>
      </c>
      <c r="O54" s="54">
        <f>0</f>
        <v/>
      </c>
      <c r="P54" s="55">
        <f>SUM(B54:M54)+N54+O54</f>
        <v/>
      </c>
    </row>
    <row r="55">
      <c r="A55" s="57" t="inlineStr">
        <is>
          <t>PCR (CPM)</t>
        </is>
      </c>
      <c r="B55" s="53">
        <f>Inputs!$B$96</f>
        <v/>
      </c>
      <c r="C55" s="53">
        <f>Inputs!$B$96</f>
        <v/>
      </c>
      <c r="D55" s="53">
        <f>Inputs!$B$96</f>
        <v/>
      </c>
      <c r="E55" s="53">
        <f>Inputs!$B$96</f>
        <v/>
      </c>
      <c r="F55" s="53">
        <f>Inputs!$B$96</f>
        <v/>
      </c>
      <c r="G55" s="53">
        <f>Inputs!$B$96</f>
        <v/>
      </c>
      <c r="H55" s="53">
        <f>Inputs!$B$96</f>
        <v/>
      </c>
      <c r="I55" s="53">
        <f>Inputs!$B$96</f>
        <v/>
      </c>
      <c r="J55" s="53">
        <f>Inputs!$B$96</f>
        <v/>
      </c>
      <c r="K55" s="53">
        <f>Inputs!$B$96</f>
        <v/>
      </c>
      <c r="L55" s="53">
        <f>Inputs!$B$96</f>
        <v/>
      </c>
      <c r="M55" s="53">
        <f>Inputs!$B$96</f>
        <v/>
      </c>
      <c r="N55" s="54">
        <f>Inputs!$B$96*12</f>
        <v/>
      </c>
      <c r="O55" s="54">
        <f>Inputs!$B$96*12</f>
        <v/>
      </c>
      <c r="P55" s="55">
        <f>SUM(B55:M55)+N55+O55</f>
        <v/>
      </c>
    </row>
    <row r="56">
      <c r="A56" s="57" t="inlineStr">
        <is>
          <t>Ancillary</t>
        </is>
      </c>
      <c r="B56" s="53">
        <f>0</f>
        <v/>
      </c>
      <c r="C56" s="53">
        <f>0</f>
        <v/>
      </c>
      <c r="D56" s="53">
        <f>0</f>
        <v/>
      </c>
      <c r="E56" s="53">
        <f>0</f>
        <v/>
      </c>
      <c r="F56" s="53">
        <f>0</f>
        <v/>
      </c>
      <c r="G56" s="53">
        <f>0</f>
        <v/>
      </c>
      <c r="H56" s="53">
        <f>0</f>
        <v/>
      </c>
      <c r="I56" s="53">
        <f>0</f>
        <v/>
      </c>
      <c r="J56" s="53">
        <f>0</f>
        <v/>
      </c>
      <c r="K56" s="53">
        <f>0</f>
        <v/>
      </c>
      <c r="L56" s="53">
        <f>0</f>
        <v/>
      </c>
      <c r="M56" s="53">
        <f>0</f>
        <v/>
      </c>
      <c r="N56" s="54">
        <f>0</f>
        <v/>
      </c>
      <c r="O56" s="54">
        <f>0</f>
        <v/>
      </c>
      <c r="P56" s="55">
        <f>SUM(B56:M56)+N56+O56</f>
        <v/>
      </c>
    </row>
    <row r="57">
      <c r="A57" s="57" t="inlineStr">
        <is>
          <t>Liability Insurance (D&amp;O)</t>
        </is>
      </c>
      <c r="B57" s="53">
        <f>Inputs!$B$98</f>
        <v/>
      </c>
      <c r="C57" s="53">
        <f>Inputs!$B$98</f>
        <v/>
      </c>
      <c r="D57" s="53">
        <f>Inputs!$B$98</f>
        <v/>
      </c>
      <c r="E57" s="53">
        <f>Inputs!$B$98</f>
        <v/>
      </c>
      <c r="F57" s="53">
        <f>Inputs!$B$98</f>
        <v/>
      </c>
      <c r="G57" s="53">
        <f>Inputs!$B$98</f>
        <v/>
      </c>
      <c r="H57" s="53">
        <f>Inputs!$B$98</f>
        <v/>
      </c>
      <c r="I57" s="53">
        <f>Inputs!$B$98</f>
        <v/>
      </c>
      <c r="J57" s="53">
        <f>Inputs!$B$98</f>
        <v/>
      </c>
      <c r="K57" s="53">
        <f>Inputs!$B$98</f>
        <v/>
      </c>
      <c r="L57" s="53">
        <f>Inputs!$B$98</f>
        <v/>
      </c>
      <c r="M57" s="53">
        <f>Inputs!$B$98</f>
        <v/>
      </c>
      <c r="N57" s="54">
        <f>Inputs!$B$98*12</f>
        <v/>
      </c>
      <c r="O57" s="54">
        <f>Inputs!$B$98*12</f>
        <v/>
      </c>
      <c r="P57" s="55">
        <f>SUM(B57:M57)+N57+O57</f>
        <v/>
      </c>
    </row>
    <row r="58">
      <c r="A58" s="57" t="inlineStr">
        <is>
          <t>QR Payment Fee (0.75%)</t>
        </is>
      </c>
      <c r="B58" s="53">
        <f>'Revenue Model'!C14*Inputs!$B$107</f>
        <v/>
      </c>
      <c r="C58" s="53">
        <f>'Revenue Model'!D14*Inputs!$B$107</f>
        <v/>
      </c>
      <c r="D58" s="53">
        <f>'Revenue Model'!E14*Inputs!$B$107</f>
        <v/>
      </c>
      <c r="E58" s="53">
        <f>'Revenue Model'!F14*Inputs!$B$107</f>
        <v/>
      </c>
      <c r="F58" s="53">
        <f>'Revenue Model'!G14*Inputs!$B$107</f>
        <v/>
      </c>
      <c r="G58" s="53">
        <f>'Revenue Model'!H14*Inputs!$B$107</f>
        <v/>
      </c>
      <c r="H58" s="53">
        <f>'Revenue Model'!I14*Inputs!$B$107</f>
        <v/>
      </c>
      <c r="I58" s="53">
        <f>'Revenue Model'!J14*Inputs!$B$107</f>
        <v/>
      </c>
      <c r="J58" s="53">
        <f>'Revenue Model'!K14*Inputs!$B$107</f>
        <v/>
      </c>
      <c r="K58" s="53">
        <f>'Revenue Model'!L14*Inputs!$B$107</f>
        <v/>
      </c>
      <c r="L58" s="53">
        <f>'Revenue Model'!M14*Inputs!$B$107</f>
        <v/>
      </c>
      <c r="M58" s="53">
        <f>'Revenue Model'!N14*Inputs!$B$107</f>
        <v/>
      </c>
      <c r="N58" s="54">
        <f>SUM('Revenue Model'!O14:R14)*Inputs!$B$107</f>
        <v/>
      </c>
      <c r="O58" s="54">
        <f>SUM('Revenue Model'!S14:V14)*Inputs!$B$107</f>
        <v/>
      </c>
      <c r="P58" s="55">
        <f>SUM(B58:M58)+N58+O58</f>
        <v/>
      </c>
    </row>
    <row r="59">
      <c r="A59" s="57" t="inlineStr">
        <is>
          <t>Training / CEUs</t>
        </is>
      </c>
      <c r="B59" s="53">
        <f>Inputs!$B$99</f>
        <v/>
      </c>
      <c r="C59" s="53">
        <f>Inputs!$B$99</f>
        <v/>
      </c>
      <c r="D59" s="53">
        <f>Inputs!$B$99</f>
        <v/>
      </c>
      <c r="E59" s="53">
        <f>Inputs!$B$99</f>
        <v/>
      </c>
      <c r="F59" s="53">
        <f>Inputs!$B$99</f>
        <v/>
      </c>
      <c r="G59" s="53">
        <f>Inputs!$B$99</f>
        <v/>
      </c>
      <c r="H59" s="53">
        <f>Inputs!$B$99</f>
        <v/>
      </c>
      <c r="I59" s="53">
        <f>Inputs!$B$99</f>
        <v/>
      </c>
      <c r="J59" s="53">
        <f>Inputs!$B$99</f>
        <v/>
      </c>
      <c r="K59" s="53">
        <f>Inputs!$B$99</f>
        <v/>
      </c>
      <c r="L59" s="53">
        <f>Inputs!$B$99</f>
        <v/>
      </c>
      <c r="M59" s="53">
        <f>Inputs!$B$99</f>
        <v/>
      </c>
      <c r="N59" s="54">
        <f>Inputs!$B$99*12</f>
        <v/>
      </c>
      <c r="O59" s="54">
        <f>Inputs!$B$99*12</f>
        <v/>
      </c>
      <c r="P59" s="55">
        <f>SUM(B59:M59)+N59+O59</f>
        <v/>
      </c>
    </row>
    <row r="60">
      <c r="A60" s="57" t="inlineStr">
        <is>
          <t>Credit Card Fees</t>
        </is>
      </c>
      <c r="B60" s="53">
        <f>Inputs!$B$97</f>
        <v/>
      </c>
      <c r="C60" s="53">
        <f>Inputs!$B$97</f>
        <v/>
      </c>
      <c r="D60" s="53">
        <f>Inputs!$B$97</f>
        <v/>
      </c>
      <c r="E60" s="53">
        <f>Inputs!$B$97</f>
        <v/>
      </c>
      <c r="F60" s="53">
        <f>Inputs!$B$97</f>
        <v/>
      </c>
      <c r="G60" s="53">
        <f>Inputs!$B$97</f>
        <v/>
      </c>
      <c r="H60" s="53">
        <f>Inputs!$B$97</f>
        <v/>
      </c>
      <c r="I60" s="53">
        <f>Inputs!$B$97</f>
        <v/>
      </c>
      <c r="J60" s="53">
        <f>Inputs!$B$97</f>
        <v/>
      </c>
      <c r="K60" s="53">
        <f>Inputs!$B$97</f>
        <v/>
      </c>
      <c r="L60" s="53">
        <f>Inputs!$B$97</f>
        <v/>
      </c>
      <c r="M60" s="53">
        <f>Inputs!$B$97</f>
        <v/>
      </c>
      <c r="N60" s="54">
        <f>Inputs!$B$97*12</f>
        <v/>
      </c>
      <c r="O60" s="54">
        <f>Inputs!$B$97*12</f>
        <v/>
      </c>
      <c r="P60" s="55">
        <f>SUM(B60:M60)+N60+O60</f>
        <v/>
      </c>
    </row>
    <row r="61">
      <c r="A61" s="57" t="inlineStr">
        <is>
          <t>Other (QPf)</t>
        </is>
      </c>
      <c r="B61" s="53">
        <f>0</f>
        <v/>
      </c>
      <c r="C61" s="53">
        <f>0</f>
        <v/>
      </c>
      <c r="D61" s="53">
        <f>0</f>
        <v/>
      </c>
      <c r="E61" s="53">
        <f>0</f>
        <v/>
      </c>
      <c r="F61" s="53">
        <f>0</f>
        <v/>
      </c>
      <c r="G61" s="53">
        <f>0</f>
        <v/>
      </c>
      <c r="H61" s="53">
        <f>0</f>
        <v/>
      </c>
      <c r="I61" s="53">
        <f>0</f>
        <v/>
      </c>
      <c r="J61" s="53">
        <f>0</f>
        <v/>
      </c>
      <c r="K61" s="53">
        <f>0</f>
        <v/>
      </c>
      <c r="L61" s="53">
        <f>0</f>
        <v/>
      </c>
      <c r="M61" s="53">
        <f>0</f>
        <v/>
      </c>
      <c r="N61" s="54">
        <f>0</f>
        <v/>
      </c>
      <c r="O61" s="54">
        <f>0</f>
        <v/>
      </c>
      <c r="P61" s="55">
        <f>SUM(B61:M61)+N61+O61</f>
        <v/>
      </c>
    </row>
    <row r="62">
      <c r="A62" s="57" t="inlineStr">
        <is>
          <t>Other (Client)</t>
        </is>
      </c>
      <c r="B62" s="53">
        <f>Inputs!$B$100</f>
        <v/>
      </c>
      <c r="C62" s="53">
        <f>Inputs!$B$100</f>
        <v/>
      </c>
      <c r="D62" s="53">
        <f>Inputs!$B$100</f>
        <v/>
      </c>
      <c r="E62" s="53">
        <f>Inputs!$B$100</f>
        <v/>
      </c>
      <c r="F62" s="53">
        <f>Inputs!$B$100</f>
        <v/>
      </c>
      <c r="G62" s="53">
        <f>Inputs!$B$100</f>
        <v/>
      </c>
      <c r="H62" s="53">
        <f>Inputs!$B$100</f>
        <v/>
      </c>
      <c r="I62" s="53">
        <f>Inputs!$B$100</f>
        <v/>
      </c>
      <c r="J62" s="53">
        <f>Inputs!$B$100</f>
        <v/>
      </c>
      <c r="K62" s="53">
        <f>Inputs!$B$100</f>
        <v/>
      </c>
      <c r="L62" s="53">
        <f>Inputs!$B$100</f>
        <v/>
      </c>
      <c r="M62" s="53">
        <f>Inputs!$B$100</f>
        <v/>
      </c>
      <c r="N62" s="54">
        <f>Inputs!$B$100*12</f>
        <v/>
      </c>
      <c r="O62" s="54">
        <f>Inputs!$B$100*12</f>
        <v/>
      </c>
      <c r="P62" s="55">
        <f>SUM(B62:M62)+N62+O62</f>
        <v/>
      </c>
    </row>
    <row r="63">
      <c r="A63" s="12" t="inlineStr">
        <is>
          <t>Total General &amp; Administrative</t>
        </is>
      </c>
      <c r="B63" s="56">
        <f>SUM(B40:B62)</f>
        <v/>
      </c>
      <c r="C63" s="56">
        <f>SUM(C40:C62)</f>
        <v/>
      </c>
      <c r="D63" s="56">
        <f>SUM(D40:D62)</f>
        <v/>
      </c>
      <c r="E63" s="56">
        <f>SUM(E40:E62)</f>
        <v/>
      </c>
      <c r="F63" s="56">
        <f>SUM(F40:F62)</f>
        <v/>
      </c>
      <c r="G63" s="56">
        <f>SUM(G40:G62)</f>
        <v/>
      </c>
      <c r="H63" s="56">
        <f>SUM(H40:H62)</f>
        <v/>
      </c>
      <c r="I63" s="56">
        <f>SUM(I40:I62)</f>
        <v/>
      </c>
      <c r="J63" s="56">
        <f>SUM(J40:J62)</f>
        <v/>
      </c>
      <c r="K63" s="56">
        <f>SUM(K40:K62)</f>
        <v/>
      </c>
      <c r="L63" s="56">
        <f>SUM(L40:L62)</f>
        <v/>
      </c>
      <c r="M63" s="56">
        <f>SUM(M40:M62)</f>
        <v/>
      </c>
      <c r="N63" s="56">
        <f>SUM(N40:N62)</f>
        <v/>
      </c>
      <c r="O63" s="56">
        <f>SUM(O40:O62)</f>
        <v/>
      </c>
      <c r="P63" s="56">
        <f>SUM(P40:P62)</f>
        <v/>
      </c>
    </row>
    <row r="65">
      <c r="A65" s="31" t="inlineStr">
        <is>
          <t>Total Operating Expenses</t>
        </is>
      </c>
      <c r="B65" s="56">
        <f>B37+B63</f>
        <v/>
      </c>
      <c r="C65" s="56">
        <f>C37+C63</f>
        <v/>
      </c>
      <c r="D65" s="56">
        <f>D37+D63</f>
        <v/>
      </c>
      <c r="E65" s="56">
        <f>E37+E63</f>
        <v/>
      </c>
      <c r="F65" s="56">
        <f>F37+F63</f>
        <v/>
      </c>
      <c r="G65" s="56">
        <f>G37+G63</f>
        <v/>
      </c>
      <c r="H65" s="56">
        <f>H37+H63</f>
        <v/>
      </c>
      <c r="I65" s="56">
        <f>I37+I63</f>
        <v/>
      </c>
      <c r="J65" s="56">
        <f>J37+J63</f>
        <v/>
      </c>
      <c r="K65" s="56">
        <f>K37+K63</f>
        <v/>
      </c>
      <c r="L65" s="56">
        <f>L37+L63</f>
        <v/>
      </c>
      <c r="M65" s="56">
        <f>M37+M63</f>
        <v/>
      </c>
      <c r="N65" s="56">
        <f>N37+N63</f>
        <v/>
      </c>
      <c r="O65" s="56">
        <f>O37+O63</f>
        <v/>
      </c>
      <c r="P65" s="56">
        <f>P37+P63</f>
        <v/>
      </c>
    </row>
    <row r="67">
      <c r="A67" s="31" t="inlineStr">
        <is>
          <t>Net Income</t>
        </is>
      </c>
      <c r="B67" s="58">
        <f>B24-B65</f>
        <v/>
      </c>
      <c r="C67" s="58">
        <f>C24-C65</f>
        <v/>
      </c>
      <c r="D67" s="58">
        <f>D24-D65</f>
        <v/>
      </c>
      <c r="E67" s="58">
        <f>E24-E65</f>
        <v/>
      </c>
      <c r="F67" s="58">
        <f>F24-F65</f>
        <v/>
      </c>
      <c r="G67" s="58">
        <f>G24-G65</f>
        <v/>
      </c>
      <c r="H67" s="58">
        <f>H24-H65</f>
        <v/>
      </c>
      <c r="I67" s="58">
        <f>I24-I65</f>
        <v/>
      </c>
      <c r="J67" s="58">
        <f>J24-J65</f>
        <v/>
      </c>
      <c r="K67" s="58">
        <f>K24-K65</f>
        <v/>
      </c>
      <c r="L67" s="58">
        <f>L24-L65</f>
        <v/>
      </c>
      <c r="M67" s="58">
        <f>M24-M65</f>
        <v/>
      </c>
      <c r="N67" s="58">
        <f>N24-N65</f>
        <v/>
      </c>
      <c r="O67" s="58">
        <f>O24-O65</f>
        <v/>
      </c>
      <c r="P67" s="58">
        <f>P24-P65</f>
        <v/>
      </c>
    </row>
    <row r="69">
      <c r="A69" s="12" t="inlineStr">
        <is>
          <t>Net Margin %</t>
        </is>
      </c>
      <c r="B69" s="59">
        <f>IF(B12=0,0,B67/B12)</f>
        <v/>
      </c>
      <c r="C69" s="59">
        <f>IF(C12=0,0,C67/C12)</f>
        <v/>
      </c>
      <c r="D69" s="59">
        <f>IF(D12=0,0,D67/D12)</f>
        <v/>
      </c>
      <c r="E69" s="59">
        <f>IF(E12=0,0,E67/E12)</f>
        <v/>
      </c>
      <c r="F69" s="59">
        <f>IF(F12=0,0,F67/F12)</f>
        <v/>
      </c>
      <c r="G69" s="59">
        <f>IF(G12=0,0,G67/G12)</f>
        <v/>
      </c>
      <c r="H69" s="59">
        <f>IF(H12=0,0,H67/H12)</f>
        <v/>
      </c>
      <c r="I69" s="59">
        <f>IF(I12=0,0,I67/I12)</f>
        <v/>
      </c>
      <c r="J69" s="59">
        <f>IF(J12=0,0,J67/J12)</f>
        <v/>
      </c>
      <c r="K69" s="59">
        <f>IF(K12=0,0,K67/K12)</f>
        <v/>
      </c>
      <c r="L69" s="59">
        <f>IF(L12=0,0,L67/L12)</f>
        <v/>
      </c>
      <c r="M69" s="59">
        <f>IF(M12=0,0,M67/M12)</f>
        <v/>
      </c>
      <c r="N69" s="59">
        <f>IF(N12=0,0,N67/N12)</f>
        <v/>
      </c>
      <c r="O69" s="59">
        <f>IF(O12=0,0,O67/O12)</f>
        <v/>
      </c>
      <c r="P69" s="59">
        <f>IF(P12=0,0,P67/P12)</f>
        <v/>
      </c>
    </row>
    <row r="71">
      <c r="A71" s="36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V2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Debt Schedule - SBA 7(a) + Hickory license seller note | Combined DSCR shown (target &gt;= 1.25x)</t>
        </is>
      </c>
    </row>
    <row r="4">
      <c r="A4" s="3" t="inlineStr">
        <is>
          <t>LOAN TERMS (from Inputs)</t>
        </is>
      </c>
    </row>
    <row r="5">
      <c r="A5" s="4" t="inlineStr">
        <is>
          <t>SBA monthly payment (PMT)</t>
        </is>
      </c>
      <c r="B5" s="24">
        <f>PMT(Inputs!$B$111/12,Inputs!$B$112,-Inputs!$B$110)</f>
        <v/>
      </c>
    </row>
    <row r="6">
      <c r="A6" s="4" t="inlineStr">
        <is>
          <t>License note monthly payment (PMT)</t>
        </is>
      </c>
      <c r="B6" s="24">
        <f>PMT(Inputs!$B$121/12,Inputs!$B$122,-Inputs!$B$120)</f>
        <v/>
      </c>
    </row>
    <row r="8">
      <c r="A8" s="44" t="inlineStr">
        <is>
          <t>($ per period)</t>
        </is>
      </c>
      <c r="C8" s="45" t="inlineStr">
        <is>
          <t>YEAR 1 - monthly</t>
        </is>
      </c>
      <c r="O8" s="45" t="inlineStr">
        <is>
          <t>YEAR 2 - quarterly</t>
        </is>
      </c>
      <c r="S8" s="45" t="inlineStr">
        <is>
          <t>YEAR 3 - quarterly</t>
        </is>
      </c>
    </row>
    <row r="9">
      <c r="A9" s="46" t="inlineStr"/>
      <c r="C9" s="32" t="inlineStr">
        <is>
          <t>M1</t>
        </is>
      </c>
      <c r="D9" s="32" t="inlineStr">
        <is>
          <t>M2</t>
        </is>
      </c>
      <c r="E9" s="32" t="inlineStr">
        <is>
          <t>M3</t>
        </is>
      </c>
      <c r="F9" s="32" t="inlineStr">
        <is>
          <t>M4</t>
        </is>
      </c>
      <c r="G9" s="32" t="inlineStr">
        <is>
          <t>M5</t>
        </is>
      </c>
      <c r="H9" s="32" t="inlineStr">
        <is>
          <t>M6</t>
        </is>
      </c>
      <c r="I9" s="32" t="inlineStr">
        <is>
          <t>M7</t>
        </is>
      </c>
      <c r="J9" s="32" t="inlineStr">
        <is>
          <t>M8</t>
        </is>
      </c>
      <c r="K9" s="32" t="inlineStr">
        <is>
          <t>M9</t>
        </is>
      </c>
      <c r="L9" s="32" t="inlineStr">
        <is>
          <t>M10</t>
        </is>
      </c>
      <c r="M9" s="32" t="inlineStr">
        <is>
          <t>M11</t>
        </is>
      </c>
      <c r="N9" s="32" t="inlineStr">
        <is>
          <t>M12</t>
        </is>
      </c>
      <c r="O9" s="32" t="inlineStr">
        <is>
          <t>Y2 Q1</t>
        </is>
      </c>
      <c r="P9" s="32" t="inlineStr">
        <is>
          <t>Y2 Q2</t>
        </is>
      </c>
      <c r="Q9" s="32" t="inlineStr">
        <is>
          <t>Y2 Q3</t>
        </is>
      </c>
      <c r="R9" s="32" t="inlineStr">
        <is>
          <t>Y2 Q4</t>
        </is>
      </c>
      <c r="S9" s="32" t="inlineStr">
        <is>
          <t>Y3 Q1</t>
        </is>
      </c>
      <c r="T9" s="32" t="inlineStr">
        <is>
          <t>Y3 Q2</t>
        </is>
      </c>
      <c r="U9" s="32" t="inlineStr">
        <is>
          <t>Y3 Q3</t>
        </is>
      </c>
      <c r="V9" s="32" t="inlineStr">
        <is>
          <t>Y3 Q4</t>
        </is>
      </c>
    </row>
    <row r="10">
      <c r="A10" s="3" t="inlineStr">
        <is>
          <t>SBA 7(a) LOAN</t>
        </is>
      </c>
    </row>
    <row r="11">
      <c r="A11" s="20" t="inlineStr">
        <is>
          <t>Beginning balance</t>
        </is>
      </c>
      <c r="C11" s="33">
        <f>Inputs!$B$110</f>
        <v/>
      </c>
      <c r="D11" s="24">
        <f>C15</f>
        <v/>
      </c>
      <c r="E11" s="24">
        <f>D15</f>
        <v/>
      </c>
      <c r="F11" s="24">
        <f>E15</f>
        <v/>
      </c>
      <c r="G11" s="24">
        <f>F15</f>
        <v/>
      </c>
      <c r="H11" s="24">
        <f>G15</f>
        <v/>
      </c>
      <c r="I11" s="24">
        <f>H15</f>
        <v/>
      </c>
      <c r="J11" s="24">
        <f>I15</f>
        <v/>
      </c>
      <c r="K11" s="24">
        <f>J15</f>
        <v/>
      </c>
      <c r="L11" s="24">
        <f>K15</f>
        <v/>
      </c>
      <c r="M11" s="24">
        <f>L15</f>
        <v/>
      </c>
      <c r="N11" s="24">
        <f>M15</f>
        <v/>
      </c>
      <c r="O11" s="24">
        <f>N15</f>
        <v/>
      </c>
      <c r="P11" s="24">
        <f>O15</f>
        <v/>
      </c>
      <c r="Q11" s="24">
        <f>P15</f>
        <v/>
      </c>
      <c r="R11" s="24">
        <f>Q15</f>
        <v/>
      </c>
      <c r="S11" s="24">
        <f>R15</f>
        <v/>
      </c>
      <c r="T11" s="24">
        <f>S15</f>
        <v/>
      </c>
      <c r="U11" s="24">
        <f>T15</f>
        <v/>
      </c>
      <c r="V11" s="24">
        <f>U15</f>
        <v/>
      </c>
    </row>
    <row r="12">
      <c r="A12" s="4" t="inlineStr">
        <is>
          <t>Payment</t>
        </is>
      </c>
      <c r="C12" s="24">
        <f>'Debt Schedule'!$B$5*1</f>
        <v/>
      </c>
      <c r="D12" s="24">
        <f>'Debt Schedule'!$B$5*1</f>
        <v/>
      </c>
      <c r="E12" s="24">
        <f>'Debt Schedule'!$B$5*1</f>
        <v/>
      </c>
      <c r="F12" s="24">
        <f>'Debt Schedule'!$B$5*1</f>
        <v/>
      </c>
      <c r="G12" s="24">
        <f>'Debt Schedule'!$B$5*1</f>
        <v/>
      </c>
      <c r="H12" s="24">
        <f>'Debt Schedule'!$B$5*1</f>
        <v/>
      </c>
      <c r="I12" s="24">
        <f>'Debt Schedule'!$B$5*1</f>
        <v/>
      </c>
      <c r="J12" s="24">
        <f>'Debt Schedule'!$B$5*1</f>
        <v/>
      </c>
      <c r="K12" s="24">
        <f>'Debt Schedule'!$B$5*1</f>
        <v/>
      </c>
      <c r="L12" s="24">
        <f>'Debt Schedule'!$B$5*1</f>
        <v/>
      </c>
      <c r="M12" s="24">
        <f>'Debt Schedule'!$B$5*1</f>
        <v/>
      </c>
      <c r="N12" s="24">
        <f>'Debt Schedule'!$B$5*1</f>
        <v/>
      </c>
      <c r="O12" s="24">
        <f>'Debt Schedule'!$B$5*3</f>
        <v/>
      </c>
      <c r="P12" s="24">
        <f>'Debt Schedule'!$B$5*3</f>
        <v/>
      </c>
      <c r="Q12" s="24">
        <f>'Debt Schedule'!$B$5*3</f>
        <v/>
      </c>
      <c r="R12" s="24">
        <f>'Debt Schedule'!$B$5*3</f>
        <v/>
      </c>
      <c r="S12" s="24">
        <f>'Debt Schedule'!$B$5*3</f>
        <v/>
      </c>
      <c r="T12" s="24">
        <f>'Debt Schedule'!$B$5*3</f>
        <v/>
      </c>
      <c r="U12" s="24">
        <f>'Debt Schedule'!$B$5*3</f>
        <v/>
      </c>
      <c r="V12" s="24">
        <f>'Debt Schedule'!$B$5*3</f>
        <v/>
      </c>
    </row>
    <row r="13">
      <c r="A13" s="4" t="inlineStr">
        <is>
          <t>Interest</t>
        </is>
      </c>
      <c r="C13" s="24">
        <f>C11*Inputs!$B$111/12*1</f>
        <v/>
      </c>
      <c r="D13" s="24">
        <f>D11*Inputs!$B$111/12*1</f>
        <v/>
      </c>
      <c r="E13" s="24">
        <f>E11*Inputs!$B$111/12*1</f>
        <v/>
      </c>
      <c r="F13" s="24">
        <f>F11*Inputs!$B$111/12*1</f>
        <v/>
      </c>
      <c r="G13" s="24">
        <f>G11*Inputs!$B$111/12*1</f>
        <v/>
      </c>
      <c r="H13" s="24">
        <f>H11*Inputs!$B$111/12*1</f>
        <v/>
      </c>
      <c r="I13" s="24">
        <f>I11*Inputs!$B$111/12*1</f>
        <v/>
      </c>
      <c r="J13" s="24">
        <f>J11*Inputs!$B$111/12*1</f>
        <v/>
      </c>
      <c r="K13" s="24">
        <f>K11*Inputs!$B$111/12*1</f>
        <v/>
      </c>
      <c r="L13" s="24">
        <f>L11*Inputs!$B$111/12*1</f>
        <v/>
      </c>
      <c r="M13" s="24">
        <f>M11*Inputs!$B$111/12*1</f>
        <v/>
      </c>
      <c r="N13" s="24">
        <f>N11*Inputs!$B$111/12*1</f>
        <v/>
      </c>
      <c r="O13" s="24">
        <f>O11*Inputs!$B$111/12*3</f>
        <v/>
      </c>
      <c r="P13" s="24">
        <f>P11*Inputs!$B$111/12*3</f>
        <v/>
      </c>
      <c r="Q13" s="24">
        <f>Q11*Inputs!$B$111/12*3</f>
        <v/>
      </c>
      <c r="R13" s="24">
        <f>R11*Inputs!$B$111/12*3</f>
        <v/>
      </c>
      <c r="S13" s="24">
        <f>S11*Inputs!$B$111/12*3</f>
        <v/>
      </c>
      <c r="T13" s="24">
        <f>T11*Inputs!$B$111/12*3</f>
        <v/>
      </c>
      <c r="U13" s="24">
        <f>U11*Inputs!$B$111/12*3</f>
        <v/>
      </c>
      <c r="V13" s="24">
        <f>V11*Inputs!$B$111/12*3</f>
        <v/>
      </c>
    </row>
    <row r="14">
      <c r="A14" s="4" t="inlineStr">
        <is>
          <t>Principal</t>
        </is>
      </c>
      <c r="C14" s="24">
        <f>C12-C13</f>
        <v/>
      </c>
      <c r="D14" s="24">
        <f>D12-D13</f>
        <v/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  <c r="L14" s="24">
        <f>L12-L13</f>
        <v/>
      </c>
      <c r="M14" s="24">
        <f>M12-M13</f>
        <v/>
      </c>
      <c r="N14" s="24">
        <f>N12-N13</f>
        <v/>
      </c>
      <c r="O14" s="24">
        <f>O12-O13</f>
        <v/>
      </c>
      <c r="P14" s="24">
        <f>P12-P13</f>
        <v/>
      </c>
      <c r="Q14" s="24">
        <f>Q12-Q13</f>
        <v/>
      </c>
      <c r="R14" s="24">
        <f>R12-R13</f>
        <v/>
      </c>
      <c r="S14" s="24">
        <f>S12-S13</f>
        <v/>
      </c>
      <c r="T14" s="24">
        <f>T12-T13</f>
        <v/>
      </c>
      <c r="U14" s="24">
        <f>U12-U13</f>
        <v/>
      </c>
      <c r="V14" s="24">
        <f>V12-V13</f>
        <v/>
      </c>
    </row>
    <row r="15">
      <c r="A15" s="31" t="inlineStr">
        <is>
          <t>Ending balance</t>
        </is>
      </c>
      <c r="C15" s="23">
        <f>C11-C14</f>
        <v/>
      </c>
      <c r="D15" s="23">
        <f>D11-D14</f>
        <v/>
      </c>
      <c r="E15" s="23">
        <f>E11-E14</f>
        <v/>
      </c>
      <c r="F15" s="23">
        <f>F11-F14</f>
        <v/>
      </c>
      <c r="G15" s="23">
        <f>G11-G14</f>
        <v/>
      </c>
      <c r="H15" s="23">
        <f>H11-H14</f>
        <v/>
      </c>
      <c r="I15" s="23">
        <f>I11-I14</f>
        <v/>
      </c>
      <c r="J15" s="23">
        <f>J11-J14</f>
        <v/>
      </c>
      <c r="K15" s="23">
        <f>K11-K14</f>
        <v/>
      </c>
      <c r="L15" s="23">
        <f>L11-L14</f>
        <v/>
      </c>
      <c r="M15" s="23">
        <f>M11-M14</f>
        <v/>
      </c>
      <c r="N15" s="23">
        <f>N11-N14</f>
        <v/>
      </c>
      <c r="O15" s="23">
        <f>O11-O14</f>
        <v/>
      </c>
      <c r="P15" s="23">
        <f>P11-P14</f>
        <v/>
      </c>
      <c r="Q15" s="23">
        <f>Q11-Q14</f>
        <v/>
      </c>
      <c r="R15" s="23">
        <f>R11-R14</f>
        <v/>
      </c>
      <c r="S15" s="23">
        <f>S11-S14</f>
        <v/>
      </c>
      <c r="T15" s="23">
        <f>T11-T14</f>
        <v/>
      </c>
      <c r="U15" s="23">
        <f>U11-U14</f>
        <v/>
      </c>
      <c r="V15" s="23">
        <f>V11-V14</f>
        <v/>
      </c>
    </row>
    <row r="17">
      <c r="A17" s="3" t="inlineStr">
        <is>
          <t>HICKORY LICENSE SELLER NOTE ($300K, 6%, 36 mo)</t>
        </is>
      </c>
    </row>
    <row r="18">
      <c r="A18" s="20" t="inlineStr">
        <is>
          <t>Beginning balance</t>
        </is>
      </c>
      <c r="C18" s="33">
        <f>Inputs!$B$120</f>
        <v/>
      </c>
      <c r="D18" s="24">
        <f>C22</f>
        <v/>
      </c>
      <c r="E18" s="24">
        <f>D22</f>
        <v/>
      </c>
      <c r="F18" s="24">
        <f>E22</f>
        <v/>
      </c>
      <c r="G18" s="24">
        <f>F22</f>
        <v/>
      </c>
      <c r="H18" s="24">
        <f>G22</f>
        <v/>
      </c>
      <c r="I18" s="24">
        <f>H22</f>
        <v/>
      </c>
      <c r="J18" s="24">
        <f>I22</f>
        <v/>
      </c>
      <c r="K18" s="24">
        <f>J22</f>
        <v/>
      </c>
      <c r="L18" s="24">
        <f>K22</f>
        <v/>
      </c>
      <c r="M18" s="24">
        <f>L22</f>
        <v/>
      </c>
      <c r="N18" s="24">
        <f>M22</f>
        <v/>
      </c>
      <c r="O18" s="24">
        <f>N22</f>
        <v/>
      </c>
      <c r="P18" s="24">
        <f>O22</f>
        <v/>
      </c>
      <c r="Q18" s="24">
        <f>P22</f>
        <v/>
      </c>
      <c r="R18" s="24">
        <f>Q22</f>
        <v/>
      </c>
      <c r="S18" s="24">
        <f>R22</f>
        <v/>
      </c>
      <c r="T18" s="24">
        <f>S22</f>
        <v/>
      </c>
      <c r="U18" s="24">
        <f>T22</f>
        <v/>
      </c>
      <c r="V18" s="24">
        <f>U22</f>
        <v/>
      </c>
    </row>
    <row r="19">
      <c r="A19" s="4" t="inlineStr">
        <is>
          <t>Ending balance (closed-form)</t>
        </is>
      </c>
      <c r="C19" s="24">
        <f>MAX(0,C18*(1+Inputs!$B$121/12)^1-'Debt Schedule'!$B$6*((1+Inputs!$B$121/12)^1-1)/(Inputs!$B$121/12))</f>
        <v/>
      </c>
      <c r="D19" s="24">
        <f>MAX(0,D18*(1+Inputs!$B$121/12)^1-'Debt Schedule'!$B$6*((1+Inputs!$B$121/12)^1-1)/(Inputs!$B$121/12))</f>
        <v/>
      </c>
      <c r="E19" s="24">
        <f>MAX(0,E18*(1+Inputs!$B$121/12)^1-'Debt Schedule'!$B$6*((1+Inputs!$B$121/12)^1-1)/(Inputs!$B$121/12))</f>
        <v/>
      </c>
      <c r="F19" s="24">
        <f>MAX(0,F18*(1+Inputs!$B$121/12)^1-'Debt Schedule'!$B$6*((1+Inputs!$B$121/12)^1-1)/(Inputs!$B$121/12))</f>
        <v/>
      </c>
      <c r="G19" s="24">
        <f>MAX(0,G18*(1+Inputs!$B$121/12)^1-'Debt Schedule'!$B$6*((1+Inputs!$B$121/12)^1-1)/(Inputs!$B$121/12))</f>
        <v/>
      </c>
      <c r="H19" s="24">
        <f>MAX(0,H18*(1+Inputs!$B$121/12)^1-'Debt Schedule'!$B$6*((1+Inputs!$B$121/12)^1-1)/(Inputs!$B$121/12))</f>
        <v/>
      </c>
      <c r="I19" s="24">
        <f>MAX(0,I18*(1+Inputs!$B$121/12)^1-'Debt Schedule'!$B$6*((1+Inputs!$B$121/12)^1-1)/(Inputs!$B$121/12))</f>
        <v/>
      </c>
      <c r="J19" s="24">
        <f>MAX(0,J18*(1+Inputs!$B$121/12)^1-'Debt Schedule'!$B$6*((1+Inputs!$B$121/12)^1-1)/(Inputs!$B$121/12))</f>
        <v/>
      </c>
      <c r="K19" s="24">
        <f>MAX(0,K18*(1+Inputs!$B$121/12)^1-'Debt Schedule'!$B$6*((1+Inputs!$B$121/12)^1-1)/(Inputs!$B$121/12))</f>
        <v/>
      </c>
      <c r="L19" s="24">
        <f>MAX(0,L18*(1+Inputs!$B$121/12)^1-'Debt Schedule'!$B$6*((1+Inputs!$B$121/12)^1-1)/(Inputs!$B$121/12))</f>
        <v/>
      </c>
      <c r="M19" s="24">
        <f>MAX(0,M18*(1+Inputs!$B$121/12)^1-'Debt Schedule'!$B$6*((1+Inputs!$B$121/12)^1-1)/(Inputs!$B$121/12))</f>
        <v/>
      </c>
      <c r="N19" s="24">
        <f>MAX(0,N18*(1+Inputs!$B$121/12)^1-'Debt Schedule'!$B$6*((1+Inputs!$B$121/12)^1-1)/(Inputs!$B$121/12))</f>
        <v/>
      </c>
      <c r="O19" s="24">
        <f>MAX(0,O18*(1+Inputs!$B$121/12)^3-'Debt Schedule'!$B$6*((1+Inputs!$B$121/12)^3-1)/(Inputs!$B$121/12))</f>
        <v/>
      </c>
      <c r="P19" s="24">
        <f>MAX(0,P18*(1+Inputs!$B$121/12)^3-'Debt Schedule'!$B$6*((1+Inputs!$B$121/12)^3-1)/(Inputs!$B$121/12))</f>
        <v/>
      </c>
      <c r="Q19" s="24">
        <f>MAX(0,Q18*(1+Inputs!$B$121/12)^3-'Debt Schedule'!$B$6*((1+Inputs!$B$121/12)^3-1)/(Inputs!$B$121/12))</f>
        <v/>
      </c>
      <c r="R19" s="24">
        <f>MAX(0,R18*(1+Inputs!$B$121/12)^3-'Debt Schedule'!$B$6*((1+Inputs!$B$121/12)^3-1)/(Inputs!$B$121/12))</f>
        <v/>
      </c>
      <c r="S19" s="24">
        <f>MAX(0,S18*(1+Inputs!$B$121/12)^3-'Debt Schedule'!$B$6*((1+Inputs!$B$121/12)^3-1)/(Inputs!$B$121/12))</f>
        <v/>
      </c>
      <c r="T19" s="24">
        <f>MAX(0,T18*(1+Inputs!$B$121/12)^3-'Debt Schedule'!$B$6*((1+Inputs!$B$121/12)^3-1)/(Inputs!$B$121/12))</f>
        <v/>
      </c>
      <c r="U19" s="24">
        <f>MAX(0,U18*(1+Inputs!$B$121/12)^3-'Debt Schedule'!$B$6*((1+Inputs!$B$121/12)^3-1)/(Inputs!$B$121/12))</f>
        <v/>
      </c>
      <c r="V19" s="24">
        <f>MAX(0,V18*(1+Inputs!$B$121/12)^3-'Debt Schedule'!$B$6*((1+Inputs!$B$121/12)^3-1)/(Inputs!$B$121/12))</f>
        <v/>
      </c>
    </row>
    <row r="20">
      <c r="A20" s="4" t="inlineStr">
        <is>
          <t>Principal</t>
        </is>
      </c>
      <c r="C20" s="24">
        <f>C18-C19</f>
        <v/>
      </c>
      <c r="D20" s="24">
        <f>D18-D19</f>
        <v/>
      </c>
      <c r="E20" s="24">
        <f>E18-E19</f>
        <v/>
      </c>
      <c r="F20" s="24">
        <f>F18-F19</f>
        <v/>
      </c>
      <c r="G20" s="24">
        <f>G18-G19</f>
        <v/>
      </c>
      <c r="H20" s="24">
        <f>H18-H19</f>
        <v/>
      </c>
      <c r="I20" s="24">
        <f>I18-I19</f>
        <v/>
      </c>
      <c r="J20" s="24">
        <f>J18-J19</f>
        <v/>
      </c>
      <c r="K20" s="24">
        <f>K18-K19</f>
        <v/>
      </c>
      <c r="L20" s="24">
        <f>L18-L19</f>
        <v/>
      </c>
      <c r="M20" s="24">
        <f>M18-M19</f>
        <v/>
      </c>
      <c r="N20" s="24">
        <f>N18-N19</f>
        <v/>
      </c>
      <c r="O20" s="24">
        <f>O18-O19</f>
        <v/>
      </c>
      <c r="P20" s="24">
        <f>P18-P19</f>
        <v/>
      </c>
      <c r="Q20" s="24">
        <f>Q18-Q19</f>
        <v/>
      </c>
      <c r="R20" s="24">
        <f>R18-R19</f>
        <v/>
      </c>
      <c r="S20" s="24">
        <f>S18-S19</f>
        <v/>
      </c>
      <c r="T20" s="24">
        <f>T18-T19</f>
        <v/>
      </c>
      <c r="U20" s="24">
        <f>U18-U19</f>
        <v/>
      </c>
      <c r="V20" s="24">
        <f>V18-V19</f>
        <v/>
      </c>
    </row>
    <row r="21">
      <c r="A21" s="4" t="inlineStr">
        <is>
          <t>Interest</t>
        </is>
      </c>
      <c r="C21" s="24">
        <f>MAX(0,IF(C18=0,0,'Debt Schedule'!$B$6*1-C20))</f>
        <v/>
      </c>
      <c r="D21" s="24">
        <f>MAX(0,IF(D18=0,0,'Debt Schedule'!$B$6*1-D20))</f>
        <v/>
      </c>
      <c r="E21" s="24">
        <f>MAX(0,IF(E18=0,0,'Debt Schedule'!$B$6*1-E20))</f>
        <v/>
      </c>
      <c r="F21" s="24">
        <f>MAX(0,IF(F18=0,0,'Debt Schedule'!$B$6*1-F20))</f>
        <v/>
      </c>
      <c r="G21" s="24">
        <f>MAX(0,IF(G18=0,0,'Debt Schedule'!$B$6*1-G20))</f>
        <v/>
      </c>
      <c r="H21" s="24">
        <f>MAX(0,IF(H18=0,0,'Debt Schedule'!$B$6*1-H20))</f>
        <v/>
      </c>
      <c r="I21" s="24">
        <f>MAX(0,IF(I18=0,0,'Debt Schedule'!$B$6*1-I20))</f>
        <v/>
      </c>
      <c r="J21" s="24">
        <f>MAX(0,IF(J18=0,0,'Debt Schedule'!$B$6*1-J20))</f>
        <v/>
      </c>
      <c r="K21" s="24">
        <f>MAX(0,IF(K18=0,0,'Debt Schedule'!$B$6*1-K20))</f>
        <v/>
      </c>
      <c r="L21" s="24">
        <f>MAX(0,IF(L18=0,0,'Debt Schedule'!$B$6*1-L20))</f>
        <v/>
      </c>
      <c r="M21" s="24">
        <f>MAX(0,IF(M18=0,0,'Debt Schedule'!$B$6*1-M20))</f>
        <v/>
      </c>
      <c r="N21" s="24">
        <f>MAX(0,IF(N18=0,0,'Debt Schedule'!$B$6*1-N20))</f>
        <v/>
      </c>
      <c r="O21" s="24">
        <f>MAX(0,IF(O18=0,0,'Debt Schedule'!$B$6*3-O20))</f>
        <v/>
      </c>
      <c r="P21" s="24">
        <f>MAX(0,IF(P18=0,0,'Debt Schedule'!$B$6*3-P20))</f>
        <v/>
      </c>
      <c r="Q21" s="24">
        <f>MAX(0,IF(Q18=0,0,'Debt Schedule'!$B$6*3-Q20))</f>
        <v/>
      </c>
      <c r="R21" s="24">
        <f>MAX(0,IF(R18=0,0,'Debt Schedule'!$B$6*3-R20))</f>
        <v/>
      </c>
      <c r="S21" s="24">
        <f>MAX(0,IF(S18=0,0,'Debt Schedule'!$B$6*3-S20))</f>
        <v/>
      </c>
      <c r="T21" s="24">
        <f>MAX(0,IF(T18=0,0,'Debt Schedule'!$B$6*3-T20))</f>
        <v/>
      </c>
      <c r="U21" s="24">
        <f>MAX(0,IF(U18=0,0,'Debt Schedule'!$B$6*3-U20))</f>
        <v/>
      </c>
      <c r="V21" s="24">
        <f>MAX(0,IF(V18=0,0,'Debt Schedule'!$B$6*3-V20))</f>
        <v/>
      </c>
    </row>
    <row r="22">
      <c r="A22" s="31" t="inlineStr">
        <is>
          <t>Ending balance</t>
        </is>
      </c>
      <c r="C22" s="23">
        <f>C19</f>
        <v/>
      </c>
      <c r="D22" s="23">
        <f>D19</f>
        <v/>
      </c>
      <c r="E22" s="23">
        <f>E19</f>
        <v/>
      </c>
      <c r="F22" s="23">
        <f>F19</f>
        <v/>
      </c>
      <c r="G22" s="23">
        <f>G19</f>
        <v/>
      </c>
      <c r="H22" s="23">
        <f>H19</f>
        <v/>
      </c>
      <c r="I22" s="23">
        <f>I19</f>
        <v/>
      </c>
      <c r="J22" s="23">
        <f>J19</f>
        <v/>
      </c>
      <c r="K22" s="23">
        <f>K19</f>
        <v/>
      </c>
      <c r="L22" s="23">
        <f>L19</f>
        <v/>
      </c>
      <c r="M22" s="23">
        <f>M19</f>
        <v/>
      </c>
      <c r="N22" s="23">
        <f>N19</f>
        <v/>
      </c>
      <c r="O22" s="23">
        <f>O19</f>
        <v/>
      </c>
      <c r="P22" s="23">
        <f>P19</f>
        <v/>
      </c>
      <c r="Q22" s="23">
        <f>Q19</f>
        <v/>
      </c>
      <c r="R22" s="23">
        <f>R19</f>
        <v/>
      </c>
      <c r="S22" s="23">
        <f>S19</f>
        <v/>
      </c>
      <c r="T22" s="23">
        <f>T19</f>
        <v/>
      </c>
      <c r="U22" s="23">
        <f>U19</f>
        <v/>
      </c>
      <c r="V22" s="23">
        <f>V19</f>
        <v/>
      </c>
    </row>
    <row r="24">
      <c r="A24" s="3" t="inlineStr">
        <is>
          <t>COMBINED DEBT SERVICE &amp; COVERAGE</t>
        </is>
      </c>
    </row>
    <row r="25">
      <c r="A25" s="21" t="inlineStr">
        <is>
          <t>Total interest</t>
        </is>
      </c>
      <c r="C25" s="24">
        <f>C13+C21</f>
        <v/>
      </c>
      <c r="D25" s="24">
        <f>D13+D21</f>
        <v/>
      </c>
      <c r="E25" s="24">
        <f>E13+E21</f>
        <v/>
      </c>
      <c r="F25" s="24">
        <f>F13+F21</f>
        <v/>
      </c>
      <c r="G25" s="24">
        <f>G13+G21</f>
        <v/>
      </c>
      <c r="H25" s="24">
        <f>H13+H21</f>
        <v/>
      </c>
      <c r="I25" s="24">
        <f>I13+I21</f>
        <v/>
      </c>
      <c r="J25" s="24">
        <f>J13+J21</f>
        <v/>
      </c>
      <c r="K25" s="24">
        <f>K13+K21</f>
        <v/>
      </c>
      <c r="L25" s="24">
        <f>L13+L21</f>
        <v/>
      </c>
      <c r="M25" s="24">
        <f>M13+M21</f>
        <v/>
      </c>
      <c r="N25" s="24">
        <f>N13+N21</f>
        <v/>
      </c>
      <c r="O25" s="24">
        <f>O13+O21</f>
        <v/>
      </c>
      <c r="P25" s="24">
        <f>P13+P21</f>
        <v/>
      </c>
      <c r="Q25" s="24">
        <f>Q13+Q21</f>
        <v/>
      </c>
      <c r="R25" s="24">
        <f>R13+R21</f>
        <v/>
      </c>
      <c r="S25" s="24">
        <f>S13+S21</f>
        <v/>
      </c>
      <c r="T25" s="24">
        <f>T13+T21</f>
        <v/>
      </c>
      <c r="U25" s="24">
        <f>U13+U21</f>
        <v/>
      </c>
      <c r="V25" s="24">
        <f>V13+V21</f>
        <v/>
      </c>
    </row>
    <row r="26">
      <c r="A26" s="21" t="inlineStr">
        <is>
          <t>Total principal</t>
        </is>
      </c>
      <c r="C26" s="24">
        <f>C14+C20</f>
        <v/>
      </c>
      <c r="D26" s="24">
        <f>D14+D20</f>
        <v/>
      </c>
      <c r="E26" s="24">
        <f>E14+E20</f>
        <v/>
      </c>
      <c r="F26" s="24">
        <f>F14+F20</f>
        <v/>
      </c>
      <c r="G26" s="24">
        <f>G14+G20</f>
        <v/>
      </c>
      <c r="H26" s="24">
        <f>H14+H20</f>
        <v/>
      </c>
      <c r="I26" s="24">
        <f>I14+I20</f>
        <v/>
      </c>
      <c r="J26" s="24">
        <f>J14+J20</f>
        <v/>
      </c>
      <c r="K26" s="24">
        <f>K14+K20</f>
        <v/>
      </c>
      <c r="L26" s="24">
        <f>L14+L20</f>
        <v/>
      </c>
      <c r="M26" s="24">
        <f>M14+M20</f>
        <v/>
      </c>
      <c r="N26" s="24">
        <f>N14+N20</f>
        <v/>
      </c>
      <c r="O26" s="24">
        <f>O14+O20</f>
        <v/>
      </c>
      <c r="P26" s="24">
        <f>P14+P20</f>
        <v/>
      </c>
      <c r="Q26" s="24">
        <f>Q14+Q20</f>
        <v/>
      </c>
      <c r="R26" s="24">
        <f>R14+R20</f>
        <v/>
      </c>
      <c r="S26" s="24">
        <f>S14+S20</f>
        <v/>
      </c>
      <c r="T26" s="24">
        <f>T14+T20</f>
        <v/>
      </c>
      <c r="U26" s="24">
        <f>U14+U20</f>
        <v/>
      </c>
      <c r="V26" s="24">
        <f>V14+V20</f>
        <v/>
      </c>
    </row>
    <row r="27">
      <c r="A27" s="31" t="inlineStr">
        <is>
          <t>TOTAL DEBT SERVICE (P+I, combined)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  <c r="R27" s="23">
        <f>R25+R26</f>
        <v/>
      </c>
      <c r="S27" s="23">
        <f>S25+S26</f>
        <v/>
      </c>
      <c r="T27" s="23">
        <f>T25+T26</f>
        <v/>
      </c>
      <c r="U27" s="23">
        <f>U25+U26</f>
        <v/>
      </c>
      <c r="V27" s="23">
        <f>V25+V26</f>
        <v/>
      </c>
    </row>
    <row r="28">
      <c r="A28" s="21" t="inlineStr">
        <is>
          <t>EBITDA (link)</t>
        </is>
      </c>
      <c r="C28" s="33">
        <f>'Operating Budget'!C24</f>
        <v/>
      </c>
      <c r="D28" s="33">
        <f>'Operating Budget'!D24</f>
        <v/>
      </c>
      <c r="E28" s="33">
        <f>'Operating Budget'!E24</f>
        <v/>
      </c>
      <c r="F28" s="33">
        <f>'Operating Budget'!F24</f>
        <v/>
      </c>
      <c r="G28" s="33">
        <f>'Operating Budget'!G24</f>
        <v/>
      </c>
      <c r="H28" s="33">
        <f>'Operating Budget'!H24</f>
        <v/>
      </c>
      <c r="I28" s="33">
        <f>'Operating Budget'!I24</f>
        <v/>
      </c>
      <c r="J28" s="33">
        <f>'Operating Budget'!J24</f>
        <v/>
      </c>
      <c r="K28" s="33">
        <f>'Operating Budget'!K24</f>
        <v/>
      </c>
      <c r="L28" s="33">
        <f>'Operating Budget'!L24</f>
        <v/>
      </c>
      <c r="M28" s="33">
        <f>'Operating Budget'!M24</f>
        <v/>
      </c>
      <c r="N28" s="33">
        <f>'Operating Budget'!N24</f>
        <v/>
      </c>
      <c r="O28" s="33">
        <f>'Operating Budget'!O24</f>
        <v/>
      </c>
      <c r="P28" s="33">
        <f>'Operating Budget'!P24</f>
        <v/>
      </c>
      <c r="Q28" s="33">
        <f>'Operating Budget'!Q24</f>
        <v/>
      </c>
      <c r="R28" s="33">
        <f>'Operating Budget'!R24</f>
        <v/>
      </c>
      <c r="S28" s="33">
        <f>'Operating Budget'!S24</f>
        <v/>
      </c>
      <c r="T28" s="33">
        <f>'Operating Budget'!T24</f>
        <v/>
      </c>
      <c r="U28" s="33">
        <f>'Operating Budget'!U24</f>
        <v/>
      </c>
      <c r="V28" s="33">
        <f>'Operating Budget'!V24</f>
        <v/>
      </c>
    </row>
    <row r="29">
      <c r="A29" s="31" t="inlineStr">
        <is>
          <t>COMBINED DSCR (period)</t>
        </is>
      </c>
      <c r="C29" s="60">
        <f>IF(C27=0,0,C28/C27)</f>
        <v/>
      </c>
      <c r="D29" s="60">
        <f>IF(D27=0,0,D28/D27)</f>
        <v/>
      </c>
      <c r="E29" s="60">
        <f>IF(E27=0,0,E28/E27)</f>
        <v/>
      </c>
      <c r="F29" s="60">
        <f>IF(F27=0,0,F28/F27)</f>
        <v/>
      </c>
      <c r="G29" s="60">
        <f>IF(G27=0,0,G28/G27)</f>
        <v/>
      </c>
      <c r="H29" s="60">
        <f>IF(H27=0,0,H28/H27)</f>
        <v/>
      </c>
      <c r="I29" s="60">
        <f>IF(I27=0,0,I28/I27)</f>
        <v/>
      </c>
      <c r="J29" s="60">
        <f>IF(J27=0,0,J28/J27)</f>
        <v/>
      </c>
      <c r="K29" s="60">
        <f>IF(K27=0,0,K28/K27)</f>
        <v/>
      </c>
      <c r="L29" s="60">
        <f>IF(L27=0,0,L28/L27)</f>
        <v/>
      </c>
      <c r="M29" s="60">
        <f>IF(M27=0,0,M28/M27)</f>
        <v/>
      </c>
      <c r="N29" s="60">
        <f>IF(N27=0,0,N28/N27)</f>
        <v/>
      </c>
      <c r="O29" s="60">
        <f>IF(O27=0,0,O28/O27)</f>
        <v/>
      </c>
      <c r="P29" s="60">
        <f>IF(P27=0,0,P28/P27)</f>
        <v/>
      </c>
      <c r="Q29" s="60">
        <f>IF(Q27=0,0,Q28/Q27)</f>
        <v/>
      </c>
      <c r="R29" s="60">
        <f>IF(R27=0,0,R28/R27)</f>
        <v/>
      </c>
      <c r="S29" s="60">
        <f>IF(S27=0,0,S28/S27)</f>
        <v/>
      </c>
      <c r="T29" s="60">
        <f>IF(T27=0,0,T28/T27)</f>
        <v/>
      </c>
      <c r="U29" s="60">
        <f>IF(U27=0,0,U28/U27)</f>
        <v/>
      </c>
      <c r="V29" s="60">
        <f>IF(V27=0,0,V28/V27)</f>
        <v/>
      </c>
    </row>
  </sheetData>
  <mergeCells count="9">
    <mergeCell ref="A2:V2"/>
    <mergeCell ref="A10:V10"/>
    <mergeCell ref="O8:R8"/>
    <mergeCell ref="A1:V1"/>
    <mergeCell ref="S8:V8"/>
    <mergeCell ref="A17:V17"/>
    <mergeCell ref="C8:N8"/>
    <mergeCell ref="A4:V4"/>
    <mergeCell ref="A24:V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W38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Cash Flow (indirect) &amp; Balance Sheet - BS balances through real AR/AP/LOC, never a plug</t>
        </is>
      </c>
    </row>
    <row r="4">
      <c r="A4" s="44" t="inlineStr">
        <is>
          <t>($ per period)</t>
        </is>
      </c>
      <c r="B4" s="45" t="inlineStr">
        <is>
          <t>Opening</t>
        </is>
      </c>
      <c r="C4" s="45" t="inlineStr">
        <is>
          <t>YEAR 1 - monthly</t>
        </is>
      </c>
      <c r="O4" s="45" t="inlineStr">
        <is>
          <t>YEAR 2 - quarterly</t>
        </is>
      </c>
      <c r="S4" s="45" t="inlineStr">
        <is>
          <t>YEAR 3 -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33">
        <f>'Operating Budget'!C34</f>
        <v/>
      </c>
      <c r="D7" s="33">
        <f>'Operating Budget'!D34</f>
        <v/>
      </c>
      <c r="E7" s="33">
        <f>'Operating Budget'!E34</f>
        <v/>
      </c>
      <c r="F7" s="33">
        <f>'Operating Budget'!F34</f>
        <v/>
      </c>
      <c r="G7" s="33">
        <f>'Operating Budget'!G34</f>
        <v/>
      </c>
      <c r="H7" s="33">
        <f>'Operating Budget'!H34</f>
        <v/>
      </c>
      <c r="I7" s="33">
        <f>'Operating Budget'!I34</f>
        <v/>
      </c>
      <c r="J7" s="33">
        <f>'Operating Budget'!J34</f>
        <v/>
      </c>
      <c r="K7" s="33">
        <f>'Operating Budget'!K34</f>
        <v/>
      </c>
      <c r="L7" s="33">
        <f>'Operating Budget'!L34</f>
        <v/>
      </c>
      <c r="M7" s="33">
        <f>'Operating Budget'!M34</f>
        <v/>
      </c>
      <c r="N7" s="33">
        <f>'Operating Budget'!N34</f>
        <v/>
      </c>
      <c r="O7" s="33">
        <f>'Operating Budget'!O34</f>
        <v/>
      </c>
      <c r="P7" s="33">
        <f>'Operating Budget'!P34</f>
        <v/>
      </c>
      <c r="Q7" s="33">
        <f>'Operating Budget'!Q34</f>
        <v/>
      </c>
      <c r="R7" s="33">
        <f>'Operating Budget'!R34</f>
        <v/>
      </c>
      <c r="S7" s="33">
        <f>'Operating Budget'!S34</f>
        <v/>
      </c>
      <c r="T7" s="33">
        <f>'Operating Budget'!T34</f>
        <v/>
      </c>
      <c r="U7" s="33">
        <f>'Operating Budget'!U34</f>
        <v/>
      </c>
      <c r="V7" s="33">
        <f>'Operating Budget'!V34</f>
        <v/>
      </c>
    </row>
    <row r="8">
      <c r="A8" s="4" t="inlineStr">
        <is>
          <t>+ Depreciation &amp; amortization</t>
        </is>
      </c>
      <c r="C8" s="33">
        <f>'Operating Budget'!C28</f>
        <v/>
      </c>
      <c r="D8" s="33">
        <f>'Operating Budget'!D28</f>
        <v/>
      </c>
      <c r="E8" s="33">
        <f>'Operating Budget'!E28</f>
        <v/>
      </c>
      <c r="F8" s="33">
        <f>'Operating Budget'!F28</f>
        <v/>
      </c>
      <c r="G8" s="33">
        <f>'Operating Budget'!G28</f>
        <v/>
      </c>
      <c r="H8" s="33">
        <f>'Operating Budget'!H28</f>
        <v/>
      </c>
      <c r="I8" s="33">
        <f>'Operating Budget'!I28</f>
        <v/>
      </c>
      <c r="J8" s="33">
        <f>'Operating Budget'!J28</f>
        <v/>
      </c>
      <c r="K8" s="33">
        <f>'Operating Budget'!K28</f>
        <v/>
      </c>
      <c r="L8" s="33">
        <f>'Operating Budget'!L28</f>
        <v/>
      </c>
      <c r="M8" s="33">
        <f>'Operating Budget'!M28</f>
        <v/>
      </c>
      <c r="N8" s="33">
        <f>'Operating Budget'!N28</f>
        <v/>
      </c>
      <c r="O8" s="33">
        <f>'Operating Budget'!O28</f>
        <v/>
      </c>
      <c r="P8" s="33">
        <f>'Operating Budget'!P28</f>
        <v/>
      </c>
      <c r="Q8" s="33">
        <f>'Operating Budget'!Q28</f>
        <v/>
      </c>
      <c r="R8" s="33">
        <f>'Operating Budget'!R28</f>
        <v/>
      </c>
      <c r="S8" s="33">
        <f>'Operating Budget'!S28</f>
        <v/>
      </c>
      <c r="T8" s="33">
        <f>'Operating Budget'!T28</f>
        <v/>
      </c>
      <c r="U8" s="33">
        <f>'Operating Budget'!U28</f>
        <v/>
      </c>
      <c r="V8" s="33">
        <f>'Operating Budget'!V28</f>
        <v/>
      </c>
    </row>
    <row r="9">
      <c r="A9" s="14" t="inlineStr">
        <is>
          <t>Accounts receivable (balance)</t>
        </is>
      </c>
      <c r="B9" s="24">
        <f>0</f>
        <v/>
      </c>
      <c r="C9" s="33">
        <f>'Revenue Model'!C17*Inputs!$B$134/'Revenue Model'!C11</f>
        <v/>
      </c>
      <c r="D9" s="33">
        <f>'Revenue Model'!D17*Inputs!$B$134/'Revenue Model'!D11</f>
        <v/>
      </c>
      <c r="E9" s="33">
        <f>'Revenue Model'!E17*Inputs!$B$134/'Revenue Model'!E11</f>
        <v/>
      </c>
      <c r="F9" s="33">
        <f>'Revenue Model'!F17*Inputs!$B$134/'Revenue Model'!F11</f>
        <v/>
      </c>
      <c r="G9" s="33">
        <f>'Revenue Model'!G17*Inputs!$B$134/'Revenue Model'!G11</f>
        <v/>
      </c>
      <c r="H9" s="33">
        <f>'Revenue Model'!H17*Inputs!$B$134/'Revenue Model'!H11</f>
        <v/>
      </c>
      <c r="I9" s="33">
        <f>'Revenue Model'!I17*Inputs!$B$134/'Revenue Model'!I11</f>
        <v/>
      </c>
      <c r="J9" s="33">
        <f>'Revenue Model'!J17*Inputs!$B$134/'Revenue Model'!J11</f>
        <v/>
      </c>
      <c r="K9" s="33">
        <f>'Revenue Model'!K17*Inputs!$B$134/'Revenue Model'!K11</f>
        <v/>
      </c>
      <c r="L9" s="33">
        <f>'Revenue Model'!L17*Inputs!$B$134/'Revenue Model'!L11</f>
        <v/>
      </c>
      <c r="M9" s="33">
        <f>'Revenue Model'!M17*Inputs!$B$134/'Revenue Model'!M11</f>
        <v/>
      </c>
      <c r="N9" s="33">
        <f>'Revenue Model'!N17*Inputs!$B$134/'Revenue Model'!N11</f>
        <v/>
      </c>
      <c r="O9" s="33">
        <f>'Revenue Model'!O17*Inputs!$B$134/'Revenue Model'!O11</f>
        <v/>
      </c>
      <c r="P9" s="33">
        <f>'Revenue Model'!P17*Inputs!$B$134/'Revenue Model'!P11</f>
        <v/>
      </c>
      <c r="Q9" s="33">
        <f>'Revenue Model'!Q17*Inputs!$B$134/'Revenue Model'!Q11</f>
        <v/>
      </c>
      <c r="R9" s="33">
        <f>'Revenue Model'!R17*Inputs!$B$134/'Revenue Model'!R11</f>
        <v/>
      </c>
      <c r="S9" s="33">
        <f>'Revenue Model'!S17*Inputs!$B$134/'Revenue Model'!S11</f>
        <v/>
      </c>
      <c r="T9" s="33">
        <f>'Revenue Model'!T17*Inputs!$B$134/'Revenue Model'!T11</f>
        <v/>
      </c>
      <c r="U9" s="33">
        <f>'Revenue Model'!U17*Inputs!$B$134/'Revenue Model'!U11</f>
        <v/>
      </c>
      <c r="V9" s="33">
        <f>'Revenue Model'!V17*Inputs!$B$134/'Revenue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33">
        <f>('Operating Budget'!C20+'Operating Budget'!C22+'Operating Budget'!C13)*Inputs!$B$135/'Revenue Model'!C11</f>
        <v/>
      </c>
      <c r="D10" s="33">
        <f>('Operating Budget'!D20+'Operating Budget'!D22+'Operating Budget'!D13)*Inputs!$B$135/'Revenue Model'!D11</f>
        <v/>
      </c>
      <c r="E10" s="33">
        <f>('Operating Budget'!E20+'Operating Budget'!E22+'Operating Budget'!E13)*Inputs!$B$135/'Revenue Model'!E11</f>
        <v/>
      </c>
      <c r="F10" s="33">
        <f>('Operating Budget'!F20+'Operating Budget'!F22+'Operating Budget'!F13)*Inputs!$B$135/'Revenue Model'!F11</f>
        <v/>
      </c>
      <c r="G10" s="33">
        <f>('Operating Budget'!G20+'Operating Budget'!G22+'Operating Budget'!G13)*Inputs!$B$135/'Revenue Model'!G11</f>
        <v/>
      </c>
      <c r="H10" s="33">
        <f>('Operating Budget'!H20+'Operating Budget'!H22+'Operating Budget'!H13)*Inputs!$B$135/'Revenue Model'!H11</f>
        <v/>
      </c>
      <c r="I10" s="33">
        <f>('Operating Budget'!I20+'Operating Budget'!I22+'Operating Budget'!I13)*Inputs!$B$135/'Revenue Model'!I11</f>
        <v/>
      </c>
      <c r="J10" s="33">
        <f>('Operating Budget'!J20+'Operating Budget'!J22+'Operating Budget'!J13)*Inputs!$B$135/'Revenue Model'!J11</f>
        <v/>
      </c>
      <c r="K10" s="33">
        <f>('Operating Budget'!K20+'Operating Budget'!K22+'Operating Budget'!K13)*Inputs!$B$135/'Revenue Model'!K11</f>
        <v/>
      </c>
      <c r="L10" s="33">
        <f>('Operating Budget'!L20+'Operating Budget'!L22+'Operating Budget'!L13)*Inputs!$B$135/'Revenue Model'!L11</f>
        <v/>
      </c>
      <c r="M10" s="33">
        <f>('Operating Budget'!M20+'Operating Budget'!M22+'Operating Budget'!M13)*Inputs!$B$135/'Revenue Model'!M11</f>
        <v/>
      </c>
      <c r="N10" s="33">
        <f>('Operating Budget'!N20+'Operating Budget'!N22+'Operating Budget'!N13)*Inputs!$B$135/'Revenue Model'!N11</f>
        <v/>
      </c>
      <c r="O10" s="33">
        <f>('Operating Budget'!O20+'Operating Budget'!O22+'Operating Budget'!O13)*Inputs!$B$135/'Revenue Model'!O11</f>
        <v/>
      </c>
      <c r="P10" s="33">
        <f>('Operating Budget'!P20+'Operating Budget'!P22+'Operating Budget'!P13)*Inputs!$B$135/'Revenue Model'!P11</f>
        <v/>
      </c>
      <c r="Q10" s="33">
        <f>('Operating Budget'!Q20+'Operating Budget'!Q22+'Operating Budget'!Q13)*Inputs!$B$135/'Revenue Model'!Q11</f>
        <v/>
      </c>
      <c r="R10" s="33">
        <f>('Operating Budget'!R20+'Operating Budget'!R22+'Operating Budget'!R13)*Inputs!$B$135/'Revenue Model'!R11</f>
        <v/>
      </c>
      <c r="S10" s="33">
        <f>('Operating Budget'!S20+'Operating Budget'!S22+'Operating Budget'!S13)*Inputs!$B$135/'Revenue Model'!S11</f>
        <v/>
      </c>
      <c r="T10" s="33">
        <f>('Operating Budget'!T20+'Operating Budget'!T22+'Operating Budget'!T13)*Inputs!$B$135/'Revenue Model'!T11</f>
        <v/>
      </c>
      <c r="U10" s="33">
        <f>('Operating Budget'!U20+'Operating Budget'!U22+'Operating Budget'!U13)*Inputs!$B$135/'Revenue Model'!U11</f>
        <v/>
      </c>
      <c r="V10" s="33">
        <f>('Operating Budget'!V20+'Operating Budget'!V22+'Operating Budget'!V13)*Inputs!$B$135/'Revenue Model'!V11</f>
        <v/>
      </c>
    </row>
    <row r="11">
      <c r="A11" s="4" t="inlineStr">
        <is>
          <t>Less: change in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Plus: change in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31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- SBA principal repayment</t>
        </is>
      </c>
      <c r="C14" s="33">
        <f>-'Debt Schedule'!C14</f>
        <v/>
      </c>
      <c r="D14" s="33">
        <f>-'Debt Schedule'!D14</f>
        <v/>
      </c>
      <c r="E14" s="33">
        <f>-'Debt Schedule'!E14</f>
        <v/>
      </c>
      <c r="F14" s="33">
        <f>-'Debt Schedule'!F14</f>
        <v/>
      </c>
      <c r="G14" s="33">
        <f>-'Debt Schedule'!G14</f>
        <v/>
      </c>
      <c r="H14" s="33">
        <f>-'Debt Schedule'!H14</f>
        <v/>
      </c>
      <c r="I14" s="33">
        <f>-'Debt Schedule'!I14</f>
        <v/>
      </c>
      <c r="J14" s="33">
        <f>-'Debt Schedule'!J14</f>
        <v/>
      </c>
      <c r="K14" s="33">
        <f>-'Debt Schedule'!K14</f>
        <v/>
      </c>
      <c r="L14" s="33">
        <f>-'Debt Schedule'!L14</f>
        <v/>
      </c>
      <c r="M14" s="33">
        <f>-'Debt Schedule'!M14</f>
        <v/>
      </c>
      <c r="N14" s="33">
        <f>-'Debt Schedule'!N14</f>
        <v/>
      </c>
      <c r="O14" s="33">
        <f>-'Debt Schedule'!O14</f>
        <v/>
      </c>
      <c r="P14" s="33">
        <f>-'Debt Schedule'!P14</f>
        <v/>
      </c>
      <c r="Q14" s="33">
        <f>-'Debt Schedule'!Q14</f>
        <v/>
      </c>
      <c r="R14" s="33">
        <f>-'Debt Schedule'!R14</f>
        <v/>
      </c>
      <c r="S14" s="33">
        <f>-'Debt Schedule'!S14</f>
        <v/>
      </c>
      <c r="T14" s="33">
        <f>-'Debt Schedule'!T14</f>
        <v/>
      </c>
      <c r="U14" s="33">
        <f>-'Debt Schedule'!U14</f>
        <v/>
      </c>
      <c r="V14" s="33">
        <f>-'Debt Schedule'!V14</f>
        <v/>
      </c>
    </row>
    <row r="15">
      <c r="A15" s="4" t="inlineStr">
        <is>
          <t>- Hickory license note principal</t>
        </is>
      </c>
      <c r="C15" s="33">
        <f>-'Debt Schedule'!C20</f>
        <v/>
      </c>
      <c r="D15" s="33">
        <f>-'Debt Schedule'!D20</f>
        <v/>
      </c>
      <c r="E15" s="33">
        <f>-'Debt Schedule'!E20</f>
        <v/>
      </c>
      <c r="F15" s="33">
        <f>-'Debt Schedule'!F20</f>
        <v/>
      </c>
      <c r="G15" s="33">
        <f>-'Debt Schedule'!G20</f>
        <v/>
      </c>
      <c r="H15" s="33">
        <f>-'Debt Schedule'!H20</f>
        <v/>
      </c>
      <c r="I15" s="33">
        <f>-'Debt Schedule'!I20</f>
        <v/>
      </c>
      <c r="J15" s="33">
        <f>-'Debt Schedule'!J20</f>
        <v/>
      </c>
      <c r="K15" s="33">
        <f>-'Debt Schedule'!K20</f>
        <v/>
      </c>
      <c r="L15" s="33">
        <f>-'Debt Schedule'!L20</f>
        <v/>
      </c>
      <c r="M15" s="33">
        <f>-'Debt Schedule'!M20</f>
        <v/>
      </c>
      <c r="N15" s="33">
        <f>-'Debt Schedule'!N20</f>
        <v/>
      </c>
      <c r="O15" s="33">
        <f>-'Debt Schedule'!O20</f>
        <v/>
      </c>
      <c r="P15" s="33">
        <f>-'Debt Schedule'!P20</f>
        <v/>
      </c>
      <c r="Q15" s="33">
        <f>-'Debt Schedule'!Q20</f>
        <v/>
      </c>
      <c r="R15" s="33">
        <f>-'Debt Schedule'!R20</f>
        <v/>
      </c>
      <c r="S15" s="33">
        <f>-'Debt Schedule'!S20</f>
        <v/>
      </c>
      <c r="T15" s="33">
        <f>-'Debt Schedule'!T20</f>
        <v/>
      </c>
      <c r="U15" s="33">
        <f>-'Debt Schedule'!U20</f>
        <v/>
      </c>
      <c r="V15" s="33">
        <f>-'Debt Schedule'!V20</f>
        <v/>
      </c>
    </row>
    <row r="16">
      <c r="A16" s="14" t="inlineStr">
        <is>
          <t>Working-capital line interest</t>
        </is>
      </c>
      <c r="B16" s="24">
        <f>0</f>
        <v/>
      </c>
      <c r="C16" s="24">
        <f>B20*Inputs!$B$115*1/12</f>
        <v/>
      </c>
      <c r="D16" s="24">
        <f>C20*Inputs!$B$115*1/12</f>
        <v/>
      </c>
      <c r="E16" s="24">
        <f>D20*Inputs!$B$115*1/12</f>
        <v/>
      </c>
      <c r="F16" s="24">
        <f>E20*Inputs!$B$115*1/12</f>
        <v/>
      </c>
      <c r="G16" s="24">
        <f>F20*Inputs!$B$115*1/12</f>
        <v/>
      </c>
      <c r="H16" s="24">
        <f>G20*Inputs!$B$115*1/12</f>
        <v/>
      </c>
      <c r="I16" s="24">
        <f>H20*Inputs!$B$115*1/12</f>
        <v/>
      </c>
      <c r="J16" s="24">
        <f>I20*Inputs!$B$115*1/12</f>
        <v/>
      </c>
      <c r="K16" s="24">
        <f>J20*Inputs!$B$115*1/12</f>
        <v/>
      </c>
      <c r="L16" s="24">
        <f>K20*Inputs!$B$115*1/12</f>
        <v/>
      </c>
      <c r="M16" s="24">
        <f>L20*Inputs!$B$115*1/12</f>
        <v/>
      </c>
      <c r="N16" s="24">
        <f>M20*Inputs!$B$115*1/12</f>
        <v/>
      </c>
      <c r="O16" s="24">
        <f>N20*Inputs!$B$115*3/12</f>
        <v/>
      </c>
      <c r="P16" s="24">
        <f>O20*Inputs!$B$115*3/12</f>
        <v/>
      </c>
      <c r="Q16" s="24">
        <f>P20*Inputs!$B$115*3/12</f>
        <v/>
      </c>
      <c r="R16" s="24">
        <f>Q20*Inputs!$B$115*3/12</f>
        <v/>
      </c>
      <c r="S16" s="24">
        <f>R20*Inputs!$B$115*3/12</f>
        <v/>
      </c>
      <c r="T16" s="24">
        <f>S20*Inputs!$B$115*3/12</f>
        <v/>
      </c>
      <c r="U16" s="24">
        <f>T20*Inputs!$B$115*3/12</f>
        <v/>
      </c>
      <c r="V16" s="24">
        <f>U20*Inputs!$B$115*3/12</f>
        <v/>
      </c>
    </row>
    <row r="17">
      <c r="A17" s="4" t="inlineStr">
        <is>
          <t>Beginning cash</t>
        </is>
      </c>
      <c r="B17" s="24">
        <f>0</f>
        <v/>
      </c>
      <c r="C17" s="33">
        <f>Inputs!$B$139</f>
        <v/>
      </c>
      <c r="D17" s="24">
        <f>C21</f>
        <v/>
      </c>
      <c r="E17" s="24">
        <f>D21</f>
        <v/>
      </c>
      <c r="F17" s="24">
        <f>E21</f>
        <v/>
      </c>
      <c r="G17" s="24">
        <f>F21</f>
        <v/>
      </c>
      <c r="H17" s="24">
        <f>G21</f>
        <v/>
      </c>
      <c r="I17" s="24">
        <f>H21</f>
        <v/>
      </c>
      <c r="J17" s="24">
        <f>I21</f>
        <v/>
      </c>
      <c r="K17" s="24">
        <f>J21</f>
        <v/>
      </c>
      <c r="L17" s="24">
        <f>K21</f>
        <v/>
      </c>
      <c r="M17" s="24">
        <f>L21</f>
        <v/>
      </c>
      <c r="N17" s="24">
        <f>M21</f>
        <v/>
      </c>
      <c r="O17" s="24">
        <f>N21</f>
        <v/>
      </c>
      <c r="P17" s="24">
        <f>O21</f>
        <v/>
      </c>
      <c r="Q17" s="24">
        <f>P21</f>
        <v/>
      </c>
      <c r="R17" s="24">
        <f>Q21</f>
        <v/>
      </c>
      <c r="S17" s="24">
        <f>R21</f>
        <v/>
      </c>
      <c r="T17" s="24">
        <f>S21</f>
        <v/>
      </c>
      <c r="U17" s="24">
        <f>T21</f>
        <v/>
      </c>
      <c r="V17" s="24">
        <f>U21</f>
        <v/>
      </c>
    </row>
    <row r="18">
      <c r="A18" s="21" t="inlineStr">
        <is>
          <t>Cash before LOC sweep</t>
        </is>
      </c>
      <c r="C18" s="24">
        <f>C17+C13+C14+C15</f>
        <v/>
      </c>
      <c r="D18" s="24">
        <f>D17+D13+D14+D15</f>
        <v/>
      </c>
      <c r="E18" s="24">
        <f>E17+E13+E14+E15</f>
        <v/>
      </c>
      <c r="F18" s="24">
        <f>F17+F13+F14+F15</f>
        <v/>
      </c>
      <c r="G18" s="24">
        <f>G17+G13+G14+G15</f>
        <v/>
      </c>
      <c r="H18" s="24">
        <f>H17+H13+H14+H15</f>
        <v/>
      </c>
      <c r="I18" s="24">
        <f>I17+I13+I14+I15</f>
        <v/>
      </c>
      <c r="J18" s="24">
        <f>J17+J13+J14+J15</f>
        <v/>
      </c>
      <c r="K18" s="24">
        <f>K17+K13+K14+K15</f>
        <v/>
      </c>
      <c r="L18" s="24">
        <f>L17+L13+L14+L15</f>
        <v/>
      </c>
      <c r="M18" s="24">
        <f>M17+M13+M14+M15</f>
        <v/>
      </c>
      <c r="N18" s="24">
        <f>N17+N13+N14+N15</f>
        <v/>
      </c>
      <c r="O18" s="24">
        <f>O17+O13+O14+O15</f>
        <v/>
      </c>
      <c r="P18" s="24">
        <f>P17+P13+P14+P15</f>
        <v/>
      </c>
      <c r="Q18" s="24">
        <f>Q17+Q13+Q14+Q15</f>
        <v/>
      </c>
      <c r="R18" s="24">
        <f>R17+R13+R14+R15</f>
        <v/>
      </c>
      <c r="S18" s="24">
        <f>S17+S13+S14+S15</f>
        <v/>
      </c>
      <c r="T18" s="24">
        <f>T17+T13+T14+T15</f>
        <v/>
      </c>
      <c r="U18" s="24">
        <f>U17+U13+U14+U15</f>
        <v/>
      </c>
      <c r="V18" s="24">
        <f>V17+V13+V14+V15</f>
        <v/>
      </c>
    </row>
    <row r="19">
      <c r="A19" s="4" t="inlineStr">
        <is>
          <t>LOC draw / (repay)</t>
        </is>
      </c>
      <c r="C19" s="24">
        <f>IF(C18&lt;Inputs!$B$116,Inputs!$B$116-C18,-MIN(B20,MAX(0,C18-Inputs!$B$116)))</f>
        <v/>
      </c>
      <c r="D19" s="24">
        <f>IF(D18&lt;Inputs!$B$116,Inputs!$B$116-D18,-MIN(C20,MAX(0,D18-Inputs!$B$116)))</f>
        <v/>
      </c>
      <c r="E19" s="24">
        <f>IF(E18&lt;Inputs!$B$116,Inputs!$B$116-E18,-MIN(D20,MAX(0,E18-Inputs!$B$116)))</f>
        <v/>
      </c>
      <c r="F19" s="24">
        <f>IF(F18&lt;Inputs!$B$116,Inputs!$B$116-F18,-MIN(E20,MAX(0,F18-Inputs!$B$116)))</f>
        <v/>
      </c>
      <c r="G19" s="24">
        <f>IF(G18&lt;Inputs!$B$116,Inputs!$B$116-G18,-MIN(F20,MAX(0,G18-Inputs!$B$116)))</f>
        <v/>
      </c>
      <c r="H19" s="24">
        <f>IF(H18&lt;Inputs!$B$116,Inputs!$B$116-H18,-MIN(G20,MAX(0,H18-Inputs!$B$116)))</f>
        <v/>
      </c>
      <c r="I19" s="24">
        <f>IF(I18&lt;Inputs!$B$116,Inputs!$B$116-I18,-MIN(H20,MAX(0,I18-Inputs!$B$116)))</f>
        <v/>
      </c>
      <c r="J19" s="24">
        <f>IF(J18&lt;Inputs!$B$116,Inputs!$B$116-J18,-MIN(I20,MAX(0,J18-Inputs!$B$116)))</f>
        <v/>
      </c>
      <c r="K19" s="24">
        <f>IF(K18&lt;Inputs!$B$116,Inputs!$B$116-K18,-MIN(J20,MAX(0,K18-Inputs!$B$116)))</f>
        <v/>
      </c>
      <c r="L19" s="24">
        <f>IF(L18&lt;Inputs!$B$116,Inputs!$B$116-L18,-MIN(K20,MAX(0,L18-Inputs!$B$116)))</f>
        <v/>
      </c>
      <c r="M19" s="24">
        <f>IF(M18&lt;Inputs!$B$116,Inputs!$B$116-M18,-MIN(L20,MAX(0,M18-Inputs!$B$116)))</f>
        <v/>
      </c>
      <c r="N19" s="24">
        <f>IF(N18&lt;Inputs!$B$116,Inputs!$B$116-N18,-MIN(M20,MAX(0,N18-Inputs!$B$116)))</f>
        <v/>
      </c>
      <c r="O19" s="24">
        <f>IF(O18&lt;Inputs!$B$116,Inputs!$B$116-O18,-MIN(N20,MAX(0,O18-Inputs!$B$116)))</f>
        <v/>
      </c>
      <c r="P19" s="24">
        <f>IF(P18&lt;Inputs!$B$116,Inputs!$B$116-P18,-MIN(O20,MAX(0,P18-Inputs!$B$116)))</f>
        <v/>
      </c>
      <c r="Q19" s="24">
        <f>IF(Q18&lt;Inputs!$B$116,Inputs!$B$116-Q18,-MIN(P20,MAX(0,Q18-Inputs!$B$116)))</f>
        <v/>
      </c>
      <c r="R19" s="24">
        <f>IF(R18&lt;Inputs!$B$116,Inputs!$B$116-R18,-MIN(Q20,MAX(0,R18-Inputs!$B$116)))</f>
        <v/>
      </c>
      <c r="S19" s="24">
        <f>IF(S18&lt;Inputs!$B$116,Inputs!$B$116-S18,-MIN(R20,MAX(0,S18-Inputs!$B$116)))</f>
        <v/>
      </c>
      <c r="T19" s="24">
        <f>IF(T18&lt;Inputs!$B$116,Inputs!$B$116-T18,-MIN(S20,MAX(0,T18-Inputs!$B$116)))</f>
        <v/>
      </c>
      <c r="U19" s="24">
        <f>IF(U18&lt;Inputs!$B$116,Inputs!$B$116-U18,-MIN(T20,MAX(0,U18-Inputs!$B$116)))</f>
        <v/>
      </c>
      <c r="V19" s="24">
        <f>IF(V18&lt;Inputs!$B$116,Inputs!$B$116-V18,-MIN(U20,MAX(0,V18-Inputs!$B$116)))</f>
        <v/>
      </c>
    </row>
    <row r="20">
      <c r="A20" s="31" t="inlineStr">
        <is>
          <t>Working-capital line balance</t>
        </is>
      </c>
      <c r="B20" s="24">
        <f>0</f>
        <v/>
      </c>
      <c r="C20" s="23">
        <f>B20+C19</f>
        <v/>
      </c>
      <c r="D20" s="23">
        <f>C20+D19</f>
        <v/>
      </c>
      <c r="E20" s="23">
        <f>D20+E19</f>
        <v/>
      </c>
      <c r="F20" s="23">
        <f>E20+F19</f>
        <v/>
      </c>
      <c r="G20" s="23">
        <f>F20+G19</f>
        <v/>
      </c>
      <c r="H20" s="23">
        <f>G20+H19</f>
        <v/>
      </c>
      <c r="I20" s="23">
        <f>H20+I19</f>
        <v/>
      </c>
      <c r="J20" s="23">
        <f>I20+J19</f>
        <v/>
      </c>
      <c r="K20" s="23">
        <f>J20+K19</f>
        <v/>
      </c>
      <c r="L20" s="23">
        <f>K20+L19</f>
        <v/>
      </c>
      <c r="M20" s="23">
        <f>L20+M19</f>
        <v/>
      </c>
      <c r="N20" s="23">
        <f>M20+N19</f>
        <v/>
      </c>
      <c r="O20" s="23">
        <f>N20+O19</f>
        <v/>
      </c>
      <c r="P20" s="23">
        <f>O20+P19</f>
        <v/>
      </c>
      <c r="Q20" s="23">
        <f>P20+Q19</f>
        <v/>
      </c>
      <c r="R20" s="23">
        <f>Q20+R19</f>
        <v/>
      </c>
      <c r="S20" s="23">
        <f>R20+S19</f>
        <v/>
      </c>
      <c r="T20" s="23">
        <f>S20+T19</f>
        <v/>
      </c>
      <c r="U20" s="23">
        <f>T20+U19</f>
        <v/>
      </c>
      <c r="V20" s="23">
        <f>U20+V19</f>
        <v/>
      </c>
    </row>
    <row r="21">
      <c r="A21" s="31" t="inlineStr">
        <is>
          <t>ENDING CASH</t>
        </is>
      </c>
      <c r="C21" s="48">
        <f>C18+C19</f>
        <v/>
      </c>
      <c r="D21" s="48">
        <f>D18+D19</f>
        <v/>
      </c>
      <c r="E21" s="48">
        <f>E18+E19</f>
        <v/>
      </c>
      <c r="F21" s="48">
        <f>F18+F19</f>
        <v/>
      </c>
      <c r="G21" s="48">
        <f>G18+G19</f>
        <v/>
      </c>
      <c r="H21" s="48">
        <f>H18+H19</f>
        <v/>
      </c>
      <c r="I21" s="48">
        <f>I18+I19</f>
        <v/>
      </c>
      <c r="J21" s="48">
        <f>J18+J19</f>
        <v/>
      </c>
      <c r="K21" s="48">
        <f>K18+K19</f>
        <v/>
      </c>
      <c r="L21" s="48">
        <f>L18+L19</f>
        <v/>
      </c>
      <c r="M21" s="48">
        <f>M18+M19</f>
        <v/>
      </c>
      <c r="N21" s="48">
        <f>N18+N19</f>
        <v/>
      </c>
      <c r="O21" s="48">
        <f>O18+O19</f>
        <v/>
      </c>
      <c r="P21" s="48">
        <f>P18+P19</f>
        <v/>
      </c>
      <c r="Q21" s="48">
        <f>Q18+Q19</f>
        <v/>
      </c>
      <c r="R21" s="48">
        <f>R18+R19</f>
        <v/>
      </c>
      <c r="S21" s="48">
        <f>S18+S19</f>
        <v/>
      </c>
      <c r="T21" s="48">
        <f>T18+T19</f>
        <v/>
      </c>
      <c r="U21" s="48">
        <f>U18+U19</f>
        <v/>
      </c>
      <c r="V21" s="48">
        <f>V18+V19</f>
        <v/>
      </c>
    </row>
    <row r="23">
      <c r="A23" s="3" t="inlineStr">
        <is>
          <t>BALANCE SHEET</t>
        </is>
      </c>
    </row>
    <row r="24">
      <c r="A24" s="4" t="inlineStr">
        <is>
          <t>Cash</t>
        </is>
      </c>
      <c r="B24" s="33">
        <f>Inputs!$B$139</f>
        <v/>
      </c>
      <c r="C24" s="24">
        <f>C21</f>
        <v/>
      </c>
      <c r="D24" s="24">
        <f>D21</f>
        <v/>
      </c>
      <c r="E24" s="24">
        <f>E21</f>
        <v/>
      </c>
      <c r="F24" s="24">
        <f>F21</f>
        <v/>
      </c>
      <c r="G24" s="24">
        <f>G21</f>
        <v/>
      </c>
      <c r="H24" s="24">
        <f>H21</f>
        <v/>
      </c>
      <c r="I24" s="24">
        <f>I21</f>
        <v/>
      </c>
      <c r="J24" s="24">
        <f>J21</f>
        <v/>
      </c>
      <c r="K24" s="24">
        <f>K21</f>
        <v/>
      </c>
      <c r="L24" s="24">
        <f>L21</f>
        <v/>
      </c>
      <c r="M24" s="24">
        <f>M21</f>
        <v/>
      </c>
      <c r="N24" s="24">
        <f>N21</f>
        <v/>
      </c>
      <c r="O24" s="24">
        <f>O21</f>
        <v/>
      </c>
      <c r="P24" s="24">
        <f>P21</f>
        <v/>
      </c>
      <c r="Q24" s="24">
        <f>Q21</f>
        <v/>
      </c>
      <c r="R24" s="24">
        <f>R21</f>
        <v/>
      </c>
      <c r="S24" s="24">
        <f>S21</f>
        <v/>
      </c>
      <c r="T24" s="24">
        <f>T21</f>
        <v/>
      </c>
      <c r="U24" s="24">
        <f>U21</f>
        <v/>
      </c>
      <c r="V24" s="24">
        <f>V21</f>
        <v/>
      </c>
    </row>
    <row r="25">
      <c r="A25" s="4" t="inlineStr">
        <is>
          <t>Accounts receivable</t>
        </is>
      </c>
      <c r="B25" s="24">
        <f>0</f>
        <v/>
      </c>
      <c r="C25" s="24">
        <f>C9</f>
        <v/>
      </c>
      <c r="D25" s="24">
        <f>D9</f>
        <v/>
      </c>
      <c r="E25" s="24">
        <f>E9</f>
        <v/>
      </c>
      <c r="F25" s="24">
        <f>F9</f>
        <v/>
      </c>
      <c r="G25" s="24">
        <f>G9</f>
        <v/>
      </c>
      <c r="H25" s="24">
        <f>H9</f>
        <v/>
      </c>
      <c r="I25" s="24">
        <f>I9</f>
        <v/>
      </c>
      <c r="J25" s="24">
        <f>J9</f>
        <v/>
      </c>
      <c r="K25" s="24">
        <f>K9</f>
        <v/>
      </c>
      <c r="L25" s="24">
        <f>L9</f>
        <v/>
      </c>
      <c r="M25" s="24">
        <f>M9</f>
        <v/>
      </c>
      <c r="N25" s="24">
        <f>N9</f>
        <v/>
      </c>
      <c r="O25" s="24">
        <f>O9</f>
        <v/>
      </c>
      <c r="P25" s="24">
        <f>P9</f>
        <v/>
      </c>
      <c r="Q25" s="24">
        <f>Q9</f>
        <v/>
      </c>
      <c r="R25" s="24">
        <f>R9</f>
        <v/>
      </c>
      <c r="S25" s="24">
        <f>S9</f>
        <v/>
      </c>
      <c r="T25" s="24">
        <f>T9</f>
        <v/>
      </c>
      <c r="U25" s="24">
        <f>U9</f>
        <v/>
      </c>
      <c r="V25" s="24">
        <f>V9</f>
        <v/>
      </c>
    </row>
    <row r="26">
      <c r="A26" s="4" t="inlineStr">
        <is>
          <t>PP&amp;E, net</t>
        </is>
      </c>
      <c r="B26" s="33">
        <f>Inputs!$B$117</f>
        <v/>
      </c>
      <c r="C26" s="24">
        <f>MAX(0,B26-Inputs!$B$117/Inputs!$B$118/12*1)</f>
        <v/>
      </c>
      <c r="D26" s="24">
        <f>MAX(0,C26-Inputs!$B$117/Inputs!$B$118/12*1)</f>
        <v/>
      </c>
      <c r="E26" s="24">
        <f>MAX(0,D26-Inputs!$B$117/Inputs!$B$118/12*1)</f>
        <v/>
      </c>
      <c r="F26" s="24">
        <f>MAX(0,E26-Inputs!$B$117/Inputs!$B$118/12*1)</f>
        <v/>
      </c>
      <c r="G26" s="24">
        <f>MAX(0,F26-Inputs!$B$117/Inputs!$B$118/12*1)</f>
        <v/>
      </c>
      <c r="H26" s="24">
        <f>MAX(0,G26-Inputs!$B$117/Inputs!$B$118/12*1)</f>
        <v/>
      </c>
      <c r="I26" s="24">
        <f>MAX(0,H26-Inputs!$B$117/Inputs!$B$118/12*1)</f>
        <v/>
      </c>
      <c r="J26" s="24">
        <f>MAX(0,I26-Inputs!$B$117/Inputs!$B$118/12*1)</f>
        <v/>
      </c>
      <c r="K26" s="24">
        <f>MAX(0,J26-Inputs!$B$117/Inputs!$B$118/12*1)</f>
        <v/>
      </c>
      <c r="L26" s="24">
        <f>MAX(0,K26-Inputs!$B$117/Inputs!$B$118/12*1)</f>
        <v/>
      </c>
      <c r="M26" s="24">
        <f>MAX(0,L26-Inputs!$B$117/Inputs!$B$118/12*1)</f>
        <v/>
      </c>
      <c r="N26" s="24">
        <f>MAX(0,M26-Inputs!$B$117/Inputs!$B$118/12*1)</f>
        <v/>
      </c>
      <c r="O26" s="24">
        <f>MAX(0,N26-Inputs!$B$117/Inputs!$B$118/12*3)</f>
        <v/>
      </c>
      <c r="P26" s="24">
        <f>MAX(0,O26-Inputs!$B$117/Inputs!$B$118/12*3)</f>
        <v/>
      </c>
      <c r="Q26" s="24">
        <f>MAX(0,P26-Inputs!$B$117/Inputs!$B$118/12*3)</f>
        <v/>
      </c>
      <c r="R26" s="24">
        <f>MAX(0,Q26-Inputs!$B$117/Inputs!$B$118/12*3)</f>
        <v/>
      </c>
      <c r="S26" s="24">
        <f>MAX(0,R26-Inputs!$B$117/Inputs!$B$118/12*3)</f>
        <v/>
      </c>
      <c r="T26" s="24">
        <f>MAX(0,S26-Inputs!$B$117/Inputs!$B$118/12*3)</f>
        <v/>
      </c>
      <c r="U26" s="24">
        <f>MAX(0,T26-Inputs!$B$117/Inputs!$B$118/12*3)</f>
        <v/>
      </c>
      <c r="V26" s="24">
        <f>MAX(0,U26-Inputs!$B$117/Inputs!$B$118/12*3)</f>
        <v/>
      </c>
    </row>
    <row r="27">
      <c r="A27" s="4" t="inlineStr">
        <is>
          <t>Startup &amp; organizational costs, net</t>
        </is>
      </c>
      <c r="B27" s="33">
        <f>Inputs!$B$138</f>
        <v/>
      </c>
      <c r="C27" s="24">
        <f>MAX(0,B27-Inputs!$B$138/Inputs!$B$118/12*1)</f>
        <v/>
      </c>
      <c r="D27" s="24">
        <f>MAX(0,C27-Inputs!$B$138/Inputs!$B$118/12*1)</f>
        <v/>
      </c>
      <c r="E27" s="24">
        <f>MAX(0,D27-Inputs!$B$138/Inputs!$B$118/12*1)</f>
        <v/>
      </c>
      <c r="F27" s="24">
        <f>MAX(0,E27-Inputs!$B$138/Inputs!$B$118/12*1)</f>
        <v/>
      </c>
      <c r="G27" s="24">
        <f>MAX(0,F27-Inputs!$B$138/Inputs!$B$118/12*1)</f>
        <v/>
      </c>
      <c r="H27" s="24">
        <f>MAX(0,G27-Inputs!$B$138/Inputs!$B$118/12*1)</f>
        <v/>
      </c>
      <c r="I27" s="24">
        <f>MAX(0,H27-Inputs!$B$138/Inputs!$B$118/12*1)</f>
        <v/>
      </c>
      <c r="J27" s="24">
        <f>MAX(0,I27-Inputs!$B$138/Inputs!$B$118/12*1)</f>
        <v/>
      </c>
      <c r="K27" s="24">
        <f>MAX(0,J27-Inputs!$B$138/Inputs!$B$118/12*1)</f>
        <v/>
      </c>
      <c r="L27" s="24">
        <f>MAX(0,K27-Inputs!$B$138/Inputs!$B$118/12*1)</f>
        <v/>
      </c>
      <c r="M27" s="24">
        <f>MAX(0,L27-Inputs!$B$138/Inputs!$B$118/12*1)</f>
        <v/>
      </c>
      <c r="N27" s="24">
        <f>MAX(0,M27-Inputs!$B$138/Inputs!$B$118/12*1)</f>
        <v/>
      </c>
      <c r="O27" s="24">
        <f>MAX(0,N27-Inputs!$B$138/Inputs!$B$118/12*3)</f>
        <v/>
      </c>
      <c r="P27" s="24">
        <f>MAX(0,O27-Inputs!$B$138/Inputs!$B$118/12*3)</f>
        <v/>
      </c>
      <c r="Q27" s="24">
        <f>MAX(0,P27-Inputs!$B$138/Inputs!$B$118/12*3)</f>
        <v/>
      </c>
      <c r="R27" s="24">
        <f>MAX(0,Q27-Inputs!$B$138/Inputs!$B$118/12*3)</f>
        <v/>
      </c>
      <c r="S27" s="24">
        <f>MAX(0,R27-Inputs!$B$138/Inputs!$B$118/12*3)</f>
        <v/>
      </c>
      <c r="T27" s="24">
        <f>MAX(0,S27-Inputs!$B$138/Inputs!$B$118/12*3)</f>
        <v/>
      </c>
      <c r="U27" s="24">
        <f>MAX(0,T27-Inputs!$B$138/Inputs!$B$118/12*3)</f>
        <v/>
      </c>
      <c r="V27" s="24">
        <f>MAX(0,U27-Inputs!$B$138/Inputs!$B$118/12*3)</f>
        <v/>
      </c>
    </row>
    <row r="28">
      <c r="A28" s="4" t="inlineStr">
        <is>
          <t>Hickory Medicare license intangible, net</t>
        </is>
      </c>
      <c r="B28" s="33">
        <f>Inputs!$B$120</f>
        <v/>
      </c>
      <c r="C28" s="24">
        <f>MAX(0,B28-Inputs!$B$120/Inputs!$B$123/12*1)</f>
        <v/>
      </c>
      <c r="D28" s="24">
        <f>MAX(0,C28-Inputs!$B$120/Inputs!$B$123/12*1)</f>
        <v/>
      </c>
      <c r="E28" s="24">
        <f>MAX(0,D28-Inputs!$B$120/Inputs!$B$123/12*1)</f>
        <v/>
      </c>
      <c r="F28" s="24">
        <f>MAX(0,E28-Inputs!$B$120/Inputs!$B$123/12*1)</f>
        <v/>
      </c>
      <c r="G28" s="24">
        <f>MAX(0,F28-Inputs!$B$120/Inputs!$B$123/12*1)</f>
        <v/>
      </c>
      <c r="H28" s="24">
        <f>MAX(0,G28-Inputs!$B$120/Inputs!$B$123/12*1)</f>
        <v/>
      </c>
      <c r="I28" s="24">
        <f>MAX(0,H28-Inputs!$B$120/Inputs!$B$123/12*1)</f>
        <v/>
      </c>
      <c r="J28" s="24">
        <f>MAX(0,I28-Inputs!$B$120/Inputs!$B$123/12*1)</f>
        <v/>
      </c>
      <c r="K28" s="24">
        <f>MAX(0,J28-Inputs!$B$120/Inputs!$B$123/12*1)</f>
        <v/>
      </c>
      <c r="L28" s="24">
        <f>MAX(0,K28-Inputs!$B$120/Inputs!$B$123/12*1)</f>
        <v/>
      </c>
      <c r="M28" s="24">
        <f>MAX(0,L28-Inputs!$B$120/Inputs!$B$123/12*1)</f>
        <v/>
      </c>
      <c r="N28" s="24">
        <f>MAX(0,M28-Inputs!$B$120/Inputs!$B$123/12*1)</f>
        <v/>
      </c>
      <c r="O28" s="24">
        <f>MAX(0,N28-Inputs!$B$120/Inputs!$B$123/12*3)</f>
        <v/>
      </c>
      <c r="P28" s="24">
        <f>MAX(0,O28-Inputs!$B$120/Inputs!$B$123/12*3)</f>
        <v/>
      </c>
      <c r="Q28" s="24">
        <f>MAX(0,P28-Inputs!$B$120/Inputs!$B$123/12*3)</f>
        <v/>
      </c>
      <c r="R28" s="24">
        <f>MAX(0,Q28-Inputs!$B$120/Inputs!$B$123/12*3)</f>
        <v/>
      </c>
      <c r="S28" s="24">
        <f>MAX(0,R28-Inputs!$B$120/Inputs!$B$123/12*3)</f>
        <v/>
      </c>
      <c r="T28" s="24">
        <f>MAX(0,S28-Inputs!$B$120/Inputs!$B$123/12*3)</f>
        <v/>
      </c>
      <c r="U28" s="24">
        <f>MAX(0,T28-Inputs!$B$120/Inputs!$B$123/12*3)</f>
        <v/>
      </c>
      <c r="V28" s="24">
        <f>MAX(0,U28-Inputs!$B$120/Inputs!$B$123/12*3)</f>
        <v/>
      </c>
    </row>
    <row r="29">
      <c r="A29" s="31" t="inlineStr">
        <is>
          <t>TOTAL ASSETS</t>
        </is>
      </c>
      <c r="B29" s="61">
        <f>B24+B25+B26+B27+B28</f>
        <v/>
      </c>
      <c r="C29" s="61">
        <f>C24+C25+C26+C27+C28</f>
        <v/>
      </c>
      <c r="D29" s="61">
        <f>D24+D25+D26+D27+D28</f>
        <v/>
      </c>
      <c r="E29" s="61">
        <f>E24+E25+E26+E27+E28</f>
        <v/>
      </c>
      <c r="F29" s="61">
        <f>F24+F25+F26+F27+F28</f>
        <v/>
      </c>
      <c r="G29" s="61">
        <f>G24+G25+G26+G27+G28</f>
        <v/>
      </c>
      <c r="H29" s="61">
        <f>H24+H25+H26+H27+H28</f>
        <v/>
      </c>
      <c r="I29" s="61">
        <f>I24+I25+I26+I27+I28</f>
        <v/>
      </c>
      <c r="J29" s="61">
        <f>J24+J25+J26+J27+J28</f>
        <v/>
      </c>
      <c r="K29" s="61">
        <f>K24+K25+K26+K27+K28</f>
        <v/>
      </c>
      <c r="L29" s="61">
        <f>L24+L25+L26+L27+L28</f>
        <v/>
      </c>
      <c r="M29" s="61">
        <f>M24+M25+M26+M27+M28</f>
        <v/>
      </c>
      <c r="N29" s="61">
        <f>N24+N25+N26+N27+N28</f>
        <v/>
      </c>
      <c r="O29" s="61">
        <f>O24+O25+O26+O27+O28</f>
        <v/>
      </c>
      <c r="P29" s="61">
        <f>P24+P25+P26+P27+P28</f>
        <v/>
      </c>
      <c r="Q29" s="61">
        <f>Q24+Q25+Q26+Q27+Q28</f>
        <v/>
      </c>
      <c r="R29" s="61">
        <f>R24+R25+R26+R27+R28</f>
        <v/>
      </c>
      <c r="S29" s="61">
        <f>S24+S25+S26+S27+S28</f>
        <v/>
      </c>
      <c r="T29" s="61">
        <f>T24+T25+T26+T27+T28</f>
        <v/>
      </c>
      <c r="U29" s="61">
        <f>U24+U25+U26+U27+U28</f>
        <v/>
      </c>
      <c r="V29" s="61">
        <f>V24+V25+V26+V27+V28</f>
        <v/>
      </c>
    </row>
    <row r="31">
      <c r="A31" s="4" t="inlineStr">
        <is>
          <t>Accounts payable</t>
        </is>
      </c>
      <c r="B31" s="24">
        <f>0</f>
        <v/>
      </c>
      <c r="C31" s="24">
        <f>C10</f>
        <v/>
      </c>
      <c r="D31" s="24">
        <f>D10</f>
        <v/>
      </c>
      <c r="E31" s="24">
        <f>E10</f>
        <v/>
      </c>
      <c r="F31" s="24">
        <f>F10</f>
        <v/>
      </c>
      <c r="G31" s="24">
        <f>G10</f>
        <v/>
      </c>
      <c r="H31" s="24">
        <f>H10</f>
        <v/>
      </c>
      <c r="I31" s="24">
        <f>I10</f>
        <v/>
      </c>
      <c r="J31" s="24">
        <f>J10</f>
        <v/>
      </c>
      <c r="K31" s="24">
        <f>K10</f>
        <v/>
      </c>
      <c r="L31" s="24">
        <f>L10</f>
        <v/>
      </c>
      <c r="M31" s="24">
        <f>M10</f>
        <v/>
      </c>
      <c r="N31" s="24">
        <f>N10</f>
        <v/>
      </c>
      <c r="O31" s="24">
        <f>O10</f>
        <v/>
      </c>
      <c r="P31" s="24">
        <f>P10</f>
        <v/>
      </c>
      <c r="Q31" s="24">
        <f>Q10</f>
        <v/>
      </c>
      <c r="R31" s="24">
        <f>R10</f>
        <v/>
      </c>
      <c r="S31" s="24">
        <f>S10</f>
        <v/>
      </c>
      <c r="T31" s="24">
        <f>T10</f>
        <v/>
      </c>
      <c r="U31" s="24">
        <f>U10</f>
        <v/>
      </c>
      <c r="V31" s="24">
        <f>V10</f>
        <v/>
      </c>
    </row>
    <row r="32">
      <c r="A32" s="4" t="inlineStr">
        <is>
          <t>Working-capital line</t>
        </is>
      </c>
      <c r="B32" s="24">
        <f>0</f>
        <v/>
      </c>
      <c r="C32" s="24">
        <f>C20</f>
        <v/>
      </c>
      <c r="D32" s="24">
        <f>D20</f>
        <v/>
      </c>
      <c r="E32" s="24">
        <f>E20</f>
        <v/>
      </c>
      <c r="F32" s="24">
        <f>F20</f>
        <v/>
      </c>
      <c r="G32" s="24">
        <f>G20</f>
        <v/>
      </c>
      <c r="H32" s="24">
        <f>H20</f>
        <v/>
      </c>
      <c r="I32" s="24">
        <f>I20</f>
        <v/>
      </c>
      <c r="J32" s="24">
        <f>J20</f>
        <v/>
      </c>
      <c r="K32" s="24">
        <f>K20</f>
        <v/>
      </c>
      <c r="L32" s="24">
        <f>L20</f>
        <v/>
      </c>
      <c r="M32" s="24">
        <f>M20</f>
        <v/>
      </c>
      <c r="N32" s="24">
        <f>N20</f>
        <v/>
      </c>
      <c r="O32" s="24">
        <f>O20</f>
        <v/>
      </c>
      <c r="P32" s="24">
        <f>P20</f>
        <v/>
      </c>
      <c r="Q32" s="24">
        <f>Q20</f>
        <v/>
      </c>
      <c r="R32" s="24">
        <f>R20</f>
        <v/>
      </c>
      <c r="S32" s="24">
        <f>S20</f>
        <v/>
      </c>
      <c r="T32" s="24">
        <f>T20</f>
        <v/>
      </c>
      <c r="U32" s="24">
        <f>U20</f>
        <v/>
      </c>
      <c r="V32" s="24">
        <f>V20</f>
        <v/>
      </c>
    </row>
    <row r="33">
      <c r="A33" s="4" t="inlineStr">
        <is>
          <t>SBA loan balance</t>
        </is>
      </c>
      <c r="B33" s="33">
        <f>Inputs!$B$110</f>
        <v/>
      </c>
      <c r="C33" s="33">
        <f>'Debt Schedule'!C15</f>
        <v/>
      </c>
      <c r="D33" s="33">
        <f>'Debt Schedule'!D15</f>
        <v/>
      </c>
      <c r="E33" s="33">
        <f>'Debt Schedule'!E15</f>
        <v/>
      </c>
      <c r="F33" s="33">
        <f>'Debt Schedule'!F15</f>
        <v/>
      </c>
      <c r="G33" s="33">
        <f>'Debt Schedule'!G15</f>
        <v/>
      </c>
      <c r="H33" s="33">
        <f>'Debt Schedule'!H15</f>
        <v/>
      </c>
      <c r="I33" s="33">
        <f>'Debt Schedule'!I15</f>
        <v/>
      </c>
      <c r="J33" s="33">
        <f>'Debt Schedule'!J15</f>
        <v/>
      </c>
      <c r="K33" s="33">
        <f>'Debt Schedule'!K15</f>
        <v/>
      </c>
      <c r="L33" s="33">
        <f>'Debt Schedule'!L15</f>
        <v/>
      </c>
      <c r="M33" s="33">
        <f>'Debt Schedule'!M15</f>
        <v/>
      </c>
      <c r="N33" s="33">
        <f>'Debt Schedule'!N15</f>
        <v/>
      </c>
      <c r="O33" s="33">
        <f>'Debt Schedule'!O15</f>
        <v/>
      </c>
      <c r="P33" s="33">
        <f>'Debt Schedule'!P15</f>
        <v/>
      </c>
      <c r="Q33" s="33">
        <f>'Debt Schedule'!Q15</f>
        <v/>
      </c>
      <c r="R33" s="33">
        <f>'Debt Schedule'!R15</f>
        <v/>
      </c>
      <c r="S33" s="33">
        <f>'Debt Schedule'!S15</f>
        <v/>
      </c>
      <c r="T33" s="33">
        <f>'Debt Schedule'!T15</f>
        <v/>
      </c>
      <c r="U33" s="33">
        <f>'Debt Schedule'!U15</f>
        <v/>
      </c>
      <c r="V33" s="33">
        <f>'Debt Schedule'!V15</f>
        <v/>
      </c>
    </row>
    <row r="34">
      <c r="A34" s="4" t="inlineStr">
        <is>
          <t>Hickory license note balance</t>
        </is>
      </c>
      <c r="B34" s="33">
        <f>Inputs!$B$120</f>
        <v/>
      </c>
      <c r="C34" s="33">
        <f>'Debt Schedule'!C22</f>
        <v/>
      </c>
      <c r="D34" s="33">
        <f>'Debt Schedule'!D22</f>
        <v/>
      </c>
      <c r="E34" s="33">
        <f>'Debt Schedule'!E22</f>
        <v/>
      </c>
      <c r="F34" s="33">
        <f>'Debt Schedule'!F22</f>
        <v/>
      </c>
      <c r="G34" s="33">
        <f>'Debt Schedule'!G22</f>
        <v/>
      </c>
      <c r="H34" s="33">
        <f>'Debt Schedule'!H22</f>
        <v/>
      </c>
      <c r="I34" s="33">
        <f>'Debt Schedule'!I22</f>
        <v/>
      </c>
      <c r="J34" s="33">
        <f>'Debt Schedule'!J22</f>
        <v/>
      </c>
      <c r="K34" s="33">
        <f>'Debt Schedule'!K22</f>
        <v/>
      </c>
      <c r="L34" s="33">
        <f>'Debt Schedule'!L22</f>
        <v/>
      </c>
      <c r="M34" s="33">
        <f>'Debt Schedule'!M22</f>
        <v/>
      </c>
      <c r="N34" s="33">
        <f>'Debt Schedule'!N22</f>
        <v/>
      </c>
      <c r="O34" s="33">
        <f>'Debt Schedule'!O22</f>
        <v/>
      </c>
      <c r="P34" s="33">
        <f>'Debt Schedule'!P22</f>
        <v/>
      </c>
      <c r="Q34" s="33">
        <f>'Debt Schedule'!Q22</f>
        <v/>
      </c>
      <c r="R34" s="33">
        <f>'Debt Schedule'!R22</f>
        <v/>
      </c>
      <c r="S34" s="33">
        <f>'Debt Schedule'!S22</f>
        <v/>
      </c>
      <c r="T34" s="33">
        <f>'Debt Schedule'!T22</f>
        <v/>
      </c>
      <c r="U34" s="33">
        <f>'Debt Schedule'!U22</f>
        <v/>
      </c>
      <c r="V34" s="33">
        <f>'Debt Schedule'!V22</f>
        <v/>
      </c>
    </row>
    <row r="35">
      <c r="A35" s="4" t="inlineStr">
        <is>
          <t>Paid-in equity</t>
        </is>
      </c>
      <c r="B35" s="62">
        <f>Inputs!$B$113</f>
        <v/>
      </c>
      <c r="C35" s="62">
        <f>Inputs!$B$113</f>
        <v/>
      </c>
      <c r="D35" s="62">
        <f>Inputs!$B$113</f>
        <v/>
      </c>
      <c r="E35" s="62">
        <f>Inputs!$B$113</f>
        <v/>
      </c>
      <c r="F35" s="62">
        <f>Inputs!$B$113</f>
        <v/>
      </c>
      <c r="G35" s="62">
        <f>Inputs!$B$113</f>
        <v/>
      </c>
      <c r="H35" s="62">
        <f>Inputs!$B$113</f>
        <v/>
      </c>
      <c r="I35" s="62">
        <f>Inputs!$B$113</f>
        <v/>
      </c>
      <c r="J35" s="62">
        <f>Inputs!$B$113</f>
        <v/>
      </c>
      <c r="K35" s="62">
        <f>Inputs!$B$113</f>
        <v/>
      </c>
      <c r="L35" s="62">
        <f>Inputs!$B$113</f>
        <v/>
      </c>
      <c r="M35" s="62">
        <f>Inputs!$B$113</f>
        <v/>
      </c>
      <c r="N35" s="62">
        <f>Inputs!$B$113</f>
        <v/>
      </c>
      <c r="O35" s="62">
        <f>Inputs!$B$113</f>
        <v/>
      </c>
      <c r="P35" s="62">
        <f>Inputs!$B$113</f>
        <v/>
      </c>
      <c r="Q35" s="62">
        <f>Inputs!$B$113</f>
        <v/>
      </c>
      <c r="R35" s="62">
        <f>Inputs!$B$113</f>
        <v/>
      </c>
      <c r="S35" s="62">
        <f>Inputs!$B$113</f>
        <v/>
      </c>
      <c r="T35" s="62">
        <f>Inputs!$B$113</f>
        <v/>
      </c>
      <c r="U35" s="62">
        <f>Inputs!$B$113</f>
        <v/>
      </c>
      <c r="V35" s="62">
        <f>Inputs!$B$113</f>
        <v/>
      </c>
    </row>
    <row r="36">
      <c r="A36" s="4" t="inlineStr">
        <is>
          <t>Retained earnings</t>
        </is>
      </c>
      <c r="B36" s="24">
        <f>0</f>
        <v/>
      </c>
      <c r="C36" s="24">
        <f>B36+C7</f>
        <v/>
      </c>
      <c r="D36" s="24">
        <f>C36+D7</f>
        <v/>
      </c>
      <c r="E36" s="24">
        <f>D36+E7</f>
        <v/>
      </c>
      <c r="F36" s="24">
        <f>E36+F7</f>
        <v/>
      </c>
      <c r="G36" s="24">
        <f>F36+G7</f>
        <v/>
      </c>
      <c r="H36" s="24">
        <f>G36+H7</f>
        <v/>
      </c>
      <c r="I36" s="24">
        <f>H36+I7</f>
        <v/>
      </c>
      <c r="J36" s="24">
        <f>I36+J7</f>
        <v/>
      </c>
      <c r="K36" s="24">
        <f>J36+K7</f>
        <v/>
      </c>
      <c r="L36" s="24">
        <f>K36+L7</f>
        <v/>
      </c>
      <c r="M36" s="24">
        <f>L36+M7</f>
        <v/>
      </c>
      <c r="N36" s="24">
        <f>M36+N7</f>
        <v/>
      </c>
      <c r="O36" s="24">
        <f>N36+O7</f>
        <v/>
      </c>
      <c r="P36" s="24">
        <f>O36+P7</f>
        <v/>
      </c>
      <c r="Q36" s="24">
        <f>P36+Q7</f>
        <v/>
      </c>
      <c r="R36" s="24">
        <f>Q36+R7</f>
        <v/>
      </c>
      <c r="S36" s="24">
        <f>R36+S7</f>
        <v/>
      </c>
      <c r="T36" s="24">
        <f>S36+T7</f>
        <v/>
      </c>
      <c r="U36" s="24">
        <f>T36+U7</f>
        <v/>
      </c>
      <c r="V36" s="24">
        <f>U36+V7</f>
        <v/>
      </c>
    </row>
    <row r="37">
      <c r="A37" s="31" t="inlineStr">
        <is>
          <t>TOTAL LIABILITIES &amp; EQUITY</t>
        </is>
      </c>
      <c r="B37" s="61">
        <f>B31+B32+B33+B34+B35+B36</f>
        <v/>
      </c>
      <c r="C37" s="61">
        <f>C31+C32+C33+C34+C35+C36</f>
        <v/>
      </c>
      <c r="D37" s="61">
        <f>D31+D32+D33+D34+D35+D36</f>
        <v/>
      </c>
      <c r="E37" s="61">
        <f>E31+E32+E33+E34+E35+E36</f>
        <v/>
      </c>
      <c r="F37" s="61">
        <f>F31+F32+F33+F34+F35+F36</f>
        <v/>
      </c>
      <c r="G37" s="61">
        <f>G31+G32+G33+G34+G35+G36</f>
        <v/>
      </c>
      <c r="H37" s="61">
        <f>H31+H32+H33+H34+H35+H36</f>
        <v/>
      </c>
      <c r="I37" s="61">
        <f>I31+I32+I33+I34+I35+I36</f>
        <v/>
      </c>
      <c r="J37" s="61">
        <f>J31+J32+J33+J34+J35+J36</f>
        <v/>
      </c>
      <c r="K37" s="61">
        <f>K31+K32+K33+K34+K35+K36</f>
        <v/>
      </c>
      <c r="L37" s="61">
        <f>L31+L32+L33+L34+L35+L36</f>
        <v/>
      </c>
      <c r="M37" s="61">
        <f>M31+M32+M33+M34+M35+M36</f>
        <v/>
      </c>
      <c r="N37" s="61">
        <f>N31+N32+N33+N34+N35+N36</f>
        <v/>
      </c>
      <c r="O37" s="61">
        <f>O31+O32+O33+O34+O35+O36</f>
        <v/>
      </c>
      <c r="P37" s="61">
        <f>P31+P32+P33+P34+P35+P36</f>
        <v/>
      </c>
      <c r="Q37" s="61">
        <f>Q31+Q32+Q33+Q34+Q35+Q36</f>
        <v/>
      </c>
      <c r="R37" s="61">
        <f>R31+R32+R33+R34+R35+R36</f>
        <v/>
      </c>
      <c r="S37" s="61">
        <f>S31+S32+S33+S34+S35+S36</f>
        <v/>
      </c>
      <c r="T37" s="61">
        <f>T31+T32+T33+T34+T35+T36</f>
        <v/>
      </c>
      <c r="U37" s="61">
        <f>U31+U32+U33+U34+U35+U36</f>
        <v/>
      </c>
      <c r="V37" s="61">
        <f>V31+V32+V33+V34+V35+V36</f>
        <v/>
      </c>
    </row>
    <row r="38">
      <c r="A38" s="31" t="inlineStr">
        <is>
          <t>CHECK: Assets - (L+E) to 0</t>
        </is>
      </c>
      <c r="B38" s="63">
        <f>B29-B37</f>
        <v/>
      </c>
      <c r="C38" s="63">
        <f>C29-C37</f>
        <v/>
      </c>
      <c r="D38" s="63">
        <f>D29-D37</f>
        <v/>
      </c>
      <c r="E38" s="63">
        <f>E29-E37</f>
        <v/>
      </c>
      <c r="F38" s="63">
        <f>F29-F37</f>
        <v/>
      </c>
      <c r="G38" s="63">
        <f>G29-G37</f>
        <v/>
      </c>
      <c r="H38" s="63">
        <f>H29-H37</f>
        <v/>
      </c>
      <c r="I38" s="63">
        <f>I29-I37</f>
        <v/>
      </c>
      <c r="J38" s="63">
        <f>J29-J37</f>
        <v/>
      </c>
      <c r="K38" s="63">
        <f>K29-K37</f>
        <v/>
      </c>
      <c r="L38" s="63">
        <f>L29-L37</f>
        <v/>
      </c>
      <c r="M38" s="63">
        <f>M29-M37</f>
        <v/>
      </c>
      <c r="N38" s="63">
        <f>N29-N37</f>
        <v/>
      </c>
      <c r="O38" s="63">
        <f>O29-O37</f>
        <v/>
      </c>
      <c r="P38" s="63">
        <f>P29-P37</f>
        <v/>
      </c>
      <c r="Q38" s="63">
        <f>Q29-Q37</f>
        <v/>
      </c>
      <c r="R38" s="63">
        <f>R29-R37</f>
        <v/>
      </c>
      <c r="S38" s="63">
        <f>S29-S37</f>
        <v/>
      </c>
      <c r="T38" s="63">
        <f>T29-T37</f>
        <v/>
      </c>
      <c r="U38" s="63">
        <f>U29-U37</f>
        <v/>
      </c>
      <c r="V38" s="63">
        <f>V29-V37</f>
        <v/>
      </c>
    </row>
  </sheetData>
  <mergeCells count="7">
    <mergeCell ref="A1:W1"/>
    <mergeCell ref="O4:R4"/>
    <mergeCell ref="A23:W23"/>
    <mergeCell ref="S4:V4"/>
    <mergeCell ref="A6:W6"/>
    <mergeCell ref="A2:W2"/>
    <mergeCell ref="C4:N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Paloma Tyler actuals (Mar-Jun 2025) vs Azalea model steady-state - proof the migrated panel is a proven, EBITDA-positive book</t>
        </is>
      </c>
    </row>
    <row r="4">
      <c r="A4" s="37" t="inlineStr">
        <is>
          <t>Metric</t>
        </is>
      </c>
      <c r="B4" s="32" t="inlineStr">
        <is>
          <t>Mar 2025</t>
        </is>
      </c>
      <c r="C4" s="32" t="inlineStr">
        <is>
          <t>Apr 2025</t>
        </is>
      </c>
      <c r="D4" s="32" t="inlineStr">
        <is>
          <t>May 2025</t>
        </is>
      </c>
      <c r="E4" s="32" t="inlineStr">
        <is>
          <t>Jun 2025</t>
        </is>
      </c>
      <c r="F4" s="32" t="inlineStr">
        <is>
          <t>Apr-Jun avg</t>
        </is>
      </c>
      <c r="G4" s="32" t="inlineStr">
        <is>
          <t>Model (M3)</t>
        </is>
      </c>
      <c r="H4" s="32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33">
        <f>'Revenue Model'!E14</f>
        <v/>
      </c>
      <c r="H5" s="34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31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42">
        <f>'Revenue Model'!E17</f>
        <v/>
      </c>
      <c r="H8" s="59">
        <f>IF(F8=0,0,(G8-F8)/F8)</f>
        <v/>
      </c>
    </row>
    <row r="9">
      <c r="A9" s="21" t="inlineStr">
        <is>
          <t>Implied ADC (net ÷ $181 ÷ days)</t>
        </is>
      </c>
      <c r="B9" s="64">
        <f>B8/Inputs!$B$12/31</f>
        <v/>
      </c>
      <c r="C9" s="64">
        <f>C8/Inputs!$B$12/30</f>
        <v/>
      </c>
      <c r="D9" s="64">
        <f>D8/Inputs!$B$12/31</f>
        <v/>
      </c>
      <c r="E9" s="64">
        <f>E8/Inputs!$B$12/30</f>
        <v/>
      </c>
      <c r="F9" s="64">
        <f>AVERAGE(C9:E9)</f>
        <v/>
      </c>
      <c r="G9" s="40">
        <f>'Revenue Model'!E10</f>
        <v/>
      </c>
      <c r="H9" s="34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33">
        <f>'Revenue Model'!E12*Inputs!$B$88</f>
        <v/>
      </c>
      <c r="H12" s="34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33">
        <f>'Revenue Model'!E12*Inputs!$B$86</f>
        <v/>
      </c>
      <c r="H13" s="34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33">
        <f>'Revenue Model'!E12*Inputs!$B$87</f>
        <v/>
      </c>
      <c r="H14" s="34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- 1st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- 2nd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31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42">
        <f>'Staffing &amp; Payroll'!E53+'Staffing &amp; Payroll'!E54</f>
        <v/>
      </c>
    </row>
    <row r="21">
      <c r="A21" s="36" t="inlineStr">
        <is>
          <t>Model steady-state (M3) reconciles to Paloma's proven Apr-Jun book: ~$118K net / ~22 ADC. Payroll differs by design -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Azalea Hospice</dc:creator>
  <dc:title>Azalea Hospice - Operations Dashboard</dc:title>
  <dc:description>Financial model for Azalea Hospice &amp; Palliative Care.</dc:description>
  <dc:subject>Azalea Hospice</dc:subject>
  <dcterms:created xsi:type="dcterms:W3CDTF">2026-06-02T19:55:50Z</dcterms:created>
  <dcterms:modified xsi:type="dcterms:W3CDTF">2026-06-02T19:55:50Z</dcterms:modified>
  <cp:lastModifiedBy>Azalea Hospice</cp:lastModifiedBy>
  <cp:keywords>hospice, financial model</cp:keywords>
</cp:coreProperties>
</file>