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uals vs Budget" sheetId="3" state="visible" r:id="rId3"/>
    <sheet xmlns:r="http://schemas.openxmlformats.org/officeDocument/2006/relationships" name="Staffing Tracker" sheetId="4" state="visible" r:id="rId4"/>
    <sheet xmlns:r="http://schemas.openxmlformats.org/officeDocument/2006/relationships" name="Cap &amp; Payroll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ADC ramp (M1 - Y3 Q4)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for startup costs + working-capital reserve (the Hickory acquisition is funded by the bank term loan below). FLAG / CONFIRM: go-forward assumption, not in Paloma actuals.</t>
      </text>
    </comment>
    <comment ref="B111" authorId="0" shapeId="0">
      <text>
        <t>Typical 7(a) variable: Prime ~7.5% + 3.0% spread. FLAG / CONFIRM: go-forward assumption, not in Paloma actuals.</t>
      </text>
    </comment>
    <comment ref="B112" authorId="0" shapeId="0">
      <text>
        <t>15-year amortization. FLAG / CONFIRM: go-forward assumption, not in Paloma actuals.</t>
      </text>
    </comment>
    <comment ref="B113" authorId="0" shapeId="0">
      <text>
        <t>Cash capital contribution by James Bullard (19.5% passive member); $180K designated as the SBA equity injection.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purchase 100% of Hickory Hospice LLC's membership interests; its Medicare-certified provider number conveys with the entity (Azalea bills from day 1). Funded by the bank term loan below.</t>
      </text>
    </comment>
    <comment ref="B121" authorId="0" shapeId="0">
      <text>
        <t>Concurrent bank term loan (Jim Bullard's bank); Jim personally guarantees. Subordinate to the SBA loan.</t>
      </text>
    </comment>
    <comment ref="B122" authorId="0" shapeId="0">
      <text>
        <t>3-year monthly P+I amortization.</t>
      </text>
    </comment>
    <comment ref="B123" authorId="0" shapeId="0">
      <text>
        <t>GAAP intangible amortization - non-cash, below EBITDA. No effect on DSCR. Confirm tax treatment of a membership-interest purchase with CPA.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450000</v>
      </c>
    </row>
    <row r="111">
      <c r="A111" s="4" t="inlineStr">
        <is>
          <t>SBA interest rate (APR)</t>
        </is>
      </c>
      <c r="B111" s="7" t="n">
        <v>0.105</v>
      </c>
    </row>
    <row r="112">
      <c r="A112" s="4" t="inlineStr">
        <is>
          <t>SBA term (months)</t>
        </is>
      </c>
      <c r="B112" s="17" t="n">
        <v>180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acquisition - purchase price ($)</t>
        </is>
      </c>
      <c r="B120" s="9" t="n">
        <v>300000</v>
      </c>
    </row>
    <row r="121">
      <c r="A121" s="4" t="inlineStr">
        <is>
          <t>Acquisition bank loan rate (APR)</t>
        </is>
      </c>
      <c r="B121" s="7" t="n">
        <v>0.06</v>
      </c>
    </row>
    <row r="122">
      <c r="A122" s="4" t="inlineStr">
        <is>
          <t>Acquisition bank loan term (months)</t>
        </is>
      </c>
      <c r="B122" s="17" t="n">
        <v>36</v>
      </c>
    </row>
    <row r="123">
      <c r="A123" s="4" t="inlineStr">
        <is>
          <t>Acquisition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</t>
        </is>
      </c>
      <c r="B139" s="23">
        <f>Inputs!$B$113+Inputs!$B$110-Inputs!$B$138-Inputs!$B$117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Operations Dashboard -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Budget'!S24:V24)/SUM('Operating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Monthly Actuals vs Budget -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Budget'!C23:N23,$B$4)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Budget'!C24:N24,$B$4)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Budget'!C34:N34,$B$4)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6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Tracker - staggered-hire calendar | capacity vs demand |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- 2nd CNA</t>
        </is>
      </c>
      <c r="B13" s="20" t="inlineStr">
        <is>
          <t>CNA / Hospice Aide (capacity-driven, triggers ADC&gt;=25)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FT Social Worker (MSW)</t>
        </is>
      </c>
      <c r="B14" s="20" t="inlineStr">
        <is>
          <t>Core IDG MSW (converts PRN SW to salaried)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FT LVN - visits / on-call</t>
        </is>
      </c>
      <c r="B15" s="20" t="inlineStr">
        <is>
          <t>Core IDG LVN (converts PRN LVN to salaried)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FT Chaplain</t>
        </is>
      </c>
      <c r="B16" s="20" t="inlineStr">
        <is>
          <t>Core IDG spiritual care (converts PRN chaplain to FT)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- 3rd RN</t>
        </is>
      </c>
      <c r="B17" s="20" t="inlineStr">
        <is>
          <t>RN Case Manager (capacity-driven, ADC&gt;=30)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- 3rd CNA</t>
        </is>
      </c>
      <c r="B18" s="20" t="inlineStr">
        <is>
          <t>CNA / Hospice Aide (capacity-driven, ADC&gt;=32)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Capacity hire - 4th RN</t>
        </is>
      </c>
      <c r="B19" s="20" t="inlineStr">
        <is>
          <t>RN Case Manager (capacity-driven, ADC&gt;=38)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- 4th CNA</t>
        </is>
      </c>
      <c r="B20" s="20" t="inlineStr">
        <is>
          <t>CNA / Hospice Aide (capacity-driven, ADC&gt;=40)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Capacity hire - 5th RN</t>
        </is>
      </c>
      <c r="B21" s="20" t="inlineStr">
        <is>
          <t>RN Case Manager (capacity-driven, ADC&gt;=48)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- 5th CNA</t>
        </is>
      </c>
      <c r="B22" s="20" t="inlineStr">
        <is>
          <t>CNA / Hospice Aide (capacity-driven, ADC&gt;=50)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- 6th CNA</t>
        </is>
      </c>
      <c r="B23" s="20" t="inlineStr">
        <is>
          <t>CNA / Hospice Aide (capacity-driven, ADC&gt;=54)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4">
      <c r="A24" s="4" t="inlineStr">
        <is>
          <t>Capacity hire - 6th RN</t>
        </is>
      </c>
      <c r="B24" s="20" t="inlineStr">
        <is>
          <t>RN Case Manager (capacity-driven, ADC&gt;=55)</t>
        </is>
      </c>
      <c r="C24" s="33">
        <f>Inputs!$C$55</f>
        <v/>
      </c>
      <c r="D24" s="38">
        <f>Inputs!$D$55</f>
        <v/>
      </c>
      <c r="E24" s="20" t="inlineStr">
        <is>
          <t>Filled</t>
        </is>
      </c>
    </row>
    <row r="25">
      <c r="A25" s="4" t="inlineStr">
        <is>
          <t>Quality / Compliance Manager</t>
        </is>
      </c>
      <c r="B25" s="20" t="inlineStr">
        <is>
          <t>QAPI program | CoP compliance | surveys</t>
        </is>
      </c>
      <c r="C25" s="33">
        <f>Inputs!$C$56</f>
        <v/>
      </c>
      <c r="D25" s="38">
        <f>Inputs!$D$56</f>
        <v/>
      </c>
      <c r="E25" s="20" t="inlineStr">
        <is>
          <t>Filled</t>
        </is>
      </c>
    </row>
    <row r="26">
      <c r="A26" s="4" t="inlineStr">
        <is>
          <t>Intake / Admissions Coordinator</t>
        </is>
      </c>
      <c r="B26" s="20" t="inlineStr">
        <is>
          <t>Referral intake | IDG admit coordination</t>
        </is>
      </c>
      <c r="C26" s="33">
        <f>Inputs!$C$57</f>
        <v/>
      </c>
      <c r="D26" s="38">
        <f>Inputs!$D$57</f>
        <v/>
      </c>
      <c r="E26" s="20" t="inlineStr">
        <is>
          <t>Filled</t>
        </is>
      </c>
    </row>
    <row r="27">
      <c r="A27" s="4" t="inlineStr">
        <is>
          <t>Volunteer Coordinator</t>
        </is>
      </c>
      <c r="B27" s="20" t="inlineStr">
        <is>
          <t>Medicare CoP requirement | volunteer hours</t>
        </is>
      </c>
      <c r="C27" s="33">
        <f>Inputs!$C$58</f>
        <v/>
      </c>
      <c r="D27" s="38">
        <f>Inputs!$D$58</f>
        <v/>
      </c>
      <c r="E27" s="20" t="inlineStr">
        <is>
          <t>Filled</t>
        </is>
      </c>
    </row>
    <row r="29">
      <c r="A29" s="3" t="inlineStr">
        <is>
          <t>CAPACITY vs DEMAND (steady-state ADC 22)</t>
        </is>
      </c>
    </row>
    <row r="30">
      <c r="A30" s="4" t="inlineStr">
        <is>
          <t>RN case managers needed = ADC ÷ caseload</t>
        </is>
      </c>
      <c r="C30" s="40">
        <f>ROUNDUP('Revenue Model'!E10/Inputs!$B$70,0)</f>
        <v/>
      </c>
    </row>
    <row r="31">
      <c r="A31" s="4" t="inlineStr">
        <is>
          <t>Aides needed = ADC ÷ caseload</t>
        </is>
      </c>
      <c r="C31" s="40">
        <f>ROUNDUP('Revenue Model'!E10/Inputs!$B$71,0)</f>
        <v/>
      </c>
    </row>
    <row r="32">
      <c r="A32" s="4" t="inlineStr">
        <is>
          <t>Target visits / RN / day</t>
        </is>
      </c>
      <c r="C32" s="40">
        <f>Inputs!$B$72</f>
        <v/>
      </c>
    </row>
    <row r="33">
      <c r="A33" s="4" t="inlineStr">
        <is>
          <t>Target visits / aide / day</t>
        </is>
      </c>
      <c r="C33" s="40">
        <f>Inputs!$B$73</f>
        <v/>
      </c>
    </row>
    <row r="35">
      <c r="A35" s="36" t="inlineStr">
        <is>
          <t>Jodi McCollum's 2nd RN-CM seat is funded but vacant - modeled to start M4 as census coverage requires. Track real churn beyond this one open req.</t>
        </is>
      </c>
    </row>
    <row r="36"/>
  </sheetData>
  <mergeCells count="5">
    <mergeCell ref="A35:G36"/>
    <mergeCell ref="A1:G1"/>
    <mergeCell ref="A4:G4"/>
    <mergeCell ref="A2:G2"/>
    <mergeCell ref="A29:G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-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x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-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Payroll'!E53+'Staffing &amp; Payroll'!E54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31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31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31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31" t="inlineStr">
        <is>
          <t>TOTAL DIRECT-CARE LABOR (COGS)</t>
        </is>
      </c>
      <c r="C53" s="48">
        <f>C30+C38+C39+C48+C50</f>
        <v/>
      </c>
      <c r="D53" s="48">
        <f>D30+D38+D39+D48+D50</f>
        <v/>
      </c>
      <c r="E53" s="48">
        <f>E30+E38+E39+E48+E50</f>
        <v/>
      </c>
      <c r="F53" s="48">
        <f>F30+F38+F39+F48+F50</f>
        <v/>
      </c>
      <c r="G53" s="48">
        <f>G30+G38+G39+G48+G50</f>
        <v/>
      </c>
      <c r="H53" s="48">
        <f>H30+H38+H39+H48+H50</f>
        <v/>
      </c>
      <c r="I53" s="48">
        <f>I30+I38+I39+I48+I50</f>
        <v/>
      </c>
      <c r="J53" s="48">
        <f>J30+J38+J39+J48+J50</f>
        <v/>
      </c>
      <c r="K53" s="48">
        <f>K30+K38+K39+K48+K50</f>
        <v/>
      </c>
      <c r="L53" s="48">
        <f>L30+L38+L39+L48+L50</f>
        <v/>
      </c>
      <c r="M53" s="48">
        <f>M30+M38+M39+M48+M50</f>
        <v/>
      </c>
      <c r="N53" s="48">
        <f>N30+N38+N39+N48+N50</f>
        <v/>
      </c>
      <c r="O53" s="48">
        <f>O30+O38+O39+O48+O50</f>
        <v/>
      </c>
      <c r="P53" s="48">
        <f>P30+P38+P39+P48+P50</f>
        <v/>
      </c>
      <c r="Q53" s="48">
        <f>Q30+Q38+Q39+Q48+Q50</f>
        <v/>
      </c>
      <c r="R53" s="48">
        <f>R30+R38+R39+R48+R50</f>
        <v/>
      </c>
      <c r="S53" s="48">
        <f>S30+S38+S39+S48+S50</f>
        <v/>
      </c>
      <c r="T53" s="48">
        <f>T30+T38+T39+T48+T50</f>
        <v/>
      </c>
      <c r="U53" s="48">
        <f>U30+U38+U39+U48+U50</f>
        <v/>
      </c>
      <c r="V53" s="48">
        <f>V30+V38+V39+V48+V50</f>
        <v/>
      </c>
    </row>
    <row r="54">
      <c r="A54" s="31" t="inlineStr">
        <is>
          <t>TOTAL INDIRECT LABOR (SG&amp;A)</t>
        </is>
      </c>
      <c r="C54" s="48">
        <f>C42+C43+C49+C51</f>
        <v/>
      </c>
      <c r="D54" s="48">
        <f>D42+D43+D49+D51</f>
        <v/>
      </c>
      <c r="E54" s="48">
        <f>E42+E43+E49+E51</f>
        <v/>
      </c>
      <c r="F54" s="48">
        <f>F42+F43+F49+F51</f>
        <v/>
      </c>
      <c r="G54" s="48">
        <f>G42+G43+G49+G51</f>
        <v/>
      </c>
      <c r="H54" s="48">
        <f>H42+H43+H49+H51</f>
        <v/>
      </c>
      <c r="I54" s="48">
        <f>I42+I43+I49+I51</f>
        <v/>
      </c>
      <c r="J54" s="48">
        <f>J42+J43+J49+J51</f>
        <v/>
      </c>
      <c r="K54" s="48">
        <f>K42+K43+K49+K51</f>
        <v/>
      </c>
      <c r="L54" s="48">
        <f>L42+L43+L49+L51</f>
        <v/>
      </c>
      <c r="M54" s="48">
        <f>M42+M43+M49+M51</f>
        <v/>
      </c>
      <c r="N54" s="48">
        <f>N42+N43+N49+N51</f>
        <v/>
      </c>
      <c r="O54" s="48">
        <f>O42+O43+O49+O51</f>
        <v/>
      </c>
      <c r="P54" s="48">
        <f>P42+P43+P49+P51</f>
        <v/>
      </c>
      <c r="Q54" s="48">
        <f>Q42+Q43+Q49+Q51</f>
        <v/>
      </c>
      <c r="R54" s="48">
        <f>R42+R43+R49+R51</f>
        <v/>
      </c>
      <c r="S54" s="48">
        <f>S42+S43+S49+S51</f>
        <v/>
      </c>
      <c r="T54" s="48">
        <f>T42+T43+T49+T51</f>
        <v/>
      </c>
      <c r="U54" s="48">
        <f>U42+U43+U49+U51</f>
        <v/>
      </c>
      <c r="V54" s="48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Payroll'!C53</f>
        <v/>
      </c>
      <c r="D9" s="33">
        <f>'Staffing &amp; Payroll'!D53</f>
        <v/>
      </c>
      <c r="E9" s="33">
        <f>'Staffing &amp; Payroll'!E53</f>
        <v/>
      </c>
      <c r="F9" s="33">
        <f>'Staffing &amp; Payroll'!F53</f>
        <v/>
      </c>
      <c r="G9" s="33">
        <f>'Staffing &amp; Payroll'!G53</f>
        <v/>
      </c>
      <c r="H9" s="33">
        <f>'Staffing &amp; Payroll'!H53</f>
        <v/>
      </c>
      <c r="I9" s="33">
        <f>'Staffing &amp; Payroll'!I53</f>
        <v/>
      </c>
      <c r="J9" s="33">
        <f>'Staffing &amp; Payroll'!J53</f>
        <v/>
      </c>
      <c r="K9" s="33">
        <f>'Staffing &amp; Payroll'!K53</f>
        <v/>
      </c>
      <c r="L9" s="33">
        <f>'Staffing &amp; Payroll'!L53</f>
        <v/>
      </c>
      <c r="M9" s="33">
        <f>'Staffing &amp; Payroll'!M53</f>
        <v/>
      </c>
      <c r="N9" s="33">
        <f>'Staffing &amp; Payroll'!N53</f>
        <v/>
      </c>
      <c r="O9" s="33">
        <f>'Staffing &amp; Payroll'!O53</f>
        <v/>
      </c>
      <c r="P9" s="33">
        <f>'Staffing &amp; Payroll'!P53</f>
        <v/>
      </c>
      <c r="Q9" s="33">
        <f>'Staffing &amp; Payroll'!Q53</f>
        <v/>
      </c>
      <c r="R9" s="33">
        <f>'Staffing &amp; Payroll'!R53</f>
        <v/>
      </c>
      <c r="S9" s="33">
        <f>'Staffing &amp; Payroll'!S53</f>
        <v/>
      </c>
      <c r="T9" s="33">
        <f>'Staffing &amp; Payroll'!T53</f>
        <v/>
      </c>
      <c r="U9" s="33">
        <f>'Staffing &amp; Payroll'!U53</f>
        <v/>
      </c>
      <c r="V9" s="33">
        <f>'Staffing &amp; Payroll'!V53</f>
        <v/>
      </c>
    </row>
    <row r="10">
      <c r="A10" s="4" t="inlineStr">
        <is>
          <t>Medical supplies</t>
        </is>
      </c>
      <c r="C10" s="33">
        <f>'Revenue Model'!C12*Inputs!$B$86</f>
        <v/>
      </c>
      <c r="D10" s="33">
        <f>'Revenue Model'!D12*Inputs!$B$86</f>
        <v/>
      </c>
      <c r="E10" s="33">
        <f>'Revenue Model'!E12*Inputs!$B$86</f>
        <v/>
      </c>
      <c r="F10" s="33">
        <f>'Revenue Model'!F12*Inputs!$B$86</f>
        <v/>
      </c>
      <c r="G10" s="33">
        <f>'Revenue Model'!G12*Inputs!$B$86</f>
        <v/>
      </c>
      <c r="H10" s="33">
        <f>'Revenue Model'!H12*Inputs!$B$86</f>
        <v/>
      </c>
      <c r="I10" s="33">
        <f>'Revenue Model'!I12*Inputs!$B$86</f>
        <v/>
      </c>
      <c r="J10" s="33">
        <f>'Revenue Model'!J12*Inputs!$B$86</f>
        <v/>
      </c>
      <c r="K10" s="33">
        <f>'Revenue Model'!K12*Inputs!$B$86</f>
        <v/>
      </c>
      <c r="L10" s="33">
        <f>'Revenue Model'!L12*Inputs!$B$86</f>
        <v/>
      </c>
      <c r="M10" s="33">
        <f>'Revenue Model'!M12*Inputs!$B$86</f>
        <v/>
      </c>
      <c r="N10" s="33">
        <f>'Revenue Model'!N12*Inputs!$B$86</f>
        <v/>
      </c>
      <c r="O10" s="33">
        <f>'Revenue Model'!O12*Inputs!$B$86</f>
        <v/>
      </c>
      <c r="P10" s="33">
        <f>'Revenue Model'!P12*Inputs!$B$86</f>
        <v/>
      </c>
      <c r="Q10" s="33">
        <f>'Revenue Model'!Q12*Inputs!$B$86</f>
        <v/>
      </c>
      <c r="R10" s="33">
        <f>'Revenue Model'!R12*Inputs!$B$86</f>
        <v/>
      </c>
      <c r="S10" s="33">
        <f>'Revenue Model'!S12*Inputs!$B$86</f>
        <v/>
      </c>
      <c r="T10" s="33">
        <f>'Revenue Model'!T12*Inputs!$B$86</f>
        <v/>
      </c>
      <c r="U10" s="33">
        <f>'Revenue Model'!U12*Inputs!$B$86</f>
        <v/>
      </c>
      <c r="V10" s="33">
        <f>'Revenue Model'!V12*Inputs!$B$86</f>
        <v/>
      </c>
    </row>
    <row r="11">
      <c r="A11" s="4" t="inlineStr">
        <is>
          <t>DME</t>
        </is>
      </c>
      <c r="C11" s="33">
        <f>'Revenue Model'!C12*Inputs!$B$87</f>
        <v/>
      </c>
      <c r="D11" s="33">
        <f>'Revenue Model'!D12*Inputs!$B$87</f>
        <v/>
      </c>
      <c r="E11" s="33">
        <f>'Revenue Model'!E12*Inputs!$B$87</f>
        <v/>
      </c>
      <c r="F11" s="33">
        <f>'Revenue Model'!F12*Inputs!$B$87</f>
        <v/>
      </c>
      <c r="G11" s="33">
        <f>'Revenue Model'!G12*Inputs!$B$87</f>
        <v/>
      </c>
      <c r="H11" s="33">
        <f>'Revenue Model'!H12*Inputs!$B$87</f>
        <v/>
      </c>
      <c r="I11" s="33">
        <f>'Revenue Model'!I12*Inputs!$B$87</f>
        <v/>
      </c>
      <c r="J11" s="33">
        <f>'Revenue Model'!J12*Inputs!$B$87</f>
        <v/>
      </c>
      <c r="K11" s="33">
        <f>'Revenue Model'!K12*Inputs!$B$87</f>
        <v/>
      </c>
      <c r="L11" s="33">
        <f>'Revenue Model'!L12*Inputs!$B$87</f>
        <v/>
      </c>
      <c r="M11" s="33">
        <f>'Revenue Model'!M12*Inputs!$B$87</f>
        <v/>
      </c>
      <c r="N11" s="33">
        <f>'Revenue Model'!N12*Inputs!$B$87</f>
        <v/>
      </c>
      <c r="O11" s="33">
        <f>'Revenue Model'!O12*Inputs!$B$87</f>
        <v/>
      </c>
      <c r="P11" s="33">
        <f>'Revenue Model'!P12*Inputs!$B$87</f>
        <v/>
      </c>
      <c r="Q11" s="33">
        <f>'Revenue Model'!Q12*Inputs!$B$87</f>
        <v/>
      </c>
      <c r="R11" s="33">
        <f>'Revenue Model'!R12*Inputs!$B$87</f>
        <v/>
      </c>
      <c r="S11" s="33">
        <f>'Revenue Model'!S12*Inputs!$B$87</f>
        <v/>
      </c>
      <c r="T11" s="33">
        <f>'Revenue Model'!T12*Inputs!$B$87</f>
        <v/>
      </c>
      <c r="U11" s="33">
        <f>'Revenue Model'!U12*Inputs!$B$87</f>
        <v/>
      </c>
      <c r="V11" s="33">
        <f>'Revenue Model'!V12*Inputs!$B$87</f>
        <v/>
      </c>
    </row>
    <row r="12">
      <c r="A12" s="4" t="inlineStr">
        <is>
          <t>Pharmacy</t>
        </is>
      </c>
      <c r="C12" s="33">
        <f>'Revenue Model'!C12*Inputs!$B$88</f>
        <v/>
      </c>
      <c r="D12" s="33">
        <f>'Revenue Model'!D12*Inputs!$B$88</f>
        <v/>
      </c>
      <c r="E12" s="33">
        <f>'Revenue Model'!E12*Inputs!$B$88</f>
        <v/>
      </c>
      <c r="F12" s="33">
        <f>'Revenue Model'!F12*Inputs!$B$88</f>
        <v/>
      </c>
      <c r="G12" s="33">
        <f>'Revenue Model'!G12*Inputs!$B$88</f>
        <v/>
      </c>
      <c r="H12" s="33">
        <f>'Revenue Model'!H12*Inputs!$B$88</f>
        <v/>
      </c>
      <c r="I12" s="33">
        <f>'Revenue Model'!I12*Inputs!$B$88</f>
        <v/>
      </c>
      <c r="J12" s="33">
        <f>'Revenue Model'!J12*Inputs!$B$88</f>
        <v/>
      </c>
      <c r="K12" s="33">
        <f>'Revenue Model'!K12*Inputs!$B$88</f>
        <v/>
      </c>
      <c r="L12" s="33">
        <f>'Revenue Model'!L12*Inputs!$B$88</f>
        <v/>
      </c>
      <c r="M12" s="33">
        <f>'Revenue Model'!M12*Inputs!$B$88</f>
        <v/>
      </c>
      <c r="N12" s="33">
        <f>'Revenue Model'!N12*Inputs!$B$88</f>
        <v/>
      </c>
      <c r="O12" s="33">
        <f>'Revenue Model'!O12*Inputs!$B$88</f>
        <v/>
      </c>
      <c r="P12" s="33">
        <f>'Revenue Model'!P12*Inputs!$B$88</f>
        <v/>
      </c>
      <c r="Q12" s="33">
        <f>'Revenue Model'!Q12*Inputs!$B$88</f>
        <v/>
      </c>
      <c r="R12" s="33">
        <f>'Revenue Model'!R12*Inputs!$B$88</f>
        <v/>
      </c>
      <c r="S12" s="33">
        <f>'Revenue Model'!S12*Inputs!$B$88</f>
        <v/>
      </c>
      <c r="T12" s="33">
        <f>'Revenue Model'!T12*Inputs!$B$88</f>
        <v/>
      </c>
      <c r="U12" s="33">
        <f>'Revenue Model'!U12*Inputs!$B$88</f>
        <v/>
      </c>
      <c r="V12" s="33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Payroll'!C54</f>
        <v/>
      </c>
      <c r="D19" s="33">
        <f>'Staffing &amp; Payroll'!D54</f>
        <v/>
      </c>
      <c r="E19" s="33">
        <f>'Staffing &amp; Payroll'!E54</f>
        <v/>
      </c>
      <c r="F19" s="33">
        <f>'Staffing &amp; Payroll'!F54</f>
        <v/>
      </c>
      <c r="G19" s="33">
        <f>'Staffing &amp; Payroll'!G54</f>
        <v/>
      </c>
      <c r="H19" s="33">
        <f>'Staffing &amp; Payroll'!H54</f>
        <v/>
      </c>
      <c r="I19" s="33">
        <f>'Staffing &amp; Payroll'!I54</f>
        <v/>
      </c>
      <c r="J19" s="33">
        <f>'Staffing &amp; Payroll'!J54</f>
        <v/>
      </c>
      <c r="K19" s="33">
        <f>'Staffing &amp; Payroll'!K54</f>
        <v/>
      </c>
      <c r="L19" s="33">
        <f>'Staffing &amp; Payroll'!L54</f>
        <v/>
      </c>
      <c r="M19" s="33">
        <f>'Staffing &amp; Payroll'!M54</f>
        <v/>
      </c>
      <c r="N19" s="33">
        <f>'Staffing &amp; Payroll'!N54</f>
        <v/>
      </c>
      <c r="O19" s="33">
        <f>'Staffing &amp; Payroll'!O54</f>
        <v/>
      </c>
      <c r="P19" s="33">
        <f>'Staffing &amp; Payroll'!P54</f>
        <v/>
      </c>
      <c r="Q19" s="33">
        <f>'Staffing &amp; Payroll'!Q54</f>
        <v/>
      </c>
      <c r="R19" s="33">
        <f>'Staffing &amp; Payroll'!R54</f>
        <v/>
      </c>
      <c r="S19" s="33">
        <f>'Staffing &amp; Payroll'!S54</f>
        <v/>
      </c>
      <c r="T19" s="33">
        <f>'Staffing &amp; Payroll'!T54</f>
        <v/>
      </c>
      <c r="U19" s="33">
        <f>'Staffing &amp; Payroll'!U54</f>
        <v/>
      </c>
      <c r="V19" s="33">
        <f>'Staffing &amp; Payroll'!V54</f>
        <v/>
      </c>
    </row>
    <row r="20">
      <c r="A20" s="4" t="inlineStr">
        <is>
          <t>Fixed G&amp;A (utilities, EMR, billing, rent, mktg...)</t>
        </is>
      </c>
      <c r="C20" s="33">
        <f>SUM(Inputs!$B$91:$B$103)*1</f>
        <v/>
      </c>
      <c r="D20" s="33">
        <f>SUM(Inputs!$B$91:$B$103)*1</f>
        <v/>
      </c>
      <c r="E20" s="33">
        <f>SUM(Inputs!$B$91:$B$103)*1</f>
        <v/>
      </c>
      <c r="F20" s="33">
        <f>SUM(Inputs!$B$91:$B$103)*1</f>
        <v/>
      </c>
      <c r="G20" s="33">
        <f>SUM(Inputs!$B$91:$B$103)*1</f>
        <v/>
      </c>
      <c r="H20" s="33">
        <f>SUM(Inputs!$B$91:$B$103)*1</f>
        <v/>
      </c>
      <c r="I20" s="33">
        <f>SUM(Inputs!$B$91:$B$103)*1</f>
        <v/>
      </c>
      <c r="J20" s="33">
        <f>SUM(Inputs!$B$91:$B$103)*1</f>
        <v/>
      </c>
      <c r="K20" s="33">
        <f>SUM(Inputs!$B$91:$B$103)*1</f>
        <v/>
      </c>
      <c r="L20" s="33">
        <f>SUM(Inputs!$B$91:$B$103)*1</f>
        <v/>
      </c>
      <c r="M20" s="33">
        <f>SUM(Inputs!$B$91:$B$103)*1</f>
        <v/>
      </c>
      <c r="N20" s="33">
        <f>SUM(Inputs!$B$91:$B$103)*1</f>
        <v/>
      </c>
      <c r="O20" s="33">
        <f>SUM(Inputs!$B$91:$B$103)*3</f>
        <v/>
      </c>
      <c r="P20" s="33">
        <f>SUM(Inputs!$B$91:$B$103)*3</f>
        <v/>
      </c>
      <c r="Q20" s="33">
        <f>SUM(Inputs!$B$91:$B$103)*3</f>
        <v/>
      </c>
      <c r="R20" s="33">
        <f>SUM(Inputs!$B$91:$B$103)*3</f>
        <v/>
      </c>
      <c r="S20" s="33">
        <f>SUM(Inputs!$B$91:$B$103)*3</f>
        <v/>
      </c>
      <c r="T20" s="33">
        <f>SUM(Inputs!$B$91:$B$103)*3</f>
        <v/>
      </c>
      <c r="U20" s="33">
        <f>SUM(Inputs!$B$91:$B$103)*3</f>
        <v/>
      </c>
      <c r="V20" s="33">
        <f>SUM(Inputs!$B$91:$B$103)*3</f>
        <v/>
      </c>
    </row>
    <row r="21">
      <c r="A21" s="4" t="inlineStr">
        <is>
          <t>Outsourced billing fee (1.5% of gross)</t>
        </is>
      </c>
      <c r="C21" s="33">
        <f>'Revenue Model'!C14*Inputs!$B$106</f>
        <v/>
      </c>
      <c r="D21" s="33">
        <f>'Revenue Model'!D14*Inputs!$B$106</f>
        <v/>
      </c>
      <c r="E21" s="33">
        <f>'Revenue Model'!E14*Inputs!$B$106</f>
        <v/>
      </c>
      <c r="F21" s="33">
        <f>'Revenue Model'!F14*Inputs!$B$106</f>
        <v/>
      </c>
      <c r="G21" s="33">
        <f>'Revenue Model'!G14*Inputs!$B$106</f>
        <v/>
      </c>
      <c r="H21" s="33">
        <f>'Revenue Model'!H14*Inputs!$B$106</f>
        <v/>
      </c>
      <c r="I21" s="33">
        <f>'Revenue Model'!I14*Inputs!$B$106</f>
        <v/>
      </c>
      <c r="J21" s="33">
        <f>'Revenue Model'!J14*Inputs!$B$106</f>
        <v/>
      </c>
      <c r="K21" s="33">
        <f>'Revenue Model'!K14*Inputs!$B$106</f>
        <v/>
      </c>
      <c r="L21" s="33">
        <f>'Revenue Model'!L14*Inputs!$B$106</f>
        <v/>
      </c>
      <c r="M21" s="33">
        <f>'Revenue Model'!M14*Inputs!$B$106</f>
        <v/>
      </c>
      <c r="N21" s="33">
        <f>'Revenue Model'!N14*Inputs!$B$106</f>
        <v/>
      </c>
      <c r="O21" s="33">
        <f>'Revenue Model'!O14*Inputs!$B$106</f>
        <v/>
      </c>
      <c r="P21" s="33">
        <f>'Revenue Model'!P14*Inputs!$B$106</f>
        <v/>
      </c>
      <c r="Q21" s="33">
        <f>'Revenue Model'!Q14*Inputs!$B$106</f>
        <v/>
      </c>
      <c r="R21" s="33">
        <f>'Revenue Model'!R14*Inputs!$B$106</f>
        <v/>
      </c>
      <c r="S21" s="33">
        <f>'Revenue Model'!S14*Inputs!$B$106</f>
        <v/>
      </c>
      <c r="T21" s="33">
        <f>'Revenue Model'!T14*Inputs!$B$106</f>
        <v/>
      </c>
      <c r="U21" s="33">
        <f>'Revenue Model'!U14*Inputs!$B$106</f>
        <v/>
      </c>
      <c r="V21" s="33">
        <f>'Revenue Model'!V14*Inputs!$B$106</f>
        <v/>
      </c>
    </row>
    <row r="22">
      <c r="A22" s="4" t="inlineStr">
        <is>
          <t>QR payment fee (% of gross)</t>
        </is>
      </c>
      <c r="C22" s="33">
        <f>'Revenue Model'!C14*Inputs!$B$107</f>
        <v/>
      </c>
      <c r="D22" s="33">
        <f>'Revenue Model'!D14*Inputs!$B$107</f>
        <v/>
      </c>
      <c r="E22" s="33">
        <f>'Revenue Model'!E14*Inputs!$B$107</f>
        <v/>
      </c>
      <c r="F22" s="33">
        <f>'Revenue Model'!F14*Inputs!$B$107</f>
        <v/>
      </c>
      <c r="G22" s="33">
        <f>'Revenue Model'!G14*Inputs!$B$107</f>
        <v/>
      </c>
      <c r="H22" s="33">
        <f>'Revenue Model'!H14*Inputs!$B$107</f>
        <v/>
      </c>
      <c r="I22" s="33">
        <f>'Revenue Model'!I14*Inputs!$B$107</f>
        <v/>
      </c>
      <c r="J22" s="33">
        <f>'Revenue Model'!J14*Inputs!$B$107</f>
        <v/>
      </c>
      <c r="K22" s="33">
        <f>'Revenue Model'!K14*Inputs!$B$107</f>
        <v/>
      </c>
      <c r="L22" s="33">
        <f>'Revenue Model'!L14*Inputs!$B$107</f>
        <v/>
      </c>
      <c r="M22" s="33">
        <f>'Revenue Model'!M14*Inputs!$B$107</f>
        <v/>
      </c>
      <c r="N22" s="33">
        <f>'Revenue Model'!N14*Inputs!$B$107</f>
        <v/>
      </c>
      <c r="O22" s="33">
        <f>'Revenue Model'!O14*Inputs!$B$107</f>
        <v/>
      </c>
      <c r="P22" s="33">
        <f>'Revenue Model'!P14*Inputs!$B$107</f>
        <v/>
      </c>
      <c r="Q22" s="33">
        <f>'Revenue Model'!Q14*Inputs!$B$107</f>
        <v/>
      </c>
      <c r="R22" s="33">
        <f>'Revenue Model'!R14*Inputs!$B$107</f>
        <v/>
      </c>
      <c r="S22" s="33">
        <f>'Revenue Model'!S14*Inputs!$B$107</f>
        <v/>
      </c>
      <c r="T22" s="33">
        <f>'Revenue Model'!T14*Inputs!$B$107</f>
        <v/>
      </c>
      <c r="U22" s="33">
        <f>'Revenue Model'!U14*Inputs!$B$107</f>
        <v/>
      </c>
      <c r="V22" s="33">
        <f>'Revenue Model'!V14*Inputs!$B$107</f>
        <v/>
      </c>
    </row>
    <row r="23">
      <c r="A23" s="31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31" t="inlineStr">
        <is>
          <t>EBITDA</t>
        </is>
      </c>
      <c r="C24" s="49">
        <f>C15-C23</f>
        <v/>
      </c>
      <c r="D24" s="49">
        <f>D15-D23</f>
        <v/>
      </c>
      <c r="E24" s="49">
        <f>E15-E23</f>
        <v/>
      </c>
      <c r="F24" s="49">
        <f>F15-F23</f>
        <v/>
      </c>
      <c r="G24" s="49">
        <f>G15-G23</f>
        <v/>
      </c>
      <c r="H24" s="49">
        <f>H15-H23</f>
        <v/>
      </c>
      <c r="I24" s="49">
        <f>I15-I23</f>
        <v/>
      </c>
      <c r="J24" s="49">
        <f>J15-J23</f>
        <v/>
      </c>
      <c r="K24" s="49">
        <f>K15-K23</f>
        <v/>
      </c>
      <c r="L24" s="49">
        <f>L15-L23</f>
        <v/>
      </c>
      <c r="M24" s="49">
        <f>M15-M23</f>
        <v/>
      </c>
      <c r="N24" s="49">
        <f>N15-N23</f>
        <v/>
      </c>
      <c r="O24" s="49">
        <f>O15-O23</f>
        <v/>
      </c>
      <c r="P24" s="49">
        <f>P15-P23</f>
        <v/>
      </c>
      <c r="Q24" s="49">
        <f>Q15-Q23</f>
        <v/>
      </c>
      <c r="R24" s="49">
        <f>R15-R23</f>
        <v/>
      </c>
      <c r="S24" s="49">
        <f>S15-S23</f>
        <v/>
      </c>
      <c r="T24" s="49">
        <f>T15-T23</f>
        <v/>
      </c>
      <c r="U24" s="49">
        <f>U15-U23</f>
        <v/>
      </c>
      <c r="V24" s="49">
        <f>V15-V23</f>
        <v/>
      </c>
    </row>
    <row r="25">
      <c r="A25" s="21" t="inlineStr">
        <is>
          <t>EBITDA margin %</t>
        </is>
      </c>
      <c r="C25" s="34">
        <f>IF(C6=0,0,C24/C6)</f>
        <v/>
      </c>
      <c r="D25" s="34">
        <f>IF(D6=0,0,D24/D6)</f>
        <v/>
      </c>
      <c r="E25" s="34">
        <f>IF(E6=0,0,E24/E6)</f>
        <v/>
      </c>
      <c r="F25" s="34">
        <f>IF(F6=0,0,F24/F6)</f>
        <v/>
      </c>
      <c r="G25" s="34">
        <f>IF(G6=0,0,G24/G6)</f>
        <v/>
      </c>
      <c r="H25" s="34">
        <f>IF(H6=0,0,H24/H6)</f>
        <v/>
      </c>
      <c r="I25" s="34">
        <f>IF(I6=0,0,I24/I6)</f>
        <v/>
      </c>
      <c r="J25" s="34">
        <f>IF(J6=0,0,J24/J6)</f>
        <v/>
      </c>
      <c r="K25" s="34">
        <f>IF(K6=0,0,K24/K6)</f>
        <v/>
      </c>
      <c r="L25" s="34">
        <f>IF(L6=0,0,L24/L6)</f>
        <v/>
      </c>
      <c r="M25" s="34">
        <f>IF(M6=0,0,M24/M6)</f>
        <v/>
      </c>
      <c r="N25" s="34">
        <f>IF(N6=0,0,N24/N6)</f>
        <v/>
      </c>
      <c r="O25" s="34">
        <f>IF(O6=0,0,O24/O6)</f>
        <v/>
      </c>
      <c r="P25" s="34">
        <f>IF(P6=0,0,P24/P6)</f>
        <v/>
      </c>
      <c r="Q25" s="34">
        <f>IF(Q6=0,0,Q24/Q6)</f>
        <v/>
      </c>
      <c r="R25" s="34">
        <f>IF(R6=0,0,R24/R6)</f>
        <v/>
      </c>
      <c r="S25" s="34">
        <f>IF(S6=0,0,S24/S6)</f>
        <v/>
      </c>
      <c r="T25" s="34">
        <f>IF(T6=0,0,T24/T6)</f>
        <v/>
      </c>
      <c r="U25" s="34">
        <f>IF(U6=0,0,U24/U6)</f>
        <v/>
      </c>
      <c r="V25" s="34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33">
        <f>Inputs!$B$140*1</f>
        <v/>
      </c>
      <c r="D28" s="33">
        <f>Inputs!$B$140*1</f>
        <v/>
      </c>
      <c r="E28" s="33">
        <f>Inputs!$B$140*1</f>
        <v/>
      </c>
      <c r="F28" s="33">
        <f>Inputs!$B$140*1</f>
        <v/>
      </c>
      <c r="G28" s="33">
        <f>Inputs!$B$140*1</f>
        <v/>
      </c>
      <c r="H28" s="33">
        <f>Inputs!$B$140*1</f>
        <v/>
      </c>
      <c r="I28" s="33">
        <f>Inputs!$B$140*1</f>
        <v/>
      </c>
      <c r="J28" s="33">
        <f>Inputs!$B$140*1</f>
        <v/>
      </c>
      <c r="K28" s="33">
        <f>Inputs!$B$140*1</f>
        <v/>
      </c>
      <c r="L28" s="33">
        <f>Inputs!$B$140*1</f>
        <v/>
      </c>
      <c r="M28" s="33">
        <f>Inputs!$B$140*1</f>
        <v/>
      </c>
      <c r="N28" s="33">
        <f>Inputs!$B$140*1</f>
        <v/>
      </c>
      <c r="O28" s="33">
        <f>Inputs!$B$140*3</f>
        <v/>
      </c>
      <c r="P28" s="33">
        <f>Inputs!$B$140*3</f>
        <v/>
      </c>
      <c r="Q28" s="33">
        <f>Inputs!$B$140*3</f>
        <v/>
      </c>
      <c r="R28" s="33">
        <f>Inputs!$B$140*3</f>
        <v/>
      </c>
      <c r="S28" s="33">
        <f>Inputs!$B$140*3</f>
        <v/>
      </c>
      <c r="T28" s="33">
        <f>Inputs!$B$140*3</f>
        <v/>
      </c>
      <c r="U28" s="33">
        <f>Inputs!$B$140*3</f>
        <v/>
      </c>
      <c r="V28" s="33">
        <f>Inputs!$B$140*3</f>
        <v/>
      </c>
    </row>
    <row r="29">
      <c r="A29" s="4" t="inlineStr">
        <is>
          <t>Interest - SBA loan</t>
        </is>
      </c>
      <c r="C29" s="33">
        <f>'Debt Schedule'!C13</f>
        <v/>
      </c>
      <c r="D29" s="33">
        <f>'Debt Schedule'!D13</f>
        <v/>
      </c>
      <c r="E29" s="33">
        <f>'Debt Schedule'!E13</f>
        <v/>
      </c>
      <c r="F29" s="33">
        <f>'Debt Schedule'!F13</f>
        <v/>
      </c>
      <c r="G29" s="33">
        <f>'Debt Schedule'!G13</f>
        <v/>
      </c>
      <c r="H29" s="33">
        <f>'Debt Schedule'!H13</f>
        <v/>
      </c>
      <c r="I29" s="33">
        <f>'Debt Schedule'!I13</f>
        <v/>
      </c>
      <c r="J29" s="33">
        <f>'Debt Schedule'!J13</f>
        <v/>
      </c>
      <c r="K29" s="33">
        <f>'Debt Schedule'!K13</f>
        <v/>
      </c>
      <c r="L29" s="33">
        <f>'Debt Schedule'!L13</f>
        <v/>
      </c>
      <c r="M29" s="33">
        <f>'Debt Schedule'!M13</f>
        <v/>
      </c>
      <c r="N29" s="33">
        <f>'Debt Schedule'!N13</f>
        <v/>
      </c>
      <c r="O29" s="33">
        <f>'Debt Schedule'!O13</f>
        <v/>
      </c>
      <c r="P29" s="33">
        <f>'Debt Schedule'!P13</f>
        <v/>
      </c>
      <c r="Q29" s="33">
        <f>'Debt Schedule'!Q13</f>
        <v/>
      </c>
      <c r="R29" s="33">
        <f>'Debt Schedule'!R13</f>
        <v/>
      </c>
      <c r="S29" s="33">
        <f>'Debt Schedule'!S13</f>
        <v/>
      </c>
      <c r="T29" s="33">
        <f>'Debt Schedule'!T13</f>
        <v/>
      </c>
      <c r="U29" s="33">
        <f>'Debt Schedule'!U13</f>
        <v/>
      </c>
      <c r="V29" s="33">
        <f>'Debt Schedule'!V13</f>
        <v/>
      </c>
    </row>
    <row r="30">
      <c r="A30" s="4" t="inlineStr">
        <is>
          <t>Interest - Hickory license note</t>
        </is>
      </c>
      <c r="C30" s="33">
        <f>'Debt Schedule'!C21</f>
        <v/>
      </c>
      <c r="D30" s="33">
        <f>'Debt Schedule'!D21</f>
        <v/>
      </c>
      <c r="E30" s="33">
        <f>'Debt Schedule'!E21</f>
        <v/>
      </c>
      <c r="F30" s="33">
        <f>'Debt Schedule'!F21</f>
        <v/>
      </c>
      <c r="G30" s="33">
        <f>'Debt Schedule'!G21</f>
        <v/>
      </c>
      <c r="H30" s="33">
        <f>'Debt Schedule'!H21</f>
        <v/>
      </c>
      <c r="I30" s="33">
        <f>'Debt Schedule'!I21</f>
        <v/>
      </c>
      <c r="J30" s="33">
        <f>'Debt Schedule'!J21</f>
        <v/>
      </c>
      <c r="K30" s="33">
        <f>'Debt Schedule'!K21</f>
        <v/>
      </c>
      <c r="L30" s="33">
        <f>'Debt Schedule'!L21</f>
        <v/>
      </c>
      <c r="M30" s="33">
        <f>'Debt Schedule'!M21</f>
        <v/>
      </c>
      <c r="N30" s="33">
        <f>'Debt Schedule'!N21</f>
        <v/>
      </c>
      <c r="O30" s="33">
        <f>'Debt Schedule'!O21</f>
        <v/>
      </c>
      <c r="P30" s="33">
        <f>'Debt Schedule'!P21</f>
        <v/>
      </c>
      <c r="Q30" s="33">
        <f>'Debt Schedule'!Q21</f>
        <v/>
      </c>
      <c r="R30" s="33">
        <f>'Debt Schedule'!R21</f>
        <v/>
      </c>
      <c r="S30" s="33">
        <f>'Debt Schedule'!S21</f>
        <v/>
      </c>
      <c r="T30" s="33">
        <f>'Debt Schedule'!T21</f>
        <v/>
      </c>
      <c r="U30" s="33">
        <f>'Debt Schedule'!U21</f>
        <v/>
      </c>
      <c r="V30" s="33">
        <f>'Debt Schedule'!V21</f>
        <v/>
      </c>
    </row>
    <row r="31">
      <c r="A31" s="4" t="inlineStr">
        <is>
          <t>Interest - working-capital line</t>
        </is>
      </c>
      <c r="C31" s="33">
        <f>'Cash Flow &amp; BS'!C16</f>
        <v/>
      </c>
      <c r="D31" s="33">
        <f>'Cash Flow &amp; BS'!D16</f>
        <v/>
      </c>
      <c r="E31" s="33">
        <f>'Cash Flow &amp; BS'!E16</f>
        <v/>
      </c>
      <c r="F31" s="33">
        <f>'Cash Flow &amp; BS'!F16</f>
        <v/>
      </c>
      <c r="G31" s="33">
        <f>'Cash Flow &amp; BS'!G16</f>
        <v/>
      </c>
      <c r="H31" s="33">
        <f>'Cash Flow &amp; BS'!H16</f>
        <v/>
      </c>
      <c r="I31" s="33">
        <f>'Cash Flow &amp; BS'!I16</f>
        <v/>
      </c>
      <c r="J31" s="33">
        <f>'Cash Flow &amp; BS'!J16</f>
        <v/>
      </c>
      <c r="K31" s="33">
        <f>'Cash Flow &amp; BS'!K16</f>
        <v/>
      </c>
      <c r="L31" s="33">
        <f>'Cash Flow &amp; BS'!L16</f>
        <v/>
      </c>
      <c r="M31" s="33">
        <f>'Cash Flow &amp; BS'!M16</f>
        <v/>
      </c>
      <c r="N31" s="33">
        <f>'Cash Flow &amp; BS'!N16</f>
        <v/>
      </c>
      <c r="O31" s="33">
        <f>'Cash Flow &amp; BS'!O16</f>
        <v/>
      </c>
      <c r="P31" s="33">
        <f>'Cash Flow &amp; BS'!P16</f>
        <v/>
      </c>
      <c r="Q31" s="33">
        <f>'Cash Flow &amp; BS'!Q16</f>
        <v/>
      </c>
      <c r="R31" s="33">
        <f>'Cash Flow &amp; BS'!R16</f>
        <v/>
      </c>
      <c r="S31" s="33">
        <f>'Cash Flow &amp; BS'!S16</f>
        <v/>
      </c>
      <c r="T31" s="33">
        <f>'Cash Flow &amp; BS'!T16</f>
        <v/>
      </c>
      <c r="U31" s="33">
        <f>'Cash Flow &amp; BS'!U16</f>
        <v/>
      </c>
      <c r="V31" s="33">
        <f>'Cash Flow &amp; BS'!V16</f>
        <v/>
      </c>
    </row>
    <row r="32">
      <c r="A32" s="31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31" t="inlineStr">
        <is>
          <t>NET INCOME</t>
        </is>
      </c>
      <c r="C34" s="48">
        <f>C32-C33</f>
        <v/>
      </c>
      <c r="D34" s="48">
        <f>D32-D33</f>
        <v/>
      </c>
      <c r="E34" s="48">
        <f>E32-E33</f>
        <v/>
      </c>
      <c r="F34" s="48">
        <f>F32-F33</f>
        <v/>
      </c>
      <c r="G34" s="48">
        <f>G32-G33</f>
        <v/>
      </c>
      <c r="H34" s="48">
        <f>H32-H33</f>
        <v/>
      </c>
      <c r="I34" s="48">
        <f>I32-I33</f>
        <v/>
      </c>
      <c r="J34" s="48">
        <f>J32-J33</f>
        <v/>
      </c>
      <c r="K34" s="48">
        <f>K32-K33</f>
        <v/>
      </c>
      <c r="L34" s="48">
        <f>L32-L33</f>
        <v/>
      </c>
      <c r="M34" s="48">
        <f>M32-M33</f>
        <v/>
      </c>
      <c r="N34" s="48">
        <f>N32-N33</f>
        <v/>
      </c>
      <c r="O34" s="48">
        <f>O32-O33</f>
        <v/>
      </c>
      <c r="P34" s="48">
        <f>P32-P33</f>
        <v/>
      </c>
      <c r="Q34" s="48">
        <f>Q32-Q33</f>
        <v/>
      </c>
      <c r="R34" s="48">
        <f>R32-R33</f>
        <v/>
      </c>
      <c r="S34" s="48">
        <f>S32-S33</f>
        <v/>
      </c>
      <c r="T34" s="48">
        <f>T32-T33</f>
        <v/>
      </c>
      <c r="U34" s="48">
        <f>U32-U33</f>
        <v/>
      </c>
      <c r="V34" s="48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-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Model'!C12*Inputs!$B$88</f>
        <v/>
      </c>
      <c r="C15" s="53">
        <f>'Revenue Model'!D12*Inputs!$B$88</f>
        <v/>
      </c>
      <c r="D15" s="53">
        <f>'Revenue Model'!E12*Inputs!$B$88</f>
        <v/>
      </c>
      <c r="E15" s="53">
        <f>'Revenue Model'!F12*Inputs!$B$88</f>
        <v/>
      </c>
      <c r="F15" s="53">
        <f>'Revenue Model'!G12*Inputs!$B$88</f>
        <v/>
      </c>
      <c r="G15" s="53">
        <f>'Revenue Model'!H12*Inputs!$B$88</f>
        <v/>
      </c>
      <c r="H15" s="53">
        <f>'Revenue Model'!I12*Inputs!$B$88</f>
        <v/>
      </c>
      <c r="I15" s="53">
        <f>'Revenue Model'!J12*Inputs!$B$88</f>
        <v/>
      </c>
      <c r="J15" s="53">
        <f>'Revenue Model'!K12*Inputs!$B$88</f>
        <v/>
      </c>
      <c r="K15" s="53">
        <f>'Revenue Model'!L12*Inputs!$B$88</f>
        <v/>
      </c>
      <c r="L15" s="53">
        <f>'Revenue Model'!M12*Inputs!$B$88</f>
        <v/>
      </c>
      <c r="M15" s="53">
        <f>'Revenue Model'!N12*Inputs!$B$88</f>
        <v/>
      </c>
      <c r="N15" s="54">
        <f>SUM('Revenue Model'!O12:R12)*Inputs!$B$88</f>
        <v/>
      </c>
      <c r="O15" s="54">
        <f>SUM('Revenue Model'!S12:V12)*Inputs!$B$88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Model'!C12*Inputs!$B$86</f>
        <v/>
      </c>
      <c r="C16" s="53">
        <f>'Revenue Model'!D12*Inputs!$B$86</f>
        <v/>
      </c>
      <c r="D16" s="53">
        <f>'Revenue Model'!E12*Inputs!$B$86</f>
        <v/>
      </c>
      <c r="E16" s="53">
        <f>'Revenue Model'!F12*Inputs!$B$86</f>
        <v/>
      </c>
      <c r="F16" s="53">
        <f>'Revenue Model'!G12*Inputs!$B$86</f>
        <v/>
      </c>
      <c r="G16" s="53">
        <f>'Revenue Model'!H12*Inputs!$B$86</f>
        <v/>
      </c>
      <c r="H16" s="53">
        <f>'Revenue Model'!I12*Inputs!$B$86</f>
        <v/>
      </c>
      <c r="I16" s="53">
        <f>'Revenue Model'!J12*Inputs!$B$86</f>
        <v/>
      </c>
      <c r="J16" s="53">
        <f>'Revenue Model'!K12*Inputs!$B$86</f>
        <v/>
      </c>
      <c r="K16" s="53">
        <f>'Revenue Model'!L12*Inputs!$B$86</f>
        <v/>
      </c>
      <c r="L16" s="53">
        <f>'Revenue Model'!M12*Inputs!$B$86</f>
        <v/>
      </c>
      <c r="M16" s="53">
        <f>'Revenue Model'!N12*Inputs!$B$86</f>
        <v/>
      </c>
      <c r="N16" s="54">
        <f>SUM('Revenue Model'!O12:R12)*Inputs!$B$86</f>
        <v/>
      </c>
      <c r="O16" s="54">
        <f>SUM('Revenue Model'!S12:V12)*Inputs!$B$86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Model'!C12*Inputs!$B$87</f>
        <v/>
      </c>
      <c r="C17" s="53">
        <f>'Revenue Model'!D12*Inputs!$B$87</f>
        <v/>
      </c>
      <c r="D17" s="53">
        <f>'Revenue Model'!E12*Inputs!$B$87</f>
        <v/>
      </c>
      <c r="E17" s="53">
        <f>'Revenue Model'!F12*Inputs!$B$87</f>
        <v/>
      </c>
      <c r="F17" s="53">
        <f>'Revenue Model'!G12*Inputs!$B$87</f>
        <v/>
      </c>
      <c r="G17" s="53">
        <f>'Revenue Model'!H12*Inputs!$B$87</f>
        <v/>
      </c>
      <c r="H17" s="53">
        <f>'Revenue Model'!I12*Inputs!$B$87</f>
        <v/>
      </c>
      <c r="I17" s="53">
        <f>'Revenue Model'!J12*Inputs!$B$87</f>
        <v/>
      </c>
      <c r="J17" s="53">
        <f>'Revenue Model'!K12*Inputs!$B$87</f>
        <v/>
      </c>
      <c r="K17" s="53">
        <f>'Revenue Model'!L12*Inputs!$B$87</f>
        <v/>
      </c>
      <c r="L17" s="53">
        <f>'Revenue Model'!M12*Inputs!$B$87</f>
        <v/>
      </c>
      <c r="M17" s="53">
        <f>'Revenue Model'!N12*Inputs!$B$87</f>
        <v/>
      </c>
      <c r="N17" s="54">
        <f>SUM('Revenue Model'!O12:R12)*Inputs!$B$87</f>
        <v/>
      </c>
      <c r="O17" s="54">
        <f>SUM('Revenue Model'!S12:V12)*Inputs!$B$87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- 1st Half</t>
        </is>
      </c>
      <c r="B28" s="53">
        <f>('Staffing &amp; Payroll'!C30+'Staffing &amp; Payroll'!C42+'Staffing &amp; Payroll'!C38+'Staffing &amp; Payroll'!C43)/2</f>
        <v/>
      </c>
      <c r="C28" s="53">
        <f>('Staffing &amp; Payroll'!D30+'Staffing &amp; Payroll'!D42+'Staffing &amp; Payroll'!D38+'Staffing &amp; Payroll'!D43)/2</f>
        <v/>
      </c>
      <c r="D28" s="53">
        <f>('Staffing &amp; Payroll'!E30+'Staffing &amp; Payroll'!E42+'Staffing &amp; Payroll'!E38+'Staffing &amp; Payroll'!E43)/2</f>
        <v/>
      </c>
      <c r="E28" s="53">
        <f>('Staffing &amp; Payroll'!F30+'Staffing &amp; Payroll'!F42+'Staffing &amp; Payroll'!F38+'Staffing &amp; Payroll'!F43)/2</f>
        <v/>
      </c>
      <c r="F28" s="53">
        <f>('Staffing &amp; Payroll'!G30+'Staffing &amp; Payroll'!G42+'Staffing &amp; Payroll'!G38+'Staffing &amp; Payroll'!G43)/2</f>
        <v/>
      </c>
      <c r="G28" s="53">
        <f>('Staffing &amp; Payroll'!H30+'Staffing &amp; Payroll'!H42+'Staffing &amp; Payroll'!H38+'Staffing &amp; Payroll'!H43)/2</f>
        <v/>
      </c>
      <c r="H28" s="53">
        <f>('Staffing &amp; Payroll'!I30+'Staffing &amp; Payroll'!I42+'Staffing &amp; Payroll'!I38+'Staffing &amp; Payroll'!I43)/2</f>
        <v/>
      </c>
      <c r="I28" s="53">
        <f>('Staffing &amp; Payroll'!J30+'Staffing &amp; Payroll'!J42+'Staffing &amp; Payroll'!J38+'Staffing &amp; Payroll'!J43)/2</f>
        <v/>
      </c>
      <c r="J28" s="53">
        <f>('Staffing &amp; Payroll'!K30+'Staffing &amp; Payroll'!K42+'Staffing &amp; Payroll'!K38+'Staffing &amp; Payroll'!K43)/2</f>
        <v/>
      </c>
      <c r="K28" s="53">
        <f>('Staffing &amp; Payroll'!L30+'Staffing &amp; Payroll'!L42+'Staffing &amp; Payroll'!L38+'Staffing &amp; Payroll'!L43)/2</f>
        <v/>
      </c>
      <c r="L28" s="53">
        <f>('Staffing &amp; Payroll'!M30+'Staffing &amp; Payroll'!M42+'Staffing &amp; Payroll'!M38+'Staffing &amp; Payroll'!M43)/2</f>
        <v/>
      </c>
      <c r="M28" s="53">
        <f>('Staffing &amp; Payroll'!N30+'Staffing &amp; Payroll'!N42+'Staffing &amp; Payroll'!N38+'Staffing &amp; Payroll'!N43)/2</f>
        <v/>
      </c>
      <c r="N28" s="54">
        <f>(SUM('Staffing &amp; Payroll'!O30:R30)+SUM('Staffing &amp; Payroll'!O42:R42)+SUM('Staffing &amp; Payroll'!O38:R38)+SUM('Staffing &amp; Payroll'!O43:R43))/2</f>
        <v/>
      </c>
      <c r="O28" s="54">
        <f>(SUM('Staffing &amp; Payroll'!S30:V30)+SUM('Staffing &amp; Payroll'!S42:V42)+SUM('Staffing &amp; Payroll'!S38:V38)+SUM('Staffing &amp; Payroll'!S43:V43))/2</f>
        <v/>
      </c>
      <c r="P28" s="55">
        <f>SUM(B28:M28)+N28+O28</f>
        <v/>
      </c>
    </row>
    <row r="29">
      <c r="A29" s="57" t="inlineStr">
        <is>
          <t>Payroll - 2nd Half</t>
        </is>
      </c>
      <c r="B29" s="53">
        <f>('Staffing &amp; Payroll'!C30+'Staffing &amp; Payroll'!C42+'Staffing &amp; Payroll'!C38+'Staffing &amp; Payroll'!C43)/2</f>
        <v/>
      </c>
      <c r="C29" s="53">
        <f>('Staffing &amp; Payroll'!D30+'Staffing &amp; Payroll'!D42+'Staffing &amp; Payroll'!D38+'Staffing &amp; Payroll'!D43)/2</f>
        <v/>
      </c>
      <c r="D29" s="53">
        <f>('Staffing &amp; Payroll'!E30+'Staffing &amp; Payroll'!E42+'Staffing &amp; Payroll'!E38+'Staffing &amp; Payroll'!E43)/2</f>
        <v/>
      </c>
      <c r="E29" s="53">
        <f>('Staffing &amp; Payroll'!F30+'Staffing &amp; Payroll'!F42+'Staffing &amp; Payroll'!F38+'Staffing &amp; Payroll'!F43)/2</f>
        <v/>
      </c>
      <c r="F29" s="53">
        <f>('Staffing &amp; Payroll'!G30+'Staffing &amp; Payroll'!G42+'Staffing &amp; Payroll'!G38+'Staffing &amp; Payroll'!G43)/2</f>
        <v/>
      </c>
      <c r="G29" s="53">
        <f>('Staffing &amp; Payroll'!H30+'Staffing &amp; Payroll'!H42+'Staffing &amp; Payroll'!H38+'Staffing &amp; Payroll'!H43)/2</f>
        <v/>
      </c>
      <c r="H29" s="53">
        <f>('Staffing &amp; Payroll'!I30+'Staffing &amp; Payroll'!I42+'Staffing &amp; Payroll'!I38+'Staffing &amp; Payroll'!I43)/2</f>
        <v/>
      </c>
      <c r="I29" s="53">
        <f>('Staffing &amp; Payroll'!J30+'Staffing &amp; Payroll'!J42+'Staffing &amp; Payroll'!J38+'Staffing &amp; Payroll'!J43)/2</f>
        <v/>
      </c>
      <c r="J29" s="53">
        <f>('Staffing &amp; Payroll'!K30+'Staffing &amp; Payroll'!K42+'Staffing &amp; Payroll'!K38+'Staffing &amp; Payroll'!K43)/2</f>
        <v/>
      </c>
      <c r="K29" s="53">
        <f>('Staffing &amp; Payroll'!L30+'Staffing &amp; Payroll'!L42+'Staffing &amp; Payroll'!L38+'Staffing &amp; Payroll'!L43)/2</f>
        <v/>
      </c>
      <c r="L29" s="53">
        <f>('Staffing &amp; Payroll'!M30+'Staffing &amp; Payroll'!M42+'Staffing &amp; Payroll'!M38+'Staffing &amp; Payroll'!M43)/2</f>
        <v/>
      </c>
      <c r="M29" s="53">
        <f>('Staffing &amp; Payroll'!N30+'Staffing &amp; Payroll'!N42+'Staffing &amp; Payroll'!N38+'Staffing &amp; Payroll'!N43)/2</f>
        <v/>
      </c>
      <c r="N29" s="54">
        <f>(SUM('Staffing &amp; Payroll'!O30:R30)+SUM('Staffing &amp; Payroll'!O42:R42)+SUM('Staffing &amp; Payroll'!O38:R38)+SUM('Staffing &amp; Payroll'!O43:R43))/2</f>
        <v/>
      </c>
      <c r="O29" s="54">
        <f>(SUM('Staffing &amp; Payroll'!S30:V30)+SUM('Staffing &amp; Payroll'!S42:V42)+SUM('Staffing &amp; Payroll'!S38:V38)+SUM('Staffing &amp; Payroll'!S43:V43))/2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Payroll'!C48+'Staffing &amp; Payroll'!C49</f>
        <v/>
      </c>
      <c r="C31" s="53">
        <f>'Staffing &amp; Payroll'!D48+'Staffing &amp; Payroll'!D49</f>
        <v/>
      </c>
      <c r="D31" s="53">
        <f>'Staffing &amp; Payroll'!E48+'Staffing &amp; Payroll'!E49</f>
        <v/>
      </c>
      <c r="E31" s="53">
        <f>'Staffing &amp; Payroll'!F48+'Staffing &amp; Payroll'!F49</f>
        <v/>
      </c>
      <c r="F31" s="53">
        <f>'Staffing &amp; Payroll'!G48+'Staffing &amp; Payroll'!G49</f>
        <v/>
      </c>
      <c r="G31" s="53">
        <f>'Staffing &amp; Payroll'!H48+'Staffing &amp; Payroll'!H49</f>
        <v/>
      </c>
      <c r="H31" s="53">
        <f>'Staffing &amp; Payroll'!I48+'Staffing &amp; Payroll'!I49</f>
        <v/>
      </c>
      <c r="I31" s="53">
        <f>'Staffing &amp; Payroll'!J48+'Staffing &amp; Payroll'!J49</f>
        <v/>
      </c>
      <c r="J31" s="53">
        <f>'Staffing &amp; Payroll'!K48+'Staffing &amp; Payroll'!K49</f>
        <v/>
      </c>
      <c r="K31" s="53">
        <f>'Staffing &amp; Payroll'!L48+'Staffing &amp; Payroll'!L49</f>
        <v/>
      </c>
      <c r="L31" s="53">
        <f>'Staffing &amp; Payroll'!M48+'Staffing &amp; Payroll'!M49</f>
        <v/>
      </c>
      <c r="M31" s="53">
        <f>'Staffing &amp; Payroll'!N48+'Staffing &amp; Payroll'!N49</f>
        <v/>
      </c>
      <c r="N31" s="54">
        <f>SUM('Staffing &amp; Payroll'!O48:R48)+SUM('Staffing &amp; Payroll'!O49:R49)</f>
        <v/>
      </c>
      <c r="O31" s="54">
        <f>SUM('Staffing &amp; Payroll'!S48:V48)+SUM('Staffing &amp; Payroll'!S49:V49)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Payroll'!C39</f>
        <v/>
      </c>
      <c r="C33" s="53">
        <f>'Staffing &amp; Payroll'!D39</f>
        <v/>
      </c>
      <c r="D33" s="53">
        <f>'Staffing &amp; Payroll'!E39</f>
        <v/>
      </c>
      <c r="E33" s="53">
        <f>'Staffing &amp; Payroll'!F39</f>
        <v/>
      </c>
      <c r="F33" s="53">
        <f>'Staffing &amp; Payroll'!G39</f>
        <v/>
      </c>
      <c r="G33" s="53">
        <f>'Staffing &amp; Payroll'!H39</f>
        <v/>
      </c>
      <c r="H33" s="53">
        <f>'Staffing &amp; Payroll'!I39</f>
        <v/>
      </c>
      <c r="I33" s="53">
        <f>'Staffing &amp; Payroll'!J39</f>
        <v/>
      </c>
      <c r="J33" s="53">
        <f>'Staffing &amp; Payroll'!K39</f>
        <v/>
      </c>
      <c r="K33" s="53">
        <f>'Staffing &amp; Payroll'!L39</f>
        <v/>
      </c>
      <c r="L33" s="53">
        <f>'Staffing &amp; Payroll'!M39</f>
        <v/>
      </c>
      <c r="M33" s="53">
        <f>'Staffing &amp; Payroll'!N39</f>
        <v/>
      </c>
      <c r="N33" s="54">
        <f>SUM('Staffing &amp; Payroll'!O39:R39)</f>
        <v/>
      </c>
      <c r="O33" s="54">
        <f>SUM('Staffing &amp; Payroll'!S39:V39)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Payroll'!C50+'Staffing &amp; Payroll'!C51</f>
        <v/>
      </c>
      <c r="C36" s="53">
        <f>'Staffing &amp; Payroll'!D50+'Staffing &amp; Payroll'!D51</f>
        <v/>
      </c>
      <c r="D36" s="53">
        <f>'Staffing &amp; Payroll'!E50+'Staffing &amp; Payroll'!E51</f>
        <v/>
      </c>
      <c r="E36" s="53">
        <f>'Staffing &amp; Payroll'!F50+'Staffing &amp; Payroll'!F51</f>
        <v/>
      </c>
      <c r="F36" s="53">
        <f>'Staffing &amp; Payroll'!G50+'Staffing &amp; Payroll'!G51</f>
        <v/>
      </c>
      <c r="G36" s="53">
        <f>'Staffing &amp; Payroll'!H50+'Staffing &amp; Payroll'!H51</f>
        <v/>
      </c>
      <c r="H36" s="53">
        <f>'Staffing &amp; Payroll'!I50+'Staffing &amp; Payroll'!I51</f>
        <v/>
      </c>
      <c r="I36" s="53">
        <f>'Staffing &amp; Payroll'!J50+'Staffing &amp; Payroll'!J51</f>
        <v/>
      </c>
      <c r="J36" s="53">
        <f>'Staffing &amp; Payroll'!K50+'Staffing &amp; Payroll'!K51</f>
        <v/>
      </c>
      <c r="K36" s="53">
        <f>'Staffing &amp; Payroll'!L50+'Staffing &amp; Payroll'!L51</f>
        <v/>
      </c>
      <c r="L36" s="53">
        <f>'Staffing &amp; Payroll'!M50+'Staffing &amp; Payroll'!M51</f>
        <v/>
      </c>
      <c r="M36" s="53">
        <f>'Staffing &amp; Payroll'!N50+'Staffing &amp; Payroll'!N51</f>
        <v/>
      </c>
      <c r="N36" s="54">
        <f>SUM('Staffing &amp; Payroll'!O50:R50)+SUM('Staffing &amp; Payroll'!O51:R51)</f>
        <v/>
      </c>
      <c r="O36" s="54">
        <f>SUM('Staffing &amp; Payroll'!S50:V50)+SUM('Staffing &amp; Payroll'!S51:V51)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Inputs!$B$101</f>
        <v/>
      </c>
      <c r="C40" s="53">
        <f>Inputs!$B$101</f>
        <v/>
      </c>
      <c r="D40" s="53">
        <f>Inputs!$B$101</f>
        <v/>
      </c>
      <c r="E40" s="53">
        <f>Inputs!$B$101</f>
        <v/>
      </c>
      <c r="F40" s="53">
        <f>Inputs!$B$101</f>
        <v/>
      </c>
      <c r="G40" s="53">
        <f>Inputs!$B$101</f>
        <v/>
      </c>
      <c r="H40" s="53">
        <f>Inputs!$B$101</f>
        <v/>
      </c>
      <c r="I40" s="53">
        <f>Inputs!$B$101</f>
        <v/>
      </c>
      <c r="J40" s="53">
        <f>Inputs!$B$101</f>
        <v/>
      </c>
      <c r="K40" s="53">
        <f>Inputs!$B$101</f>
        <v/>
      </c>
      <c r="L40" s="53">
        <f>Inputs!$B$101</f>
        <v/>
      </c>
      <c r="M40" s="53">
        <f>Inputs!$B$101</f>
        <v/>
      </c>
      <c r="N40" s="54">
        <f>Inputs!$B$101*12</f>
        <v/>
      </c>
      <c r="O40" s="54">
        <f>Inputs!$B$101*12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Inputs!$B$102</f>
        <v/>
      </c>
      <c r="C41" s="53">
        <f>Inputs!$B$102</f>
        <v/>
      </c>
      <c r="D41" s="53">
        <f>Inputs!$B$102</f>
        <v/>
      </c>
      <c r="E41" s="53">
        <f>Inputs!$B$102</f>
        <v/>
      </c>
      <c r="F41" s="53">
        <f>Inputs!$B$102</f>
        <v/>
      </c>
      <c r="G41" s="53">
        <f>Inputs!$B$102</f>
        <v/>
      </c>
      <c r="H41" s="53">
        <f>Inputs!$B$102</f>
        <v/>
      </c>
      <c r="I41" s="53">
        <f>Inputs!$B$102</f>
        <v/>
      </c>
      <c r="J41" s="53">
        <f>Inputs!$B$102</f>
        <v/>
      </c>
      <c r="K41" s="53">
        <f>Inputs!$B$102</f>
        <v/>
      </c>
      <c r="L41" s="53">
        <f>Inputs!$B$102</f>
        <v/>
      </c>
      <c r="M41" s="53">
        <f>Inputs!$B$102</f>
        <v/>
      </c>
      <c r="N41" s="54">
        <f>Inputs!$B$102*12</f>
        <v/>
      </c>
      <c r="O41" s="54">
        <f>Inputs!$B$102*12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Inputs!$B$91</f>
        <v/>
      </c>
      <c r="C42" s="53">
        <f>Inputs!$B$91</f>
        <v/>
      </c>
      <c r="D42" s="53">
        <f>Inputs!$B$91</f>
        <v/>
      </c>
      <c r="E42" s="53">
        <f>Inputs!$B$91</f>
        <v/>
      </c>
      <c r="F42" s="53">
        <f>Inputs!$B$91</f>
        <v/>
      </c>
      <c r="G42" s="53">
        <f>Inputs!$B$91</f>
        <v/>
      </c>
      <c r="H42" s="53">
        <f>Inputs!$B$91</f>
        <v/>
      </c>
      <c r="I42" s="53">
        <f>Inputs!$B$91</f>
        <v/>
      </c>
      <c r="J42" s="53">
        <f>Inputs!$B$91</f>
        <v/>
      </c>
      <c r="K42" s="53">
        <f>Inputs!$B$91</f>
        <v/>
      </c>
      <c r="L42" s="53">
        <f>Inputs!$B$91</f>
        <v/>
      </c>
      <c r="M42" s="53">
        <f>Inputs!$B$91</f>
        <v/>
      </c>
      <c r="N42" s="54">
        <f>Inputs!$B$91*12</f>
        <v/>
      </c>
      <c r="O42" s="54">
        <f>Inputs!$B$91*12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Inputs!$B$92</f>
        <v/>
      </c>
      <c r="C43" s="53">
        <f>Inputs!$B$92</f>
        <v/>
      </c>
      <c r="D43" s="53">
        <f>Inputs!$B$92</f>
        <v/>
      </c>
      <c r="E43" s="53">
        <f>Inputs!$B$92</f>
        <v/>
      </c>
      <c r="F43" s="53">
        <f>Inputs!$B$92</f>
        <v/>
      </c>
      <c r="G43" s="53">
        <f>Inputs!$B$92</f>
        <v/>
      </c>
      <c r="H43" s="53">
        <f>Inputs!$B$92</f>
        <v/>
      </c>
      <c r="I43" s="53">
        <f>Inputs!$B$92</f>
        <v/>
      </c>
      <c r="J43" s="53">
        <f>Inputs!$B$92</f>
        <v/>
      </c>
      <c r="K43" s="53">
        <f>Inputs!$B$92</f>
        <v/>
      </c>
      <c r="L43" s="53">
        <f>Inputs!$B$92</f>
        <v/>
      </c>
      <c r="M43" s="53">
        <f>Inputs!$B$92</f>
        <v/>
      </c>
      <c r="N43" s="54">
        <f>Inputs!$B$92*12</f>
        <v/>
      </c>
      <c r="O43" s="54">
        <f>Inputs!$B$92*12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Inputs!$B$93</f>
        <v/>
      </c>
      <c r="C44" s="53">
        <f>Inputs!$B$93</f>
        <v/>
      </c>
      <c r="D44" s="53">
        <f>Inputs!$B$93</f>
        <v/>
      </c>
      <c r="E44" s="53">
        <f>Inputs!$B$93</f>
        <v/>
      </c>
      <c r="F44" s="53">
        <f>Inputs!$B$93</f>
        <v/>
      </c>
      <c r="G44" s="53">
        <f>Inputs!$B$93</f>
        <v/>
      </c>
      <c r="H44" s="53">
        <f>Inputs!$B$93</f>
        <v/>
      </c>
      <c r="I44" s="53">
        <f>Inputs!$B$93</f>
        <v/>
      </c>
      <c r="J44" s="53">
        <f>Inputs!$B$93</f>
        <v/>
      </c>
      <c r="K44" s="53">
        <f>Inputs!$B$93</f>
        <v/>
      </c>
      <c r="L44" s="53">
        <f>Inputs!$B$93</f>
        <v/>
      </c>
      <c r="M44" s="53">
        <f>Inputs!$B$93</f>
        <v/>
      </c>
      <c r="N44" s="54">
        <f>Inputs!$B$93*12</f>
        <v/>
      </c>
      <c r="O44" s="54">
        <f>Inputs!$B$93*12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Inputs!$B$94</f>
        <v/>
      </c>
      <c r="C45" s="53">
        <f>Inputs!$B$94</f>
        <v/>
      </c>
      <c r="D45" s="53">
        <f>Inputs!$B$94</f>
        <v/>
      </c>
      <c r="E45" s="53">
        <f>Inputs!$B$94</f>
        <v/>
      </c>
      <c r="F45" s="53">
        <f>Inputs!$B$94</f>
        <v/>
      </c>
      <c r="G45" s="53">
        <f>Inputs!$B$94</f>
        <v/>
      </c>
      <c r="H45" s="53">
        <f>Inputs!$B$94</f>
        <v/>
      </c>
      <c r="I45" s="53">
        <f>Inputs!$B$94</f>
        <v/>
      </c>
      <c r="J45" s="53">
        <f>Inputs!$B$94</f>
        <v/>
      </c>
      <c r="K45" s="53">
        <f>Inputs!$B$94</f>
        <v/>
      </c>
      <c r="L45" s="53">
        <f>Inputs!$B$94</f>
        <v/>
      </c>
      <c r="M45" s="53">
        <f>Inputs!$B$94</f>
        <v/>
      </c>
      <c r="N45" s="54">
        <f>Inputs!$B$94*12</f>
        <v/>
      </c>
      <c r="O45" s="54">
        <f>Inputs!$B$94*12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Inputs!$B$103</f>
        <v/>
      </c>
      <c r="C51" s="53">
        <f>Inputs!$B$103</f>
        <v/>
      </c>
      <c r="D51" s="53">
        <f>Inputs!$B$103</f>
        <v/>
      </c>
      <c r="E51" s="53">
        <f>Inputs!$B$103</f>
        <v/>
      </c>
      <c r="F51" s="53">
        <f>Inputs!$B$103</f>
        <v/>
      </c>
      <c r="G51" s="53">
        <f>Inputs!$B$103</f>
        <v/>
      </c>
      <c r="H51" s="53">
        <f>Inputs!$B$103</f>
        <v/>
      </c>
      <c r="I51" s="53">
        <f>Inputs!$B$103</f>
        <v/>
      </c>
      <c r="J51" s="53">
        <f>Inputs!$B$103</f>
        <v/>
      </c>
      <c r="K51" s="53">
        <f>Inputs!$B$103</f>
        <v/>
      </c>
      <c r="L51" s="53">
        <f>Inputs!$B$103</f>
        <v/>
      </c>
      <c r="M51" s="53">
        <f>Inputs!$B$103</f>
        <v/>
      </c>
      <c r="N51" s="54">
        <f>Inputs!$B$103*12</f>
        <v/>
      </c>
      <c r="O51" s="54">
        <f>Inputs!$B$103*12</f>
        <v/>
      </c>
      <c r="P51" s="55">
        <f>SUM(B51:M51)+N51+O51</f>
        <v/>
      </c>
    </row>
    <row r="52">
      <c r="A52" s="57" t="inlineStr">
        <is>
          <t>Outsourced Billing Fee (1.5%)</t>
        </is>
      </c>
      <c r="B52" s="53">
        <f>'Revenue Model'!C14*Inputs!$B$106</f>
        <v/>
      </c>
      <c r="C52" s="53">
        <f>'Revenue Model'!D14*Inputs!$B$106</f>
        <v/>
      </c>
      <c r="D52" s="53">
        <f>'Revenue Model'!E14*Inputs!$B$106</f>
        <v/>
      </c>
      <c r="E52" s="53">
        <f>'Revenue Model'!F14*Inputs!$B$106</f>
        <v/>
      </c>
      <c r="F52" s="53">
        <f>'Revenue Model'!G14*Inputs!$B$106</f>
        <v/>
      </c>
      <c r="G52" s="53">
        <f>'Revenue Model'!H14*Inputs!$B$106</f>
        <v/>
      </c>
      <c r="H52" s="53">
        <f>'Revenue Model'!I14*Inputs!$B$106</f>
        <v/>
      </c>
      <c r="I52" s="53">
        <f>'Revenue Model'!J14*Inputs!$B$106</f>
        <v/>
      </c>
      <c r="J52" s="53">
        <f>'Revenue Model'!K14*Inputs!$B$106</f>
        <v/>
      </c>
      <c r="K52" s="53">
        <f>'Revenue Model'!L14*Inputs!$B$106</f>
        <v/>
      </c>
      <c r="L52" s="53">
        <f>'Revenue Model'!M14*Inputs!$B$106</f>
        <v/>
      </c>
      <c r="M52" s="53">
        <f>'Revenue Model'!N14*Inputs!$B$106</f>
        <v/>
      </c>
      <c r="N52" s="54">
        <f>SUM('Revenue Model'!O14:R14)*Inputs!$B$106</f>
        <v/>
      </c>
      <c r="O52" s="54">
        <f>SUM('Revenue Model'!S14:V14)*Inputs!$B$106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Inputs!$B$95</f>
        <v/>
      </c>
      <c r="C53" s="53">
        <f>Inputs!$B$95</f>
        <v/>
      </c>
      <c r="D53" s="53">
        <f>Inputs!$B$95</f>
        <v/>
      </c>
      <c r="E53" s="53">
        <f>Inputs!$B$95</f>
        <v/>
      </c>
      <c r="F53" s="53">
        <f>Inputs!$B$95</f>
        <v/>
      </c>
      <c r="G53" s="53">
        <f>Inputs!$B$95</f>
        <v/>
      </c>
      <c r="H53" s="53">
        <f>Inputs!$B$95</f>
        <v/>
      </c>
      <c r="I53" s="53">
        <f>Inputs!$B$95</f>
        <v/>
      </c>
      <c r="J53" s="53">
        <f>Inputs!$B$95</f>
        <v/>
      </c>
      <c r="K53" s="53">
        <f>Inputs!$B$95</f>
        <v/>
      </c>
      <c r="L53" s="53">
        <f>Inputs!$B$95</f>
        <v/>
      </c>
      <c r="M53" s="53">
        <f>Inputs!$B$95</f>
        <v/>
      </c>
      <c r="N53" s="54">
        <f>Inputs!$B$95*12</f>
        <v/>
      </c>
      <c r="O53" s="54">
        <f>Inputs!$B$95*12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Inputs!$B$96</f>
        <v/>
      </c>
      <c r="C55" s="53">
        <f>Inputs!$B$96</f>
        <v/>
      </c>
      <c r="D55" s="53">
        <f>Inputs!$B$96</f>
        <v/>
      </c>
      <c r="E55" s="53">
        <f>Inputs!$B$96</f>
        <v/>
      </c>
      <c r="F55" s="53">
        <f>Inputs!$B$96</f>
        <v/>
      </c>
      <c r="G55" s="53">
        <f>Inputs!$B$96</f>
        <v/>
      </c>
      <c r="H55" s="53">
        <f>Inputs!$B$96</f>
        <v/>
      </c>
      <c r="I55" s="53">
        <f>Inputs!$B$96</f>
        <v/>
      </c>
      <c r="J55" s="53">
        <f>Inputs!$B$96</f>
        <v/>
      </c>
      <c r="K55" s="53">
        <f>Inputs!$B$96</f>
        <v/>
      </c>
      <c r="L55" s="53">
        <f>Inputs!$B$96</f>
        <v/>
      </c>
      <c r="M55" s="53">
        <f>Inputs!$B$96</f>
        <v/>
      </c>
      <c r="N55" s="54">
        <f>Inputs!$B$96*12</f>
        <v/>
      </c>
      <c r="O55" s="54">
        <f>Inputs!$B$96*12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Inputs!$B$98</f>
        <v/>
      </c>
      <c r="C57" s="53">
        <f>Inputs!$B$98</f>
        <v/>
      </c>
      <c r="D57" s="53">
        <f>Inputs!$B$98</f>
        <v/>
      </c>
      <c r="E57" s="53">
        <f>Inputs!$B$98</f>
        <v/>
      </c>
      <c r="F57" s="53">
        <f>Inputs!$B$98</f>
        <v/>
      </c>
      <c r="G57" s="53">
        <f>Inputs!$B$98</f>
        <v/>
      </c>
      <c r="H57" s="53">
        <f>Inputs!$B$98</f>
        <v/>
      </c>
      <c r="I57" s="53">
        <f>Inputs!$B$98</f>
        <v/>
      </c>
      <c r="J57" s="53">
        <f>Inputs!$B$98</f>
        <v/>
      </c>
      <c r="K57" s="53">
        <f>Inputs!$B$98</f>
        <v/>
      </c>
      <c r="L57" s="53">
        <f>Inputs!$B$98</f>
        <v/>
      </c>
      <c r="M57" s="53">
        <f>Inputs!$B$98</f>
        <v/>
      </c>
      <c r="N57" s="54">
        <f>Inputs!$B$98*12</f>
        <v/>
      </c>
      <c r="O57" s="54">
        <f>Inputs!$B$98*12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Model'!C14*Inputs!$B$107</f>
        <v/>
      </c>
      <c r="C58" s="53">
        <f>'Revenue Model'!D14*Inputs!$B$107</f>
        <v/>
      </c>
      <c r="D58" s="53">
        <f>'Revenue Model'!E14*Inputs!$B$107</f>
        <v/>
      </c>
      <c r="E58" s="53">
        <f>'Revenue Model'!F14*Inputs!$B$107</f>
        <v/>
      </c>
      <c r="F58" s="53">
        <f>'Revenue Model'!G14*Inputs!$B$107</f>
        <v/>
      </c>
      <c r="G58" s="53">
        <f>'Revenue Model'!H14*Inputs!$B$107</f>
        <v/>
      </c>
      <c r="H58" s="53">
        <f>'Revenue Model'!I14*Inputs!$B$107</f>
        <v/>
      </c>
      <c r="I58" s="53">
        <f>'Revenue Model'!J14*Inputs!$B$107</f>
        <v/>
      </c>
      <c r="J58" s="53">
        <f>'Revenue Model'!K14*Inputs!$B$107</f>
        <v/>
      </c>
      <c r="K58" s="53">
        <f>'Revenue Model'!L14*Inputs!$B$107</f>
        <v/>
      </c>
      <c r="L58" s="53">
        <f>'Revenue Model'!M14*Inputs!$B$107</f>
        <v/>
      </c>
      <c r="M58" s="53">
        <f>'Revenue Model'!N14*Inputs!$B$107</f>
        <v/>
      </c>
      <c r="N58" s="54">
        <f>SUM('Revenue Model'!O14:R14)*Inputs!$B$107</f>
        <v/>
      </c>
      <c r="O58" s="54">
        <f>SUM('Revenue Model'!S14:V14)*Inputs!$B$107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Inputs!$B$99</f>
        <v/>
      </c>
      <c r="C59" s="53">
        <f>Inputs!$B$99</f>
        <v/>
      </c>
      <c r="D59" s="53">
        <f>Inputs!$B$99</f>
        <v/>
      </c>
      <c r="E59" s="53">
        <f>Inputs!$B$99</f>
        <v/>
      </c>
      <c r="F59" s="53">
        <f>Inputs!$B$99</f>
        <v/>
      </c>
      <c r="G59" s="53">
        <f>Inputs!$B$99</f>
        <v/>
      </c>
      <c r="H59" s="53">
        <f>Inputs!$B$99</f>
        <v/>
      </c>
      <c r="I59" s="53">
        <f>Inputs!$B$99</f>
        <v/>
      </c>
      <c r="J59" s="53">
        <f>Inputs!$B$99</f>
        <v/>
      </c>
      <c r="K59" s="53">
        <f>Inputs!$B$99</f>
        <v/>
      </c>
      <c r="L59" s="53">
        <f>Inputs!$B$99</f>
        <v/>
      </c>
      <c r="M59" s="53">
        <f>Inputs!$B$99</f>
        <v/>
      </c>
      <c r="N59" s="54">
        <f>Inputs!$B$99*12</f>
        <v/>
      </c>
      <c r="O59" s="54">
        <f>Inputs!$B$99*12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Inputs!$B$97</f>
        <v/>
      </c>
      <c r="C60" s="53">
        <f>Inputs!$B$97</f>
        <v/>
      </c>
      <c r="D60" s="53">
        <f>Inputs!$B$97</f>
        <v/>
      </c>
      <c r="E60" s="53">
        <f>Inputs!$B$97</f>
        <v/>
      </c>
      <c r="F60" s="53">
        <f>Inputs!$B$97</f>
        <v/>
      </c>
      <c r="G60" s="53">
        <f>Inputs!$B$97</f>
        <v/>
      </c>
      <c r="H60" s="53">
        <f>Inputs!$B$97</f>
        <v/>
      </c>
      <c r="I60" s="53">
        <f>Inputs!$B$97</f>
        <v/>
      </c>
      <c r="J60" s="53">
        <f>Inputs!$B$97</f>
        <v/>
      </c>
      <c r="K60" s="53">
        <f>Inputs!$B$97</f>
        <v/>
      </c>
      <c r="L60" s="53">
        <f>Inputs!$B$97</f>
        <v/>
      </c>
      <c r="M60" s="53">
        <f>Inputs!$B$97</f>
        <v/>
      </c>
      <c r="N60" s="54">
        <f>Inputs!$B$97*12</f>
        <v/>
      </c>
      <c r="O60" s="54">
        <f>Inputs!$B$97*12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Inputs!$B$100</f>
        <v/>
      </c>
      <c r="C62" s="53">
        <f>Inputs!$B$100</f>
        <v/>
      </c>
      <c r="D62" s="53">
        <f>Inputs!$B$100</f>
        <v/>
      </c>
      <c r="E62" s="53">
        <f>Inputs!$B$100</f>
        <v/>
      </c>
      <c r="F62" s="53">
        <f>Inputs!$B$100</f>
        <v/>
      </c>
      <c r="G62" s="53">
        <f>Inputs!$B$100</f>
        <v/>
      </c>
      <c r="H62" s="53">
        <f>Inputs!$B$100</f>
        <v/>
      </c>
      <c r="I62" s="53">
        <f>Inputs!$B$100</f>
        <v/>
      </c>
      <c r="J62" s="53">
        <f>Inputs!$B$100</f>
        <v/>
      </c>
      <c r="K62" s="53">
        <f>Inputs!$B$100</f>
        <v/>
      </c>
      <c r="L62" s="53">
        <f>Inputs!$B$100</f>
        <v/>
      </c>
      <c r="M62" s="53">
        <f>Inputs!$B$100</f>
        <v/>
      </c>
      <c r="N62" s="54">
        <f>Inputs!$B$100*12</f>
        <v/>
      </c>
      <c r="O62" s="54">
        <f>Inputs!$B$100*12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+ Hickory license seller note | Combined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($300K, 6%, 36 mo)</t>
        </is>
      </c>
    </row>
    <row r="18">
      <c r="A18" s="20" t="inlineStr">
        <is>
          <t>Beginning balance</t>
        </is>
      </c>
      <c r="C18" s="33">
        <f>Inputs!$B$120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Budget'!C24</f>
        <v/>
      </c>
      <c r="D28" s="33">
        <f>'Operating Budget'!D24</f>
        <v/>
      </c>
      <c r="E28" s="33">
        <f>'Operating Budget'!E24</f>
        <v/>
      </c>
      <c r="F28" s="33">
        <f>'Operating Budget'!F24</f>
        <v/>
      </c>
      <c r="G28" s="33">
        <f>'Operating Budget'!G24</f>
        <v/>
      </c>
      <c r="H28" s="33">
        <f>'Operating Budget'!H24</f>
        <v/>
      </c>
      <c r="I28" s="33">
        <f>'Operating Budget'!I24</f>
        <v/>
      </c>
      <c r="J28" s="33">
        <f>'Operating Budget'!J24</f>
        <v/>
      </c>
      <c r="K28" s="33">
        <f>'Operating Budget'!K24</f>
        <v/>
      </c>
      <c r="L28" s="33">
        <f>'Operating Budget'!L24</f>
        <v/>
      </c>
      <c r="M28" s="33">
        <f>'Operating Budget'!M24</f>
        <v/>
      </c>
      <c r="N28" s="33">
        <f>'Operating Budget'!N24</f>
        <v/>
      </c>
      <c r="O28" s="33">
        <f>'Operating Budget'!O24</f>
        <v/>
      </c>
      <c r="P28" s="33">
        <f>'Operating Budget'!P24</f>
        <v/>
      </c>
      <c r="Q28" s="33">
        <f>'Operating Budget'!Q24</f>
        <v/>
      </c>
      <c r="R28" s="33">
        <f>'Operating Budget'!R24</f>
        <v/>
      </c>
      <c r="S28" s="33">
        <f>'Operating Budget'!S24</f>
        <v/>
      </c>
      <c r="T28" s="33">
        <f>'Operating Budget'!T24</f>
        <v/>
      </c>
      <c r="U28" s="33">
        <f>'Operating Budget'!U24</f>
        <v/>
      </c>
      <c r="V28" s="33">
        <f>'Operating Budget'!V24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Budget'!C34</f>
        <v/>
      </c>
      <c r="D7" s="33">
        <f>'Operating Budget'!D34</f>
        <v/>
      </c>
      <c r="E7" s="33">
        <f>'Operating Budget'!E34</f>
        <v/>
      </c>
      <c r="F7" s="33">
        <f>'Operating Budget'!F34</f>
        <v/>
      </c>
      <c r="G7" s="33">
        <f>'Operating Budget'!G34</f>
        <v/>
      </c>
      <c r="H7" s="33">
        <f>'Operating Budget'!H34</f>
        <v/>
      </c>
      <c r="I7" s="33">
        <f>'Operating Budget'!I34</f>
        <v/>
      </c>
      <c r="J7" s="33">
        <f>'Operating Budget'!J34</f>
        <v/>
      </c>
      <c r="K7" s="33">
        <f>'Operating Budget'!K34</f>
        <v/>
      </c>
      <c r="L7" s="33">
        <f>'Operating Budget'!L34</f>
        <v/>
      </c>
      <c r="M7" s="33">
        <f>'Operating Budget'!M34</f>
        <v/>
      </c>
      <c r="N7" s="33">
        <f>'Operating Budget'!N34</f>
        <v/>
      </c>
      <c r="O7" s="33">
        <f>'Operating Budget'!O34</f>
        <v/>
      </c>
      <c r="P7" s="33">
        <f>'Operating Budget'!P34</f>
        <v/>
      </c>
      <c r="Q7" s="33">
        <f>'Operating Budget'!Q34</f>
        <v/>
      </c>
      <c r="R7" s="33">
        <f>'Operating Budget'!R34</f>
        <v/>
      </c>
      <c r="S7" s="33">
        <f>'Operating Budget'!S34</f>
        <v/>
      </c>
      <c r="T7" s="33">
        <f>'Operating Budget'!T34</f>
        <v/>
      </c>
      <c r="U7" s="33">
        <f>'Operating Budget'!U34</f>
        <v/>
      </c>
      <c r="V7" s="33">
        <f>'Operating Budget'!V34</f>
        <v/>
      </c>
    </row>
    <row r="8">
      <c r="A8" s="4" t="inlineStr">
        <is>
          <t>+ Depreciation &amp; amortization</t>
        </is>
      </c>
      <c r="C8" s="33">
        <f>'Operating Budget'!C28</f>
        <v/>
      </c>
      <c r="D8" s="33">
        <f>'Operating Budget'!D28</f>
        <v/>
      </c>
      <c r="E8" s="33">
        <f>'Operating Budget'!E28</f>
        <v/>
      </c>
      <c r="F8" s="33">
        <f>'Operating Budget'!F28</f>
        <v/>
      </c>
      <c r="G8" s="33">
        <f>'Operating Budget'!G28</f>
        <v/>
      </c>
      <c r="H8" s="33">
        <f>'Operating Budget'!H28</f>
        <v/>
      </c>
      <c r="I8" s="33">
        <f>'Operating Budget'!I28</f>
        <v/>
      </c>
      <c r="J8" s="33">
        <f>'Operating Budget'!J28</f>
        <v/>
      </c>
      <c r="K8" s="33">
        <f>'Operating Budget'!K28</f>
        <v/>
      </c>
      <c r="L8" s="33">
        <f>'Operating Budget'!L28</f>
        <v/>
      </c>
      <c r="M8" s="33">
        <f>'Operating Budget'!M28</f>
        <v/>
      </c>
      <c r="N8" s="33">
        <f>'Operating Budget'!N28</f>
        <v/>
      </c>
      <c r="O8" s="33">
        <f>'Operating Budget'!O28</f>
        <v/>
      </c>
      <c r="P8" s="33">
        <f>'Operating Budget'!P28</f>
        <v/>
      </c>
      <c r="Q8" s="33">
        <f>'Operating Budget'!Q28</f>
        <v/>
      </c>
      <c r="R8" s="33">
        <f>'Operating Budget'!R28</f>
        <v/>
      </c>
      <c r="S8" s="33">
        <f>'Operating Budget'!S28</f>
        <v/>
      </c>
      <c r="T8" s="33">
        <f>'Operating Budget'!T28</f>
        <v/>
      </c>
      <c r="U8" s="33">
        <f>'Operating Budget'!U28</f>
        <v/>
      </c>
      <c r="V8" s="33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Model'!C17*Inputs!$B$134/'Revenue Model'!C11</f>
        <v/>
      </c>
      <c r="D9" s="33">
        <f>'Revenue Model'!D17*Inputs!$B$134/'Revenue Model'!D11</f>
        <v/>
      </c>
      <c r="E9" s="33">
        <f>'Revenue Model'!E17*Inputs!$B$134/'Revenue Model'!E11</f>
        <v/>
      </c>
      <c r="F9" s="33">
        <f>'Revenue Model'!F17*Inputs!$B$134/'Revenue Model'!F11</f>
        <v/>
      </c>
      <c r="G9" s="33">
        <f>'Revenue Model'!G17*Inputs!$B$134/'Revenue Model'!G11</f>
        <v/>
      </c>
      <c r="H9" s="33">
        <f>'Revenue Model'!H17*Inputs!$B$134/'Revenue Model'!H11</f>
        <v/>
      </c>
      <c r="I9" s="33">
        <f>'Revenue Model'!I17*Inputs!$B$134/'Revenue Model'!I11</f>
        <v/>
      </c>
      <c r="J9" s="33">
        <f>'Revenue Model'!J17*Inputs!$B$134/'Revenue Model'!J11</f>
        <v/>
      </c>
      <c r="K9" s="33">
        <f>'Revenue Model'!K17*Inputs!$B$134/'Revenue Model'!K11</f>
        <v/>
      </c>
      <c r="L9" s="33">
        <f>'Revenue Model'!L17*Inputs!$B$134/'Revenue Model'!L11</f>
        <v/>
      </c>
      <c r="M9" s="33">
        <f>'Revenue Model'!M17*Inputs!$B$134/'Revenue Model'!M11</f>
        <v/>
      </c>
      <c r="N9" s="33">
        <f>'Revenue Model'!N17*Inputs!$B$134/'Revenue Model'!N11</f>
        <v/>
      </c>
      <c r="O9" s="33">
        <f>'Revenue Model'!O17*Inputs!$B$134/'Revenue Model'!O11</f>
        <v/>
      </c>
      <c r="P9" s="33">
        <f>'Revenue Model'!P17*Inputs!$B$134/'Revenue Model'!P11</f>
        <v/>
      </c>
      <c r="Q9" s="33">
        <f>'Revenue Model'!Q17*Inputs!$B$134/'Revenue Model'!Q11</f>
        <v/>
      </c>
      <c r="R9" s="33">
        <f>'Revenue Model'!R17*Inputs!$B$134/'Revenue Model'!R11</f>
        <v/>
      </c>
      <c r="S9" s="33">
        <f>'Revenue Model'!S17*Inputs!$B$134/'Revenue Model'!S11</f>
        <v/>
      </c>
      <c r="T9" s="33">
        <f>'Revenue Model'!T17*Inputs!$B$134/'Revenue Model'!T11</f>
        <v/>
      </c>
      <c r="U9" s="33">
        <f>'Revenue Model'!U17*Inputs!$B$134/'Revenue Model'!U11</f>
        <v/>
      </c>
      <c r="V9" s="33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Budget'!C22+'Operating Budget'!C13)*Inputs!$B$135/'Revenue Model'!C11</f>
        <v/>
      </c>
      <c r="D10" s="33">
        <f>('Operating Budget'!D20+'Operating Budget'!D22+'Operating Budget'!D13)*Inputs!$B$135/'Revenue Model'!D11</f>
        <v/>
      </c>
      <c r="E10" s="33">
        <f>('Operating Budget'!E20+'Operating Budget'!E22+'Operating Budget'!E13)*Inputs!$B$135/'Revenue Model'!E11</f>
        <v/>
      </c>
      <c r="F10" s="33">
        <f>('Operating Budget'!F20+'Operating Budget'!F22+'Operating Budget'!F13)*Inputs!$B$135/'Revenue Model'!F11</f>
        <v/>
      </c>
      <c r="G10" s="33">
        <f>('Operating Budget'!G20+'Operating Budget'!G22+'Operating Budget'!G13)*Inputs!$B$135/'Revenue Model'!G11</f>
        <v/>
      </c>
      <c r="H10" s="33">
        <f>('Operating Budget'!H20+'Operating Budget'!H22+'Operating Budget'!H13)*Inputs!$B$135/'Revenue Model'!H11</f>
        <v/>
      </c>
      <c r="I10" s="33">
        <f>('Operating Budget'!I20+'Operating Budget'!I22+'Operating Budget'!I13)*Inputs!$B$135/'Revenue Model'!I11</f>
        <v/>
      </c>
      <c r="J10" s="33">
        <f>('Operating Budget'!J20+'Operating Budget'!J22+'Operating Budget'!J13)*Inputs!$B$135/'Revenue Model'!J11</f>
        <v/>
      </c>
      <c r="K10" s="33">
        <f>('Operating Budget'!K20+'Operating Budget'!K22+'Operating Budget'!K13)*Inputs!$B$135/'Revenue Model'!K11</f>
        <v/>
      </c>
      <c r="L10" s="33">
        <f>('Operating Budget'!L20+'Operating Budget'!L22+'Operating Budget'!L13)*Inputs!$B$135/'Revenue Model'!L11</f>
        <v/>
      </c>
      <c r="M10" s="33">
        <f>('Operating Budget'!M20+'Operating Budget'!M22+'Operating Budget'!M13)*Inputs!$B$135/'Revenue Model'!M11</f>
        <v/>
      </c>
      <c r="N10" s="33">
        <f>('Operating Budget'!N20+'Operating Budget'!N22+'Operating Budget'!N13)*Inputs!$B$135/'Revenue Model'!N11</f>
        <v/>
      </c>
      <c r="O10" s="33">
        <f>('Operating Budget'!O20+'Operating Budget'!O22+'Operating Budget'!O13)*Inputs!$B$135/'Revenue Model'!O11</f>
        <v/>
      </c>
      <c r="P10" s="33">
        <f>('Operating Budget'!P20+'Operating Budget'!P22+'Operating Budget'!P13)*Inputs!$B$135/'Revenue Model'!P11</f>
        <v/>
      </c>
      <c r="Q10" s="33">
        <f>('Operating Budget'!Q20+'Operating Budget'!Q22+'Operating Budget'!Q13)*Inputs!$B$135/'Revenue Model'!Q11</f>
        <v/>
      </c>
      <c r="R10" s="33">
        <f>('Operating Budget'!R20+'Operating Budget'!R22+'Operating Budget'!R13)*Inputs!$B$135/'Revenue Model'!R11</f>
        <v/>
      </c>
      <c r="S10" s="33">
        <f>('Operating Budget'!S20+'Operating Budget'!S22+'Operating Budget'!S13)*Inputs!$B$135/'Revenue Model'!S11</f>
        <v/>
      </c>
      <c r="T10" s="33">
        <f>('Operating Budget'!T20+'Operating Budget'!T22+'Operating Budget'!T13)*Inputs!$B$135/'Revenue Model'!T11</f>
        <v/>
      </c>
      <c r="U10" s="33">
        <f>('Operating Budget'!U20+'Operating Budget'!U22+'Operating Budget'!U13)*Inputs!$B$135/'Revenue Model'!U11</f>
        <v/>
      </c>
      <c r="V10" s="33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-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33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33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Inputs!$B$110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Inputs!$B$120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Inputs!$B$113</f>
        <v/>
      </c>
      <c r="C35" s="62">
        <f>Inputs!$B$113</f>
        <v/>
      </c>
      <c r="D35" s="62">
        <f>Inputs!$B$113</f>
        <v/>
      </c>
      <c r="E35" s="62">
        <f>Inputs!$B$113</f>
        <v/>
      </c>
      <c r="F35" s="62">
        <f>Inputs!$B$113</f>
        <v/>
      </c>
      <c r="G35" s="62">
        <f>Inputs!$B$113</f>
        <v/>
      </c>
      <c r="H35" s="62">
        <f>Inputs!$B$113</f>
        <v/>
      </c>
      <c r="I35" s="62">
        <f>Inputs!$B$113</f>
        <v/>
      </c>
      <c r="J35" s="62">
        <f>Inputs!$B$113</f>
        <v/>
      </c>
      <c r="K35" s="62">
        <f>Inputs!$B$113</f>
        <v/>
      </c>
      <c r="L35" s="62">
        <f>Inputs!$B$113</f>
        <v/>
      </c>
      <c r="M35" s="62">
        <f>Inputs!$B$113</f>
        <v/>
      </c>
      <c r="N35" s="62">
        <f>Inputs!$B$113</f>
        <v/>
      </c>
      <c r="O35" s="62">
        <f>Inputs!$B$113</f>
        <v/>
      </c>
      <c r="P35" s="62">
        <f>Inputs!$B$113</f>
        <v/>
      </c>
      <c r="Q35" s="62">
        <f>Inputs!$B$113</f>
        <v/>
      </c>
      <c r="R35" s="62">
        <f>Inputs!$B$113</f>
        <v/>
      </c>
      <c r="S35" s="62">
        <f>Inputs!$B$113</f>
        <v/>
      </c>
      <c r="T35" s="62">
        <f>Inputs!$B$113</f>
        <v/>
      </c>
      <c r="U35" s="62">
        <f>Inputs!$B$113</f>
        <v/>
      </c>
      <c r="V35" s="62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- (L+E) to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Apr-Jun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Model'!E12*Inputs!$B$88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Model'!E12*Inputs!$B$86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Model'!E12*Inputs!$B$87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Payroll'!E53+'Staffing &amp; Payroll'!E54</f>
        <v/>
      </c>
    </row>
    <row r="21">
      <c r="A21" s="36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Operations Dashboard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2026-06-16T07:06:11Z</dcterms:created>
  <dcterms:modified xmlns:dcterms="http://purl.org/dc/terms/" xmlns:xsi="http://www.w3.org/2001/XMLSchema-instance" xsi:type="dcterms:W3CDTF">2026-06-16T07:06:11Z</dcterms:modified>
  <cp:lastModifiedBy>Azalea Hospice</cp:lastModifiedBy>
  <cp:keywords>hospice, financial model</cp:keywords>
</cp:coreProperties>
</file>