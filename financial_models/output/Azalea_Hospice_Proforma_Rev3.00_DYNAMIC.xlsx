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Tower" sheetId="1" state="visible" r:id="rId1"/>
    <sheet xmlns:r="http://schemas.openxmlformats.org/officeDocument/2006/relationships" name="Census Waterfall" sheetId="2" state="visible" r:id="rId2"/>
    <sheet xmlns:r="http://schemas.openxmlformats.org/officeDocument/2006/relationships" name="Revenue Model" sheetId="3" state="visible" r:id="rId3"/>
    <sheet xmlns:r="http://schemas.openxmlformats.org/officeDocument/2006/relationships" name="Staffing" sheetId="4" state="visible" r:id="rId4"/>
    <sheet xmlns:r="http://schemas.openxmlformats.org/officeDocument/2006/relationships" name="Operating Budget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Cash Flow &amp; Runway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hecks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3-Year Summary" sheetId="11" state="visible" r:id="rId11"/>
    <sheet xmlns:r="http://schemas.openxmlformats.org/officeDocument/2006/relationships" name="Actuals vs Budge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12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every number in the model flows from this tab. Yellow = input; everything else is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</t>
        </is>
      </c>
      <c r="B9" s="5" t="n">
        <v>25000</v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refinance rate (APR)</t>
        </is>
      </c>
      <c r="B14" s="8" t="n">
        <v>0.09</v>
      </c>
      <c r="D14" s="6" t="inlineStr">
        <is>
          <t>funds the Jan balloon when full-refi toggle is OFF</t>
        </is>
      </c>
    </row>
    <row r="15">
      <c r="A15" s="4" t="inlineStr">
        <is>
          <t>Balloon refinance term (months)</t>
        </is>
      </c>
      <c r="B15" s="7" t="n">
        <v>120</v>
      </c>
    </row>
    <row r="16">
      <c r="A16" s="4" t="inlineStr">
        <is>
          <t>FULL-REFI TOGGLE (1 = $500K/6%/36 note - BASE CASE)</t>
        </is>
      </c>
      <c r="B16" s="7" t="n">
        <v>1</v>
      </c>
      <c r="D16" s="6" t="inlineStr">
        <is>
          <t>base: sellers paid off Sept; company services $15,211/mo x36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TOGGLE (1 = SBA 7(a) funds)</t>
        </is>
      </c>
      <c r="B21" s="7" t="n">
        <v>0</v>
      </c>
    </row>
    <row r="22">
      <c r="A22" s="4" t="inlineStr">
        <is>
          <t>SBA funding month</t>
        </is>
      </c>
      <c r="B22" s="7" t="n">
        <v>3</v>
      </c>
    </row>
    <row r="23">
      <c r="A23" s="4" t="inlineStr">
        <is>
          <t>SBA amount</t>
        </is>
      </c>
      <c r="B23" s="5" t="n">
        <v>450000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180</v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benefits/WC per audit)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post-audit: bottom of 22-28% band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fires when FTE capacity &lt;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fires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(MAX(fixed, % of net revenue) per audit pattern)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OTHER</t>
        </is>
      </c>
    </row>
    <row r="123">
      <c r="A123" s="4" t="inlineStr">
        <is>
          <t>Minimum-cash floor (revolver draws to hold this)</t>
        </is>
      </c>
      <c r="B123" s="5" t="n">
        <v>25000</v>
      </c>
    </row>
    <row r="124">
      <c r="A124" s="4" t="inlineStr">
        <is>
          <t>Working-capital revolver commitment</t>
        </is>
      </c>
      <c r="B124" s="5" t="n">
        <v>250000</v>
      </c>
      <c r="D124" s="6" t="inlineStr">
        <is>
          <t>balancing facility - PE convention: cash never goes negative</t>
        </is>
      </c>
    </row>
    <row r="125">
      <c r="A125" s="4" t="inlineStr">
        <is>
          <t>Revolver rate (APR)</t>
        </is>
      </c>
      <c r="B125" s="8" t="n">
        <v>0.105</v>
      </c>
    </row>
    <row r="126">
      <c r="A126" s="4" t="inlineStr">
        <is>
          <t>TX franchise/margin tax (% of NPR if profitable)</t>
        </is>
      </c>
      <c r="B126" s="15" t="n">
        <v>0.00375</v>
      </c>
    </row>
    <row r="127">
      <c r="A127" s="4" t="inlineStr">
        <is>
          <t>Medicare aggregate cap / beneficiary (FY2026)</t>
        </is>
      </c>
      <c r="B127" s="5" t="n">
        <v>33900</v>
      </c>
      <c r="D127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AL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A1:AL3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step with census (caseload formulas); PRN 1099 supplement fires when FTE capacity &lt; required visits.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census/caseload in 0.5 steps)</t>
        </is>
      </c>
    </row>
    <row r="7">
      <c r="A7" s="4" t="inlineStr">
        <is>
          <t>RN Case Manager (4000-0-6-1) - FTE</t>
        </is>
      </c>
      <c r="C7" s="25">
        <f>ROUNDUP('Census Waterfall'!C11/'Control Tower'!$B$59*2,0)/2</f>
        <v/>
      </c>
      <c r="D7" s="25">
        <f>ROUNDUP('Census Waterfall'!D11/'Control Tower'!$B$59*2,0)/2</f>
        <v/>
      </c>
      <c r="E7" s="25">
        <f>ROUNDUP('Census Waterfall'!E11/'Control Tower'!$B$59*2,0)/2</f>
        <v/>
      </c>
      <c r="F7" s="25">
        <f>ROUNDUP('Census Waterfall'!F11/'Control Tower'!$B$59*2,0)/2</f>
        <v/>
      </c>
      <c r="G7" s="25">
        <f>ROUNDUP('Census Waterfall'!G11/'Control Tower'!$B$59*2,0)/2</f>
        <v/>
      </c>
      <c r="H7" s="25">
        <f>ROUNDUP('Census Waterfall'!H11/'Control Tower'!$B$59*2,0)/2</f>
        <v/>
      </c>
      <c r="I7" s="25">
        <f>ROUNDUP('Census Waterfall'!I11/'Control Tower'!$B$59*2,0)/2</f>
        <v/>
      </c>
      <c r="J7" s="25">
        <f>ROUNDUP('Census Waterfall'!J11/'Control Tower'!$B$59*2,0)/2</f>
        <v/>
      </c>
      <c r="K7" s="25">
        <f>ROUNDUP('Census Waterfall'!K11/'Control Tower'!$B$59*2,0)/2</f>
        <v/>
      </c>
      <c r="L7" s="25">
        <f>ROUNDUP('Census Waterfall'!L11/'Control Tower'!$B$59*2,0)/2</f>
        <v/>
      </c>
      <c r="M7" s="25">
        <f>ROUNDUP('Census Waterfall'!M11/'Control Tower'!$B$59*2,0)/2</f>
        <v/>
      </c>
      <c r="N7" s="25">
        <f>ROUNDUP('Census Waterfall'!N11/'Control Tower'!$B$59*2,0)/2</f>
        <v/>
      </c>
      <c r="O7" s="25">
        <f>ROUNDUP('Census Waterfall'!O11/'Control Tower'!$B$59*2,0)/2</f>
        <v/>
      </c>
      <c r="P7" s="25">
        <f>ROUNDUP('Census Waterfall'!P11/'Control Tower'!$B$59*2,0)/2</f>
        <v/>
      </c>
      <c r="Q7" s="25">
        <f>ROUNDUP('Census Waterfall'!Q11/'Control Tower'!$B$59*2,0)/2</f>
        <v/>
      </c>
      <c r="R7" s="25">
        <f>ROUNDUP('Census Waterfall'!R11/'Control Tower'!$B$59*2,0)/2</f>
        <v/>
      </c>
      <c r="S7" s="25">
        <f>ROUNDUP('Census Waterfall'!S11/'Control Tower'!$B$59*2,0)/2</f>
        <v/>
      </c>
      <c r="T7" s="25">
        <f>ROUNDUP('Census Waterfall'!T11/'Control Tower'!$B$59*2,0)/2</f>
        <v/>
      </c>
      <c r="U7" s="25">
        <f>ROUNDUP('Census Waterfall'!U11/'Control Tower'!$B$59*2,0)/2</f>
        <v/>
      </c>
      <c r="V7" s="25">
        <f>ROUNDUP('Census Waterfall'!V11/'Control Tower'!$B$59*2,0)/2</f>
        <v/>
      </c>
      <c r="W7" s="25">
        <f>ROUNDUP('Census Waterfall'!W11/'Control Tower'!$B$59*2,0)/2</f>
        <v/>
      </c>
      <c r="X7" s="25">
        <f>ROUNDUP('Census Waterfall'!X11/'Control Tower'!$B$59*2,0)/2</f>
        <v/>
      </c>
      <c r="Y7" s="25">
        <f>ROUNDUP('Census Waterfall'!Y11/'Control Tower'!$B$59*2,0)/2</f>
        <v/>
      </c>
      <c r="Z7" s="25">
        <f>ROUNDUP('Census Waterfall'!Z11/'Control Tower'!$B$59*2,0)/2</f>
        <v/>
      </c>
      <c r="AA7" s="25">
        <f>ROUNDUP('Census Waterfall'!AA11/'Control Tower'!$B$59*2,0)/2</f>
        <v/>
      </c>
      <c r="AB7" s="25">
        <f>ROUNDUP('Census Waterfall'!AB11/'Control Tower'!$B$59*2,0)/2</f>
        <v/>
      </c>
      <c r="AC7" s="25">
        <f>ROUNDUP('Census Waterfall'!AC11/'Control Tower'!$B$59*2,0)/2</f>
        <v/>
      </c>
      <c r="AD7" s="25">
        <f>ROUNDUP('Census Waterfall'!AD11/'Control Tower'!$B$59*2,0)/2</f>
        <v/>
      </c>
      <c r="AE7" s="25">
        <f>ROUNDUP('Census Waterfall'!AE11/'Control Tower'!$B$59*2,0)/2</f>
        <v/>
      </c>
      <c r="AF7" s="25">
        <f>ROUNDUP('Census Waterfall'!AF11/'Control Tower'!$B$59*2,0)/2</f>
        <v/>
      </c>
      <c r="AG7" s="25">
        <f>ROUNDUP('Census Waterfall'!AG11/'Control Tower'!$B$59*2,0)/2</f>
        <v/>
      </c>
      <c r="AH7" s="25">
        <f>ROUNDUP('Census Waterfall'!AH11/'Control Tower'!$B$59*2,0)/2</f>
        <v/>
      </c>
      <c r="AI7" s="25">
        <f>ROUNDUP('Census Waterfall'!AI11/'Control Tower'!$B$59*2,0)/2</f>
        <v/>
      </c>
      <c r="AJ7" s="25">
        <f>ROUNDUP('Census Waterfall'!AJ11/'Control Tower'!$B$59*2,0)/2</f>
        <v/>
      </c>
      <c r="AK7" s="25">
        <f>ROUNDUP('Census Waterfall'!AK11/'Control Tower'!$B$59*2,0)/2</f>
        <v/>
      </c>
      <c r="AL7" s="25">
        <f>ROUNDUP('Census Waterfall'!AL11/'Control Tower'!$B$59*2,0)/2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ROUNDUP('Census Waterfall'!C11/'Control Tower'!$B$63*2,0)/2</f>
        <v/>
      </c>
      <c r="D11" s="25">
        <f>ROUNDUP('Census Waterfall'!D11/'Control Tower'!$B$63*2,0)/2</f>
        <v/>
      </c>
      <c r="E11" s="25">
        <f>ROUNDUP('Census Waterfall'!E11/'Control Tower'!$B$63*2,0)/2</f>
        <v/>
      </c>
      <c r="F11" s="25">
        <f>ROUNDUP('Census Waterfall'!F11/'Control Tower'!$B$63*2,0)/2</f>
        <v/>
      </c>
      <c r="G11" s="25">
        <f>ROUNDUP('Census Waterfall'!G11/'Control Tower'!$B$63*2,0)/2</f>
        <v/>
      </c>
      <c r="H11" s="25">
        <f>ROUNDUP('Census Waterfall'!H11/'Control Tower'!$B$63*2,0)/2</f>
        <v/>
      </c>
      <c r="I11" s="25">
        <f>ROUNDUP('Census Waterfall'!I11/'Control Tower'!$B$63*2,0)/2</f>
        <v/>
      </c>
      <c r="J11" s="25">
        <f>ROUNDUP('Census Waterfall'!J11/'Control Tower'!$B$63*2,0)/2</f>
        <v/>
      </c>
      <c r="K11" s="25">
        <f>ROUNDUP('Census Waterfall'!K11/'Control Tower'!$B$63*2,0)/2</f>
        <v/>
      </c>
      <c r="L11" s="25">
        <f>ROUNDUP('Census Waterfall'!L11/'Control Tower'!$B$63*2,0)/2</f>
        <v/>
      </c>
      <c r="M11" s="25">
        <f>ROUNDUP('Census Waterfall'!M11/'Control Tower'!$B$63*2,0)/2</f>
        <v/>
      </c>
      <c r="N11" s="25">
        <f>ROUNDUP('Census Waterfall'!N11/'Control Tower'!$B$63*2,0)/2</f>
        <v/>
      </c>
      <c r="O11" s="25">
        <f>ROUNDUP('Census Waterfall'!O11/'Control Tower'!$B$63*2,0)/2</f>
        <v/>
      </c>
      <c r="P11" s="25">
        <f>ROUNDUP('Census Waterfall'!P11/'Control Tower'!$B$63*2,0)/2</f>
        <v/>
      </c>
      <c r="Q11" s="25">
        <f>ROUNDUP('Census Waterfall'!Q11/'Control Tower'!$B$63*2,0)/2</f>
        <v/>
      </c>
      <c r="R11" s="25">
        <f>ROUNDUP('Census Waterfall'!R11/'Control Tower'!$B$63*2,0)/2</f>
        <v/>
      </c>
      <c r="S11" s="25">
        <f>ROUNDUP('Census Waterfall'!S11/'Control Tower'!$B$63*2,0)/2</f>
        <v/>
      </c>
      <c r="T11" s="25">
        <f>ROUNDUP('Census Waterfall'!T11/'Control Tower'!$B$63*2,0)/2</f>
        <v/>
      </c>
      <c r="U11" s="25">
        <f>ROUNDUP('Census Waterfall'!U11/'Control Tower'!$B$63*2,0)/2</f>
        <v/>
      </c>
      <c r="V11" s="25">
        <f>ROUNDUP('Census Waterfall'!V11/'Control Tower'!$B$63*2,0)/2</f>
        <v/>
      </c>
      <c r="W11" s="25">
        <f>ROUNDUP('Census Waterfall'!W11/'Control Tower'!$B$63*2,0)/2</f>
        <v/>
      </c>
      <c r="X11" s="25">
        <f>ROUNDUP('Census Waterfall'!X11/'Control Tower'!$B$63*2,0)/2</f>
        <v/>
      </c>
      <c r="Y11" s="25">
        <f>ROUNDUP('Census Waterfall'!Y11/'Control Tower'!$B$63*2,0)/2</f>
        <v/>
      </c>
      <c r="Z11" s="25">
        <f>ROUNDUP('Census Waterfall'!Z11/'Control Tower'!$B$63*2,0)/2</f>
        <v/>
      </c>
      <c r="AA11" s="25">
        <f>ROUNDUP('Census Waterfall'!AA11/'Control Tower'!$B$63*2,0)/2</f>
        <v/>
      </c>
      <c r="AB11" s="25">
        <f>ROUNDUP('Census Waterfall'!AB11/'Control Tower'!$B$63*2,0)/2</f>
        <v/>
      </c>
      <c r="AC11" s="25">
        <f>ROUNDUP('Census Waterfall'!AC11/'Control Tower'!$B$63*2,0)/2</f>
        <v/>
      </c>
      <c r="AD11" s="25">
        <f>ROUNDUP('Census Waterfall'!AD11/'Control Tower'!$B$63*2,0)/2</f>
        <v/>
      </c>
      <c r="AE11" s="25">
        <f>ROUNDUP('Census Waterfall'!AE11/'Control Tower'!$B$63*2,0)/2</f>
        <v/>
      </c>
      <c r="AF11" s="25">
        <f>ROUNDUP('Census Waterfall'!AF11/'Control Tower'!$B$63*2,0)/2</f>
        <v/>
      </c>
      <c r="AG11" s="25">
        <f>ROUNDUP('Census Waterfall'!AG11/'Control Tower'!$B$63*2,0)/2</f>
        <v/>
      </c>
      <c r="AH11" s="25">
        <f>ROUNDUP('Census Waterfall'!AH11/'Control Tower'!$B$63*2,0)/2</f>
        <v/>
      </c>
      <c r="AI11" s="25">
        <f>ROUNDUP('Census Waterfall'!AI11/'Control Tower'!$B$63*2,0)/2</f>
        <v/>
      </c>
      <c r="AJ11" s="25">
        <f>ROUNDUP('Census Waterfall'!AJ11/'Control Tower'!$B$63*2,0)/2</f>
        <v/>
      </c>
      <c r="AK11" s="25">
        <f>ROUNDUP('Census Waterfall'!AK11/'Control Tower'!$B$63*2,0)/2</f>
        <v/>
      </c>
      <c r="AL11" s="25">
        <f>ROUNDUP('Census Waterfall'!AL11/'Control Tower'!$B$63*2,0)/2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ROUNDUP('Census Waterfall'!C11/'Control Tower'!$B$65*2,0)/2</f>
        <v/>
      </c>
      <c r="D13" s="25">
        <f>ROUNDUP('Census Waterfall'!D11/'Control Tower'!$B$65*2,0)/2</f>
        <v/>
      </c>
      <c r="E13" s="25">
        <f>ROUNDUP('Census Waterfall'!E11/'Control Tower'!$B$65*2,0)/2</f>
        <v/>
      </c>
      <c r="F13" s="25">
        <f>ROUNDUP('Census Waterfall'!F11/'Control Tower'!$B$65*2,0)/2</f>
        <v/>
      </c>
      <c r="G13" s="25">
        <f>ROUNDUP('Census Waterfall'!G11/'Control Tower'!$B$65*2,0)/2</f>
        <v/>
      </c>
      <c r="H13" s="25">
        <f>ROUNDUP('Census Waterfall'!H11/'Control Tower'!$B$65*2,0)/2</f>
        <v/>
      </c>
      <c r="I13" s="25">
        <f>ROUNDUP('Census Waterfall'!I11/'Control Tower'!$B$65*2,0)/2</f>
        <v/>
      </c>
      <c r="J13" s="25">
        <f>ROUNDUP('Census Waterfall'!J11/'Control Tower'!$B$65*2,0)/2</f>
        <v/>
      </c>
      <c r="K13" s="25">
        <f>ROUNDUP('Census Waterfall'!K11/'Control Tower'!$B$65*2,0)/2</f>
        <v/>
      </c>
      <c r="L13" s="25">
        <f>ROUNDUP('Census Waterfall'!L11/'Control Tower'!$B$65*2,0)/2</f>
        <v/>
      </c>
      <c r="M13" s="25">
        <f>ROUNDUP('Census Waterfall'!M11/'Control Tower'!$B$65*2,0)/2</f>
        <v/>
      </c>
      <c r="N13" s="25">
        <f>ROUNDUP('Census Waterfall'!N11/'Control Tower'!$B$65*2,0)/2</f>
        <v/>
      </c>
      <c r="O13" s="25">
        <f>ROUNDUP('Census Waterfall'!O11/'Control Tower'!$B$65*2,0)/2</f>
        <v/>
      </c>
      <c r="P13" s="25">
        <f>ROUNDUP('Census Waterfall'!P11/'Control Tower'!$B$65*2,0)/2</f>
        <v/>
      </c>
      <c r="Q13" s="25">
        <f>ROUNDUP('Census Waterfall'!Q11/'Control Tower'!$B$65*2,0)/2</f>
        <v/>
      </c>
      <c r="R13" s="25">
        <f>ROUNDUP('Census Waterfall'!R11/'Control Tower'!$B$65*2,0)/2</f>
        <v/>
      </c>
      <c r="S13" s="25">
        <f>ROUNDUP('Census Waterfall'!S11/'Control Tower'!$B$65*2,0)/2</f>
        <v/>
      </c>
      <c r="T13" s="25">
        <f>ROUNDUP('Census Waterfall'!T11/'Control Tower'!$B$65*2,0)/2</f>
        <v/>
      </c>
      <c r="U13" s="25">
        <f>ROUNDUP('Census Waterfall'!U11/'Control Tower'!$B$65*2,0)/2</f>
        <v/>
      </c>
      <c r="V13" s="25">
        <f>ROUNDUP('Census Waterfall'!V11/'Control Tower'!$B$65*2,0)/2</f>
        <v/>
      </c>
      <c r="W13" s="25">
        <f>ROUNDUP('Census Waterfall'!W11/'Control Tower'!$B$65*2,0)/2</f>
        <v/>
      </c>
      <c r="X13" s="25">
        <f>ROUNDUP('Census Waterfall'!X11/'Control Tower'!$B$65*2,0)/2</f>
        <v/>
      </c>
      <c r="Y13" s="25">
        <f>ROUNDUP('Census Waterfall'!Y11/'Control Tower'!$B$65*2,0)/2</f>
        <v/>
      </c>
      <c r="Z13" s="25">
        <f>ROUNDUP('Census Waterfall'!Z11/'Control Tower'!$B$65*2,0)/2</f>
        <v/>
      </c>
      <c r="AA13" s="25">
        <f>ROUNDUP('Census Waterfall'!AA11/'Control Tower'!$B$65*2,0)/2</f>
        <v/>
      </c>
      <c r="AB13" s="25">
        <f>ROUNDUP('Census Waterfall'!AB11/'Control Tower'!$B$65*2,0)/2</f>
        <v/>
      </c>
      <c r="AC13" s="25">
        <f>ROUNDUP('Census Waterfall'!AC11/'Control Tower'!$B$65*2,0)/2</f>
        <v/>
      </c>
      <c r="AD13" s="25">
        <f>ROUNDUP('Census Waterfall'!AD11/'Control Tower'!$B$65*2,0)/2</f>
        <v/>
      </c>
      <c r="AE13" s="25">
        <f>ROUNDUP('Census Waterfall'!AE11/'Control Tower'!$B$65*2,0)/2</f>
        <v/>
      </c>
      <c r="AF13" s="25">
        <f>ROUNDUP('Census Waterfall'!AF11/'Control Tower'!$B$65*2,0)/2</f>
        <v/>
      </c>
      <c r="AG13" s="25">
        <f>ROUNDUP('Census Waterfall'!AG11/'Control Tower'!$B$65*2,0)/2</f>
        <v/>
      </c>
      <c r="AH13" s="25">
        <f>ROUNDUP('Census Waterfall'!AH11/'Control Tower'!$B$65*2,0)/2</f>
        <v/>
      </c>
      <c r="AI13" s="25">
        <f>ROUNDUP('Census Waterfall'!AI11/'Control Tower'!$B$65*2,0)/2</f>
        <v/>
      </c>
      <c r="AJ13" s="25">
        <f>ROUNDUP('Census Waterfall'!AJ11/'Control Tower'!$B$65*2,0)/2</f>
        <v/>
      </c>
      <c r="AK13" s="25">
        <f>ROUNDUP('Census Waterfall'!AK11/'Control Tower'!$B$65*2,0)/2</f>
        <v/>
      </c>
      <c r="AL13" s="25">
        <f>ROUNDUP('Census Waterfall'!AL11/'Control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(fires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</sheetData>
  <mergeCells count="6"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AL3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PD; facility (stepped rent); G&amp;A = MAX(fixed, % of NPR) per audit pattern.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AL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AL4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+ CHOW hold; payroll in month; DPC net-30; full debt schedules with toggles.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Tower'!$B$9,IF(1='Control Tower'!$B$13,C12,0))))</f>
        <v/>
      </c>
      <c r="D14" s="22">
        <f>IF(D12&lt;=0,0,IF(AND('Control Tower'!$B$16=1,2='Control Tower'!$B$17),D12,IF(AND(2&gt;='Control Tower'!$B$10,2&lt;='Control Tower'!$B$11),'Control Tower'!$B$9,IF(2='Control Tower'!$B$13,D12,0))))</f>
        <v/>
      </c>
      <c r="E14" s="22">
        <f>IF(E12&lt;=0,0,IF(AND('Control Tower'!$B$16=1,3='Control Tower'!$B$17),E12,IF(AND(3&gt;='Control Tower'!$B$10,3&lt;='Control Tower'!$B$11),'Control Tower'!$B$9,IF(3='Control Tower'!$B$13,E12,0))))</f>
        <v/>
      </c>
      <c r="F14" s="22">
        <f>IF(F12&lt;=0,0,IF(AND('Control Tower'!$B$16=1,4='Control Tower'!$B$17),F12,IF(AND(4&gt;='Control Tower'!$B$10,4&lt;='Control Tower'!$B$11),'Control Tower'!$B$9,IF(4='Control Tower'!$B$13,F12,0))))</f>
        <v/>
      </c>
      <c r="G14" s="22">
        <f>IF(G12&lt;=0,0,IF(AND('Control Tower'!$B$16=1,5='Control Tower'!$B$17),G12,IF(AND(5&gt;='Control Tower'!$B$10,5&lt;='Control Tower'!$B$11),'Control Tower'!$B$9,IF(5='Control Tower'!$B$13,G12,0))))</f>
        <v/>
      </c>
      <c r="H14" s="22">
        <f>IF(H12&lt;=0,0,IF(AND('Control Tower'!$B$16=1,6='Control Tower'!$B$17),H12,IF(AND(6&gt;='Control Tower'!$B$10,6&lt;='Control Tower'!$B$11),'Control Tower'!$B$9,IF(6='Control Tower'!$B$13,H12,0))))</f>
        <v/>
      </c>
      <c r="I14" s="22">
        <f>IF(I12&lt;=0,0,IF(AND('Control Tower'!$B$16=1,7='Control Tower'!$B$17),I12,IF(AND(7&gt;='Control Tower'!$B$10,7&lt;='Control Tower'!$B$11),'Control Tower'!$B$9,IF(7='Control Tower'!$B$13,I12,0))))</f>
        <v/>
      </c>
      <c r="J14" s="22">
        <f>IF(J12&lt;=0,0,IF(AND('Control Tower'!$B$16=1,8='Control Tower'!$B$17),J12,IF(AND(8&gt;='Control Tower'!$B$10,8&lt;='Control Tower'!$B$11),'Control Tower'!$B$9,IF(8='Control Tower'!$B$13,J12,0))))</f>
        <v/>
      </c>
      <c r="K14" s="22">
        <f>IF(K12&lt;=0,0,IF(AND('Control Tower'!$B$16=1,9='Control Tower'!$B$17),K12,IF(AND(9&gt;='Control Tower'!$B$10,9&lt;='Control Tower'!$B$11),'Control Tower'!$B$9,IF(9='Control Tower'!$B$13,K12,0))))</f>
        <v/>
      </c>
      <c r="L14" s="22">
        <f>IF(L12&lt;=0,0,IF(AND('Control Tower'!$B$16=1,10='Control Tower'!$B$17),L12,IF(AND(10&gt;='Control Tower'!$B$10,10&lt;='Control Tower'!$B$11),'Control Tower'!$B$9,IF(10='Control Tower'!$B$13,L12,0))))</f>
        <v/>
      </c>
      <c r="M14" s="22">
        <f>IF(M12&lt;=0,0,IF(AND('Control Tower'!$B$16=1,11='Control Tower'!$B$17),M12,IF(AND(11&gt;='Control Tower'!$B$10,11&lt;='Control Tower'!$B$11),'Control Tower'!$B$9,IF(11='Control Tower'!$B$13,M12,0))))</f>
        <v/>
      </c>
      <c r="N14" s="22">
        <f>IF(N12&lt;=0,0,IF(AND('Control Tower'!$B$16=1,12='Control Tower'!$B$17),N12,IF(AND(12&gt;='Control Tower'!$B$10,12&lt;='Control Tower'!$B$11),'Control Tower'!$B$9,IF(12='Control Tower'!$B$13,N12,0))))</f>
        <v/>
      </c>
      <c r="O14" s="22">
        <f>IF(O12&lt;=0,0,IF(AND('Control Tower'!$B$16=1,13='Control Tower'!$B$17),O12,IF(AND(13&gt;='Control Tower'!$B$10,13&lt;='Control Tower'!$B$11),'Control Tower'!$B$9,IF(13='Control Tower'!$B$13,O12,0))))</f>
        <v/>
      </c>
      <c r="P14" s="22">
        <f>IF(P12&lt;=0,0,IF(AND('Control Tower'!$B$16=1,14='Control Tower'!$B$17),P12,IF(AND(14&gt;='Control Tower'!$B$10,14&lt;='Control Tower'!$B$11),'Control Tower'!$B$9,IF(14='Control Tower'!$B$13,P12,0))))</f>
        <v/>
      </c>
      <c r="Q14" s="22">
        <f>IF(Q12&lt;=0,0,IF(AND('Control Tower'!$B$16=1,15='Control Tower'!$B$17),Q12,IF(AND(15&gt;='Control Tower'!$B$10,15&lt;='Control Tower'!$B$11),'Control Tower'!$B$9,IF(15='Control Tower'!$B$13,Q12,0))))</f>
        <v/>
      </c>
      <c r="R14" s="22">
        <f>IF(R12&lt;=0,0,IF(AND('Control Tower'!$B$16=1,16='Control Tower'!$B$17),R12,IF(AND(16&gt;='Control Tower'!$B$10,16&lt;='Control Tower'!$B$11),'Control Tower'!$B$9,IF(16='Control Tower'!$B$13,R12,0))))</f>
        <v/>
      </c>
      <c r="S14" s="22">
        <f>IF(S12&lt;=0,0,IF(AND('Control Tower'!$B$16=1,17='Control Tower'!$B$17),S12,IF(AND(17&gt;='Control Tower'!$B$10,17&lt;='Control Tower'!$B$11),'Control Tower'!$B$9,IF(17='Control Tower'!$B$13,S12,0))))</f>
        <v/>
      </c>
      <c r="T14" s="22">
        <f>IF(T12&lt;=0,0,IF(AND('Control Tower'!$B$16=1,18='Control Tower'!$B$17),T12,IF(AND(18&gt;='Control Tower'!$B$10,18&lt;='Control Tower'!$B$11),'Control Tower'!$B$9,IF(18='Control Tower'!$B$13,T12,0))))</f>
        <v/>
      </c>
      <c r="U14" s="22">
        <f>IF(U12&lt;=0,0,IF(AND('Control Tower'!$B$16=1,19='Control Tower'!$B$17),U12,IF(AND(19&gt;='Control Tower'!$B$10,19&lt;='Control Tower'!$B$11),'Control Tower'!$B$9,IF(19='Control Tower'!$B$13,U12,0))))</f>
        <v/>
      </c>
      <c r="V14" s="22">
        <f>IF(V12&lt;=0,0,IF(AND('Control Tower'!$B$16=1,20='Control Tower'!$B$17),V12,IF(AND(20&gt;='Control Tower'!$B$10,20&lt;='Control Tower'!$B$11),'Control Tower'!$B$9,IF(20='Control Tower'!$B$13,V12,0))))</f>
        <v/>
      </c>
      <c r="W14" s="22">
        <f>IF(W12&lt;=0,0,IF(AND('Control Tower'!$B$16=1,21='Control Tower'!$B$17),W12,IF(AND(21&gt;='Control Tower'!$B$10,21&lt;='Control Tower'!$B$11),'Control Tower'!$B$9,IF(21='Control Tower'!$B$13,W12,0))))</f>
        <v/>
      </c>
      <c r="X14" s="22">
        <f>IF(X12&lt;=0,0,IF(AND('Control Tower'!$B$16=1,22='Control Tower'!$B$17),X12,IF(AND(22&gt;='Control Tower'!$B$10,22&lt;='Control Tower'!$B$11),'Control Tower'!$B$9,IF(22='Control Tower'!$B$13,X12,0))))</f>
        <v/>
      </c>
      <c r="Y14" s="22">
        <f>IF(Y12&lt;=0,0,IF(AND('Control Tower'!$B$16=1,23='Control Tower'!$B$17),Y12,IF(AND(23&gt;='Control Tower'!$B$10,23&lt;='Control Tower'!$B$11),'Control Tower'!$B$9,IF(23='Control Tower'!$B$13,Y12,0))))</f>
        <v/>
      </c>
      <c r="Z14" s="22">
        <f>IF(Z12&lt;=0,0,IF(AND('Control Tower'!$B$16=1,24='Control Tower'!$B$17),Z12,IF(AND(24&gt;='Control Tower'!$B$10,24&lt;='Control Tower'!$B$11),'Control Tower'!$B$9,IF(24='Control Tower'!$B$13,Z12,0))))</f>
        <v/>
      </c>
      <c r="AA14" s="22">
        <f>IF(AA12&lt;=0,0,IF(AND('Control Tower'!$B$16=1,25='Control Tower'!$B$17),AA12,IF(AND(25&gt;='Control Tower'!$B$10,25&lt;='Control Tower'!$B$11),'Control Tower'!$B$9,IF(25='Control Tower'!$B$13,AA12,0))))</f>
        <v/>
      </c>
      <c r="AB14" s="22">
        <f>IF(AB12&lt;=0,0,IF(AND('Control Tower'!$B$16=1,26='Control Tower'!$B$17),AB12,IF(AND(26&gt;='Control Tower'!$B$10,26&lt;='Control Tower'!$B$11),'Control Tower'!$B$9,IF(26='Control Tower'!$B$13,AB12,0))))</f>
        <v/>
      </c>
      <c r="AC14" s="22">
        <f>IF(AC12&lt;=0,0,IF(AND('Control Tower'!$B$16=1,27='Control Tower'!$B$17),AC12,IF(AND(27&gt;='Control Tower'!$B$10,27&lt;='Control Tower'!$B$11),'Control Tower'!$B$9,IF(27='Control Tower'!$B$13,AC12,0))))</f>
        <v/>
      </c>
      <c r="AD14" s="22">
        <f>IF(AD12&lt;=0,0,IF(AND('Control Tower'!$B$16=1,28='Control Tower'!$B$17),AD12,IF(AND(28&gt;='Control Tower'!$B$10,28&lt;='Control Tower'!$B$11),'Control Tower'!$B$9,IF(28='Control Tower'!$B$13,AD12,0))))</f>
        <v/>
      </c>
      <c r="AE14" s="22">
        <f>IF(AE12&lt;=0,0,IF(AND('Control Tower'!$B$16=1,29='Control Tower'!$B$17),AE12,IF(AND(29&gt;='Control Tower'!$B$10,29&lt;='Control Tower'!$B$11),'Control Tower'!$B$9,IF(29='Control Tower'!$B$13,AE12,0))))</f>
        <v/>
      </c>
      <c r="AF14" s="22">
        <f>IF(AF12&lt;=0,0,IF(AND('Control Tower'!$B$16=1,30='Control Tower'!$B$17),AF12,IF(AND(30&gt;='Control Tower'!$B$10,30&lt;='Control Tower'!$B$11),'Control Tower'!$B$9,IF(30='Control Tower'!$B$13,AF12,0))))</f>
        <v/>
      </c>
      <c r="AG14" s="22">
        <f>IF(AG12&lt;=0,0,IF(AND('Control Tower'!$B$16=1,31='Control Tower'!$B$17),AG12,IF(AND(31&gt;='Control Tower'!$B$10,31&lt;='Control Tower'!$B$11),'Control Tower'!$B$9,IF(31='Control Tower'!$B$13,AG12,0))))</f>
        <v/>
      </c>
      <c r="AH14" s="22">
        <f>IF(AH12&lt;=0,0,IF(AND('Control Tower'!$B$16=1,32='Control Tower'!$B$17),AH12,IF(AND(32&gt;='Control Tower'!$B$10,32&lt;='Control Tower'!$B$11),'Control Tower'!$B$9,IF(32='Control Tower'!$B$13,AH12,0))))</f>
        <v/>
      </c>
      <c r="AI14" s="22">
        <f>IF(AI12&lt;=0,0,IF(AND('Control Tower'!$B$16=1,33='Control Tower'!$B$17),AI12,IF(AND(33&gt;='Control Tower'!$B$10,33&lt;='Control Tower'!$B$11),'Control Tower'!$B$9,IF(33='Control Tower'!$B$13,AI12,0))))</f>
        <v/>
      </c>
      <c r="AJ14" s="22">
        <f>IF(AJ12&lt;=0,0,IF(AND('Control Tower'!$B$16=1,34='Control Tower'!$B$17),AJ12,IF(AND(34&gt;='Control Tower'!$B$10,34&lt;='Control Tower'!$B$11),'Control Tower'!$B$9,IF(34='Control Tower'!$B$13,AJ12,0))))</f>
        <v/>
      </c>
      <c r="AK14" s="22">
        <f>IF(AK12&lt;=0,0,IF(AND('Control Tower'!$B$16=1,35='Control Tower'!$B$17),AK12,IF(AND(35&gt;='Control Tower'!$B$10,35&lt;='Control Tower'!$B$11),'Control Tower'!$B$9,IF(35='Control Tower'!$B$13,AK12,0))))</f>
        <v/>
      </c>
      <c r="AL14" s="22">
        <f>IF(AL12&lt;=0,0,IF(AND('Control Tower'!$B$16=1,36='Control Tower'!$B$17),AL12,IF(AND(36&gt;='Control Tower'!$B$10,36&lt;='Control Tower'!$B$11),'Control Tower'!$B$9,IF(36='Control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 (auto when full-refi OFF) / FULL REFI / SBA (toggles)</t>
        </is>
      </c>
    </row>
    <row r="18">
      <c r="A18" s="4" t="inlineStr">
        <is>
          <t>Balloon refi amount</t>
        </is>
      </c>
      <c r="B18" s="22">
        <f>IF('Control Tower'!$B$16=1,0,SUMPRODUCT(($C$4:$AL$4='Control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IF(AND('Control Tower'!$B$16=0,1&gt;'Control Tower'!$B$13,1&lt;='Control Tower'!$B$13+'Control Tower'!$B$15),-PMT('Control Tower'!$B$14/12,'Control Tower'!$B$15,$B$18),0)</f>
        <v/>
      </c>
      <c r="D19" s="22">
        <f>IF(AND('Control Tower'!$B$16=0,2&gt;'Control Tower'!$B$13,2&lt;='Control Tower'!$B$13+'Control Tower'!$B$15),-PMT('Control Tower'!$B$14/12,'Control Tower'!$B$15,$B$18),0)</f>
        <v/>
      </c>
      <c r="E19" s="22">
        <f>IF(AND('Control Tower'!$B$16=0,3&gt;'Control Tower'!$B$13,3&lt;='Control Tower'!$B$13+'Control Tower'!$B$15),-PMT('Control Tower'!$B$14/12,'Control Tower'!$B$15,$B$18),0)</f>
        <v/>
      </c>
      <c r="F19" s="22">
        <f>IF(AND('Control Tower'!$B$16=0,4&gt;'Control Tower'!$B$13,4&lt;='Control Tower'!$B$13+'Control Tower'!$B$15),-PMT('Control Tower'!$B$14/12,'Control Tower'!$B$15,$B$18),0)</f>
        <v/>
      </c>
      <c r="G19" s="22">
        <f>IF(AND('Control Tower'!$B$16=0,5&gt;'Control Tower'!$B$13,5&lt;='Control Tower'!$B$13+'Control Tower'!$B$15),-PMT('Control Tower'!$B$14/12,'Control Tower'!$B$15,$B$18),0)</f>
        <v/>
      </c>
      <c r="H19" s="22">
        <f>IF(AND('Control Tower'!$B$16=0,6&gt;'Control Tower'!$B$13,6&lt;='Control Tower'!$B$13+'Control Tower'!$B$15),-PMT('Control Tower'!$B$14/12,'Control Tower'!$B$15,$B$18),0)</f>
        <v/>
      </c>
      <c r="I19" s="22">
        <f>IF(AND('Control Tower'!$B$16=0,7&gt;'Control Tower'!$B$13,7&lt;='Control Tower'!$B$13+'Control Tower'!$B$15),-PMT('Control Tower'!$B$14/12,'Control Tower'!$B$15,$B$18),0)</f>
        <v/>
      </c>
      <c r="J19" s="22">
        <f>IF(AND('Control Tower'!$B$16=0,8&gt;'Control Tower'!$B$13,8&lt;='Control Tower'!$B$13+'Control Tower'!$B$15),-PMT('Control Tower'!$B$14/12,'Control Tower'!$B$15,$B$18),0)</f>
        <v/>
      </c>
      <c r="K19" s="22">
        <f>IF(AND('Control Tower'!$B$16=0,9&gt;'Control Tower'!$B$13,9&lt;='Control Tower'!$B$13+'Control Tower'!$B$15),-PMT('Control Tower'!$B$14/12,'Control Tower'!$B$15,$B$18),0)</f>
        <v/>
      </c>
      <c r="L19" s="22">
        <f>IF(AND('Control Tower'!$B$16=0,10&gt;'Control Tower'!$B$13,10&lt;='Control Tower'!$B$13+'Control Tower'!$B$15),-PMT('Control Tower'!$B$14/12,'Control Tower'!$B$15,$B$18),0)</f>
        <v/>
      </c>
      <c r="M19" s="22">
        <f>IF(AND('Control Tower'!$B$16=0,11&gt;'Control Tower'!$B$13,11&lt;='Control Tower'!$B$13+'Control Tower'!$B$15),-PMT('Control Tower'!$B$14/12,'Control Tower'!$B$15,$B$18),0)</f>
        <v/>
      </c>
      <c r="N19" s="22">
        <f>IF(AND('Control Tower'!$B$16=0,12&gt;'Control Tower'!$B$13,12&lt;='Control Tower'!$B$13+'Control Tower'!$B$15),-PMT('Control Tower'!$B$14/12,'Control Tower'!$B$15,$B$18),0)</f>
        <v/>
      </c>
      <c r="O19" s="22">
        <f>IF(AND('Control Tower'!$B$16=0,13&gt;'Control Tower'!$B$13,13&lt;='Control Tower'!$B$13+'Control Tower'!$B$15),-PMT('Control Tower'!$B$14/12,'Control Tower'!$B$15,$B$18),0)</f>
        <v/>
      </c>
      <c r="P19" s="22">
        <f>IF(AND('Control Tower'!$B$16=0,14&gt;'Control Tower'!$B$13,14&lt;='Control Tower'!$B$13+'Control Tower'!$B$15),-PMT('Control Tower'!$B$14/12,'Control Tower'!$B$15,$B$18),0)</f>
        <v/>
      </c>
      <c r="Q19" s="22">
        <f>IF(AND('Control Tower'!$B$16=0,15&gt;'Control Tower'!$B$13,15&lt;='Control Tower'!$B$13+'Control Tower'!$B$15),-PMT('Control Tower'!$B$14/12,'Control Tower'!$B$15,$B$18),0)</f>
        <v/>
      </c>
      <c r="R19" s="22">
        <f>IF(AND('Control Tower'!$B$16=0,16&gt;'Control Tower'!$B$13,16&lt;='Control Tower'!$B$13+'Control Tower'!$B$15),-PMT('Control Tower'!$B$14/12,'Control Tower'!$B$15,$B$18),0)</f>
        <v/>
      </c>
      <c r="S19" s="22">
        <f>IF(AND('Control Tower'!$B$16=0,17&gt;'Control Tower'!$B$13,17&lt;='Control Tower'!$B$13+'Control Tower'!$B$15),-PMT('Control Tower'!$B$14/12,'Control Tower'!$B$15,$B$18),0)</f>
        <v/>
      </c>
      <c r="T19" s="22">
        <f>IF(AND('Control Tower'!$B$16=0,18&gt;'Control Tower'!$B$13,18&lt;='Control Tower'!$B$13+'Control Tower'!$B$15),-PMT('Control Tower'!$B$14/12,'Control Tower'!$B$15,$B$18),0)</f>
        <v/>
      </c>
      <c r="U19" s="22">
        <f>IF(AND('Control Tower'!$B$16=0,19&gt;'Control Tower'!$B$13,19&lt;='Control Tower'!$B$13+'Control Tower'!$B$15),-PMT('Control Tower'!$B$14/12,'Control Tower'!$B$15,$B$18),0)</f>
        <v/>
      </c>
      <c r="V19" s="22">
        <f>IF(AND('Control Tower'!$B$16=0,20&gt;'Control Tower'!$B$13,20&lt;='Control Tower'!$B$13+'Control Tower'!$B$15),-PMT('Control Tower'!$B$14/12,'Control Tower'!$B$15,$B$18),0)</f>
        <v/>
      </c>
      <c r="W19" s="22">
        <f>IF(AND('Control Tower'!$B$16=0,21&gt;'Control Tower'!$B$13,21&lt;='Control Tower'!$B$13+'Control Tower'!$B$15),-PMT('Control Tower'!$B$14/12,'Control Tower'!$B$15,$B$18),0)</f>
        <v/>
      </c>
      <c r="X19" s="22">
        <f>IF(AND('Control Tower'!$B$16=0,22&gt;'Control Tower'!$B$13,22&lt;='Control Tower'!$B$13+'Control Tower'!$B$15),-PMT('Control Tower'!$B$14/12,'Control Tower'!$B$15,$B$18),0)</f>
        <v/>
      </c>
      <c r="Y19" s="22">
        <f>IF(AND('Control Tower'!$B$16=0,23&gt;'Control Tower'!$B$13,23&lt;='Control Tower'!$B$13+'Control Tower'!$B$15),-PMT('Control Tower'!$B$14/12,'Control Tower'!$B$15,$B$18),0)</f>
        <v/>
      </c>
      <c r="Z19" s="22">
        <f>IF(AND('Control Tower'!$B$16=0,24&gt;'Control Tower'!$B$13,24&lt;='Control Tower'!$B$13+'Control Tower'!$B$15),-PMT('Control Tower'!$B$14/12,'Control Tower'!$B$15,$B$18),0)</f>
        <v/>
      </c>
      <c r="AA19" s="22">
        <f>IF(AND('Control Tower'!$B$16=0,25&gt;'Control Tower'!$B$13,25&lt;='Control Tower'!$B$13+'Control Tower'!$B$15),-PMT('Control Tower'!$B$14/12,'Control Tower'!$B$15,$B$18),0)</f>
        <v/>
      </c>
      <c r="AB19" s="22">
        <f>IF(AND('Control Tower'!$B$16=0,26&gt;'Control Tower'!$B$13,26&lt;='Control Tower'!$B$13+'Control Tower'!$B$15),-PMT('Control Tower'!$B$14/12,'Control Tower'!$B$15,$B$18),0)</f>
        <v/>
      </c>
      <c r="AC19" s="22">
        <f>IF(AND('Control Tower'!$B$16=0,27&gt;'Control Tower'!$B$13,27&lt;='Control Tower'!$B$13+'Control Tower'!$B$15),-PMT('Control Tower'!$B$14/12,'Control Tower'!$B$15,$B$18),0)</f>
        <v/>
      </c>
      <c r="AD19" s="22">
        <f>IF(AND('Control Tower'!$B$16=0,28&gt;'Control Tower'!$B$13,28&lt;='Control Tower'!$B$13+'Control Tower'!$B$15),-PMT('Control Tower'!$B$14/12,'Control Tower'!$B$15,$B$18),0)</f>
        <v/>
      </c>
      <c r="AE19" s="22">
        <f>IF(AND('Control Tower'!$B$16=0,29&gt;'Control Tower'!$B$13,29&lt;='Control Tower'!$B$13+'Control Tower'!$B$15),-PMT('Control Tower'!$B$14/12,'Control Tower'!$B$15,$B$18),0)</f>
        <v/>
      </c>
      <c r="AF19" s="22">
        <f>IF(AND('Control Tower'!$B$16=0,30&gt;'Control Tower'!$B$13,30&lt;='Control Tower'!$B$13+'Control Tower'!$B$15),-PMT('Control Tower'!$B$14/12,'Control Tower'!$B$15,$B$18),0)</f>
        <v/>
      </c>
      <c r="AG19" s="22">
        <f>IF(AND('Control Tower'!$B$16=0,31&gt;'Control Tower'!$B$13,31&lt;='Control Tower'!$B$13+'Control Tower'!$B$15),-PMT('Control Tower'!$B$14/12,'Control Tower'!$B$15,$B$18),0)</f>
        <v/>
      </c>
      <c r="AH19" s="22">
        <f>IF(AND('Control Tower'!$B$16=0,32&gt;'Control Tower'!$B$13,32&lt;='Control Tower'!$B$13+'Control Tower'!$B$15),-PMT('Control Tower'!$B$14/12,'Control Tower'!$B$15,$B$18),0)</f>
        <v/>
      </c>
      <c r="AI19" s="22">
        <f>IF(AND('Control Tower'!$B$16=0,33&gt;'Control Tower'!$B$13,33&lt;='Control Tower'!$B$13+'Control Tower'!$B$15),-PMT('Control Tower'!$B$14/12,'Control Tower'!$B$15,$B$18),0)</f>
        <v/>
      </c>
      <c r="AJ19" s="22">
        <f>IF(AND('Control Tower'!$B$16=0,34&gt;'Control Tower'!$B$13,34&lt;='Control Tower'!$B$13+'Control Tower'!$B$15),-PMT('Control Tower'!$B$14/12,'Control Tower'!$B$15,$B$18),0)</f>
        <v/>
      </c>
      <c r="AK19" s="22">
        <f>IF(AND('Control Tower'!$B$16=0,35&gt;'Control Tower'!$B$13,35&lt;='Control Tower'!$B$13+'Control Tower'!$B$15),-PMT('Control Tower'!$B$14/12,'Control Tower'!$B$15,$B$18),0)</f>
        <v/>
      </c>
      <c r="AL19" s="22">
        <f>IF(AND('Control Tower'!$B$16=0,36&gt;'Control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IF(NOT('Control Tower'!$B$16=0),0,IF(1&lt;'Control Tower'!$B$13,0,IF(1='Control Tower'!$B$13,$B$18,MAX(0,0*(1+'Control Tower'!$B$14/12)-C19))))</f>
        <v/>
      </c>
      <c r="D20" s="22">
        <f>IF(NOT('Control Tower'!$B$16=0),0,IF(2&lt;'Control Tower'!$B$13,0,IF(2='Control Tower'!$B$13,$B$18,MAX(0,C20*(1+'Control Tower'!$B$14/12)-D19))))</f>
        <v/>
      </c>
      <c r="E20" s="22">
        <f>IF(NOT('Control Tower'!$B$16=0),0,IF(3&lt;'Control Tower'!$B$13,0,IF(3='Control Tower'!$B$13,$B$18,MAX(0,D20*(1+'Control Tower'!$B$14/12)-E19))))</f>
        <v/>
      </c>
      <c r="F20" s="22">
        <f>IF(NOT('Control Tower'!$B$16=0),0,IF(4&lt;'Control Tower'!$B$13,0,IF(4='Control Tower'!$B$13,$B$18,MAX(0,E20*(1+'Control Tower'!$B$14/12)-F19))))</f>
        <v/>
      </c>
      <c r="G20" s="22">
        <f>IF(NOT('Control Tower'!$B$16=0),0,IF(5&lt;'Control Tower'!$B$13,0,IF(5='Control Tower'!$B$13,$B$18,MAX(0,F20*(1+'Control Tower'!$B$14/12)-G19))))</f>
        <v/>
      </c>
      <c r="H20" s="22">
        <f>IF(NOT('Control Tower'!$B$16=0),0,IF(6&lt;'Control Tower'!$B$13,0,IF(6='Control Tower'!$B$13,$B$18,MAX(0,G20*(1+'Control Tower'!$B$14/12)-H19))))</f>
        <v/>
      </c>
      <c r="I20" s="22">
        <f>IF(NOT('Control Tower'!$B$16=0),0,IF(7&lt;'Control Tower'!$B$13,0,IF(7='Control Tower'!$B$13,$B$18,MAX(0,H20*(1+'Control Tower'!$B$14/12)-I19))))</f>
        <v/>
      </c>
      <c r="J20" s="22">
        <f>IF(NOT('Control Tower'!$B$16=0),0,IF(8&lt;'Control Tower'!$B$13,0,IF(8='Control Tower'!$B$13,$B$18,MAX(0,I20*(1+'Control Tower'!$B$14/12)-J19))))</f>
        <v/>
      </c>
      <c r="K20" s="22">
        <f>IF(NOT('Control Tower'!$B$16=0),0,IF(9&lt;'Control Tower'!$B$13,0,IF(9='Control Tower'!$B$13,$B$18,MAX(0,J20*(1+'Control Tower'!$B$14/12)-K19))))</f>
        <v/>
      </c>
      <c r="L20" s="22">
        <f>IF(NOT('Control Tower'!$B$16=0),0,IF(10&lt;'Control Tower'!$B$13,0,IF(10='Control Tower'!$B$13,$B$18,MAX(0,K20*(1+'Control Tower'!$B$14/12)-L19))))</f>
        <v/>
      </c>
      <c r="M20" s="22">
        <f>IF(NOT('Control Tower'!$B$16=0),0,IF(11&lt;'Control Tower'!$B$13,0,IF(11='Control Tower'!$B$13,$B$18,MAX(0,L20*(1+'Control Tower'!$B$14/12)-M19))))</f>
        <v/>
      </c>
      <c r="N20" s="22">
        <f>IF(NOT('Control Tower'!$B$16=0),0,IF(12&lt;'Control Tower'!$B$13,0,IF(12='Control Tower'!$B$13,$B$18,MAX(0,M20*(1+'Control Tower'!$B$14/12)-N19))))</f>
        <v/>
      </c>
      <c r="O20" s="22">
        <f>IF(NOT('Control Tower'!$B$16=0),0,IF(13&lt;'Control Tower'!$B$13,0,IF(13='Control Tower'!$B$13,$B$18,MAX(0,N20*(1+'Control Tower'!$B$14/12)-O19))))</f>
        <v/>
      </c>
      <c r="P20" s="22">
        <f>IF(NOT('Control Tower'!$B$16=0),0,IF(14&lt;'Control Tower'!$B$13,0,IF(14='Control Tower'!$B$13,$B$18,MAX(0,O20*(1+'Control Tower'!$B$14/12)-P19))))</f>
        <v/>
      </c>
      <c r="Q20" s="22">
        <f>IF(NOT('Control Tower'!$B$16=0),0,IF(15&lt;'Control Tower'!$B$13,0,IF(15='Control Tower'!$B$13,$B$18,MAX(0,P20*(1+'Control Tower'!$B$14/12)-Q19))))</f>
        <v/>
      </c>
      <c r="R20" s="22">
        <f>IF(NOT('Control Tower'!$B$16=0),0,IF(16&lt;'Control Tower'!$B$13,0,IF(16='Control Tower'!$B$13,$B$18,MAX(0,Q20*(1+'Control Tower'!$B$14/12)-R19))))</f>
        <v/>
      </c>
      <c r="S20" s="22">
        <f>IF(NOT('Control Tower'!$B$16=0),0,IF(17&lt;'Control Tower'!$B$13,0,IF(17='Control Tower'!$B$13,$B$18,MAX(0,R20*(1+'Control Tower'!$B$14/12)-S19))))</f>
        <v/>
      </c>
      <c r="T20" s="22">
        <f>IF(NOT('Control Tower'!$B$16=0),0,IF(18&lt;'Control Tower'!$B$13,0,IF(18='Control Tower'!$B$13,$B$18,MAX(0,S20*(1+'Control Tower'!$B$14/12)-T19))))</f>
        <v/>
      </c>
      <c r="U20" s="22">
        <f>IF(NOT('Control Tower'!$B$16=0),0,IF(19&lt;'Control Tower'!$B$13,0,IF(19='Control Tower'!$B$13,$B$18,MAX(0,T20*(1+'Control Tower'!$B$14/12)-U19))))</f>
        <v/>
      </c>
      <c r="V20" s="22">
        <f>IF(NOT('Control Tower'!$B$16=0),0,IF(20&lt;'Control Tower'!$B$13,0,IF(20='Control Tower'!$B$13,$B$18,MAX(0,U20*(1+'Control Tower'!$B$14/12)-V19))))</f>
        <v/>
      </c>
      <c r="W20" s="22">
        <f>IF(NOT('Control Tower'!$B$16=0),0,IF(21&lt;'Control Tower'!$B$13,0,IF(21='Control Tower'!$B$13,$B$18,MAX(0,V20*(1+'Control Tower'!$B$14/12)-W19))))</f>
        <v/>
      </c>
      <c r="X20" s="22">
        <f>IF(NOT('Control Tower'!$B$16=0),0,IF(22&lt;'Control Tower'!$B$13,0,IF(22='Control Tower'!$B$13,$B$18,MAX(0,W20*(1+'Control Tower'!$B$14/12)-X19))))</f>
        <v/>
      </c>
      <c r="Y20" s="22">
        <f>IF(NOT('Control Tower'!$B$16=0),0,IF(23&lt;'Control Tower'!$B$13,0,IF(23='Control Tower'!$B$13,$B$18,MAX(0,X20*(1+'Control Tower'!$B$14/12)-Y19))))</f>
        <v/>
      </c>
      <c r="Z20" s="22">
        <f>IF(NOT('Control Tower'!$B$16=0),0,IF(24&lt;'Control Tower'!$B$13,0,IF(24='Control Tower'!$B$13,$B$18,MAX(0,Y20*(1+'Control Tower'!$B$14/12)-Z19))))</f>
        <v/>
      </c>
      <c r="AA20" s="22">
        <f>IF(NOT('Control Tower'!$B$16=0),0,IF(25&lt;'Control Tower'!$B$13,0,IF(25='Control Tower'!$B$13,$B$18,MAX(0,Z20*(1+'Control Tower'!$B$14/12)-AA19))))</f>
        <v/>
      </c>
      <c r="AB20" s="22">
        <f>IF(NOT('Control Tower'!$B$16=0),0,IF(26&lt;'Control Tower'!$B$13,0,IF(26='Control Tower'!$B$13,$B$18,MAX(0,AA20*(1+'Control Tower'!$B$14/12)-AB19))))</f>
        <v/>
      </c>
      <c r="AC20" s="22">
        <f>IF(NOT('Control Tower'!$B$16=0),0,IF(27&lt;'Control Tower'!$B$13,0,IF(27='Control Tower'!$B$13,$B$18,MAX(0,AB20*(1+'Control Tower'!$B$14/12)-AC19))))</f>
        <v/>
      </c>
      <c r="AD20" s="22">
        <f>IF(NOT('Control Tower'!$B$16=0),0,IF(28&lt;'Control Tower'!$B$13,0,IF(28='Control Tower'!$B$13,$B$18,MAX(0,AC20*(1+'Control Tower'!$B$14/12)-AD19))))</f>
        <v/>
      </c>
      <c r="AE20" s="22">
        <f>IF(NOT('Control Tower'!$B$16=0),0,IF(29&lt;'Control Tower'!$B$13,0,IF(29='Control Tower'!$B$13,$B$18,MAX(0,AD20*(1+'Control Tower'!$B$14/12)-AE19))))</f>
        <v/>
      </c>
      <c r="AF20" s="22">
        <f>IF(NOT('Control Tower'!$B$16=0),0,IF(30&lt;'Control Tower'!$B$13,0,IF(30='Control Tower'!$B$13,$B$18,MAX(0,AE20*(1+'Control Tower'!$B$14/12)-AF19))))</f>
        <v/>
      </c>
      <c r="AG20" s="22">
        <f>IF(NOT('Control Tower'!$B$16=0),0,IF(31&lt;'Control Tower'!$B$13,0,IF(31='Control Tower'!$B$13,$B$18,MAX(0,AF20*(1+'Control Tower'!$B$14/12)-AG19))))</f>
        <v/>
      </c>
      <c r="AH20" s="22">
        <f>IF(NOT('Control Tower'!$B$16=0),0,IF(32&lt;'Control Tower'!$B$13,0,IF(32='Control Tower'!$B$13,$B$18,MAX(0,AG20*(1+'Control Tower'!$B$14/12)-AH19))))</f>
        <v/>
      </c>
      <c r="AI20" s="22">
        <f>IF(NOT('Control Tower'!$B$16=0),0,IF(33&lt;'Control Tower'!$B$13,0,IF(33='Control Tower'!$B$13,$B$18,MAX(0,AH20*(1+'Control Tower'!$B$14/12)-AI19))))</f>
        <v/>
      </c>
      <c r="AJ20" s="22">
        <f>IF(NOT('Control Tower'!$B$16=0),0,IF(34&lt;'Control Tower'!$B$13,0,IF(34='Control Tower'!$B$13,$B$18,MAX(0,AI20*(1+'Control Tower'!$B$14/12)-AJ19))))</f>
        <v/>
      </c>
      <c r="AK20" s="22">
        <f>IF(NOT('Control Tower'!$B$16=0),0,IF(35&lt;'Control Tower'!$B$13,0,IF(35='Control Tower'!$B$13,$B$18,MAX(0,AJ20*(1+'Control Tower'!$B$14/12)-AK19))))</f>
        <v/>
      </c>
      <c r="AL20" s="22">
        <f>IF(NOT('Control Tower'!$B$16=0),0,IF(36&lt;'Control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Tower'!$B$20),-PMT('Control Tower'!$B$19/12,'Control Tower'!$B$20,'Control Tower'!$B$18),0)</f>
        <v/>
      </c>
      <c r="D22" s="22">
        <f>IF(AND('Control Tower'!$B$16=1,2&gt;'Control Tower'!$B$17,2&lt;='Control Tower'!$B$17+'Control Tower'!$B$20),-PMT('Control Tower'!$B$19/12,'Control Tower'!$B$20,'Control Tower'!$B$18),0)</f>
        <v/>
      </c>
      <c r="E22" s="22">
        <f>IF(AND('Control Tower'!$B$16=1,3&gt;'Control Tower'!$B$17,3&lt;='Control Tower'!$B$17+'Control Tower'!$B$20),-PMT('Control Tower'!$B$19/12,'Control Tower'!$B$20,'Control Tower'!$B$18),0)</f>
        <v/>
      </c>
      <c r="F22" s="22">
        <f>IF(AND('Control Tower'!$B$16=1,4&gt;'Control Tower'!$B$17,4&lt;='Control Tower'!$B$17+'Control Tower'!$B$20),-PMT('Control Tower'!$B$19/12,'Control Tower'!$B$20,'Control Tower'!$B$18),0)</f>
        <v/>
      </c>
      <c r="G22" s="22">
        <f>IF(AND('Control Tower'!$B$16=1,5&gt;'Control Tower'!$B$17,5&lt;='Control Tower'!$B$17+'Control Tower'!$B$20),-PMT('Control Tower'!$B$19/12,'Control Tower'!$B$20,'Control Tower'!$B$18),0)</f>
        <v/>
      </c>
      <c r="H22" s="22">
        <f>IF(AND('Control Tower'!$B$16=1,6&gt;'Control Tower'!$B$17,6&lt;='Control Tower'!$B$17+'Control Tower'!$B$20),-PMT('Control Tower'!$B$19/12,'Control Tower'!$B$20,'Control Tower'!$B$18),0)</f>
        <v/>
      </c>
      <c r="I22" s="22">
        <f>IF(AND('Control Tower'!$B$16=1,7&gt;'Control Tower'!$B$17,7&lt;='Control Tower'!$B$17+'Control Tower'!$B$20),-PMT('Control Tower'!$B$19/12,'Control Tower'!$B$20,'Control Tower'!$B$18),0)</f>
        <v/>
      </c>
      <c r="J22" s="22">
        <f>IF(AND('Control Tower'!$B$16=1,8&gt;'Control Tower'!$B$17,8&lt;='Control Tower'!$B$17+'Control Tower'!$B$20),-PMT('Control Tower'!$B$19/12,'Control Tower'!$B$20,'Control Tower'!$B$18),0)</f>
        <v/>
      </c>
      <c r="K22" s="22">
        <f>IF(AND('Control Tower'!$B$16=1,9&gt;'Control Tower'!$B$17,9&lt;='Control Tower'!$B$17+'Control Tower'!$B$20),-PMT('Control Tower'!$B$19/12,'Control Tower'!$B$20,'Control Tower'!$B$18),0)</f>
        <v/>
      </c>
      <c r="L22" s="22">
        <f>IF(AND('Control Tower'!$B$16=1,10&gt;'Control Tower'!$B$17,10&lt;='Control Tower'!$B$17+'Control Tower'!$B$20),-PMT('Control Tower'!$B$19/12,'Control Tower'!$B$20,'Control Tower'!$B$18),0)</f>
        <v/>
      </c>
      <c r="M22" s="22">
        <f>IF(AND('Control Tower'!$B$16=1,11&gt;'Control Tower'!$B$17,11&lt;='Control Tower'!$B$17+'Control Tower'!$B$20),-PMT('Control Tower'!$B$19/12,'Control Tower'!$B$20,'Control Tower'!$B$18),0)</f>
        <v/>
      </c>
      <c r="N22" s="22">
        <f>IF(AND('Control Tower'!$B$16=1,12&gt;'Control Tower'!$B$17,12&lt;='Control Tower'!$B$17+'Control Tower'!$B$20),-PMT('Control Tower'!$B$19/12,'Control Tower'!$B$20,'Control Tower'!$B$18),0)</f>
        <v/>
      </c>
      <c r="O22" s="22">
        <f>IF(AND('Control Tower'!$B$16=1,13&gt;'Control Tower'!$B$17,13&lt;='Control Tower'!$B$17+'Control Tower'!$B$20),-PMT('Control Tower'!$B$19/12,'Control Tower'!$B$20,'Control Tower'!$B$18),0)</f>
        <v/>
      </c>
      <c r="P22" s="22">
        <f>IF(AND('Control Tower'!$B$16=1,14&gt;'Control Tower'!$B$17,14&lt;='Control Tower'!$B$17+'Control Tower'!$B$20),-PMT('Control Tower'!$B$19/12,'Control Tower'!$B$20,'Control Tower'!$B$18),0)</f>
        <v/>
      </c>
      <c r="Q22" s="22">
        <f>IF(AND('Control Tower'!$B$16=1,15&gt;'Control Tower'!$B$17,15&lt;='Control Tower'!$B$17+'Control Tower'!$B$20),-PMT('Control Tower'!$B$19/12,'Control Tower'!$B$20,'Control Tower'!$B$18),0)</f>
        <v/>
      </c>
      <c r="R22" s="22">
        <f>IF(AND('Control Tower'!$B$16=1,16&gt;'Control Tower'!$B$17,16&lt;='Control Tower'!$B$17+'Control Tower'!$B$20),-PMT('Control Tower'!$B$19/12,'Control Tower'!$B$20,'Control Tower'!$B$18),0)</f>
        <v/>
      </c>
      <c r="S22" s="22">
        <f>IF(AND('Control Tower'!$B$16=1,17&gt;'Control Tower'!$B$17,17&lt;='Control Tower'!$B$17+'Control Tower'!$B$20),-PMT('Control Tower'!$B$19/12,'Control Tower'!$B$20,'Control Tower'!$B$18),0)</f>
        <v/>
      </c>
      <c r="T22" s="22">
        <f>IF(AND('Control Tower'!$B$16=1,18&gt;'Control Tower'!$B$17,18&lt;='Control Tower'!$B$17+'Control Tower'!$B$20),-PMT('Control Tower'!$B$19/12,'Control Tower'!$B$20,'Control Tower'!$B$18),0)</f>
        <v/>
      </c>
      <c r="U22" s="22">
        <f>IF(AND('Control Tower'!$B$16=1,19&gt;'Control Tower'!$B$17,19&lt;='Control Tower'!$B$17+'Control Tower'!$B$20),-PMT('Control Tower'!$B$19/12,'Control Tower'!$B$20,'Control Tower'!$B$18),0)</f>
        <v/>
      </c>
      <c r="V22" s="22">
        <f>IF(AND('Control Tower'!$B$16=1,20&gt;'Control Tower'!$B$17,20&lt;='Control Tower'!$B$17+'Control Tower'!$B$20),-PMT('Control Tower'!$B$19/12,'Control Tower'!$B$20,'Control Tower'!$B$18),0)</f>
        <v/>
      </c>
      <c r="W22" s="22">
        <f>IF(AND('Control Tower'!$B$16=1,21&gt;'Control Tower'!$B$17,21&lt;='Control Tower'!$B$17+'Control Tower'!$B$20),-PMT('Control Tower'!$B$19/12,'Control Tower'!$B$20,'Control Tower'!$B$18),0)</f>
        <v/>
      </c>
      <c r="X22" s="22">
        <f>IF(AND('Control Tower'!$B$16=1,22&gt;'Control Tower'!$B$17,22&lt;='Control Tower'!$B$17+'Control Tower'!$B$20),-PMT('Control Tower'!$B$19/12,'Control Tower'!$B$20,'Control Tower'!$B$18),0)</f>
        <v/>
      </c>
      <c r="Y22" s="22">
        <f>IF(AND('Control Tower'!$B$16=1,23&gt;'Control Tower'!$B$17,23&lt;='Control Tower'!$B$17+'Control Tower'!$B$20),-PMT('Control Tower'!$B$19/12,'Control Tower'!$B$20,'Control Tower'!$B$18),0)</f>
        <v/>
      </c>
      <c r="Z22" s="22">
        <f>IF(AND('Control Tower'!$B$16=1,24&gt;'Control Tower'!$B$17,24&lt;='Control Tower'!$B$17+'Control Tower'!$B$20),-PMT('Control Tower'!$B$19/12,'Control Tower'!$B$20,'Control Tower'!$B$18),0)</f>
        <v/>
      </c>
      <c r="AA22" s="22">
        <f>IF(AND('Control Tower'!$B$16=1,25&gt;'Control Tower'!$B$17,25&lt;='Control Tower'!$B$17+'Control Tower'!$B$20),-PMT('Control Tower'!$B$19/12,'Control Tower'!$B$20,'Control Tower'!$B$18),0)</f>
        <v/>
      </c>
      <c r="AB22" s="22">
        <f>IF(AND('Control Tower'!$B$16=1,26&gt;'Control Tower'!$B$17,26&lt;='Control Tower'!$B$17+'Control Tower'!$B$20),-PMT('Control Tower'!$B$19/12,'Control Tower'!$B$20,'Control Tower'!$B$18),0)</f>
        <v/>
      </c>
      <c r="AC22" s="22">
        <f>IF(AND('Control Tower'!$B$16=1,27&gt;'Control Tower'!$B$17,27&lt;='Control Tower'!$B$17+'Control Tower'!$B$20),-PMT('Control Tower'!$B$19/12,'Control Tower'!$B$20,'Control Tower'!$B$18),0)</f>
        <v/>
      </c>
      <c r="AD22" s="22">
        <f>IF(AND('Control Tower'!$B$16=1,28&gt;'Control Tower'!$B$17,28&lt;='Control Tower'!$B$17+'Control Tower'!$B$20),-PMT('Control Tower'!$B$19/12,'Control Tower'!$B$20,'Control Tower'!$B$18),0)</f>
        <v/>
      </c>
      <c r="AE22" s="22">
        <f>IF(AND('Control Tower'!$B$16=1,29&gt;'Control Tower'!$B$17,29&lt;='Control Tower'!$B$17+'Control Tower'!$B$20),-PMT('Control Tower'!$B$19/12,'Control Tower'!$B$20,'Control Tower'!$B$18),0)</f>
        <v/>
      </c>
      <c r="AF22" s="22">
        <f>IF(AND('Control Tower'!$B$16=1,30&gt;'Control Tower'!$B$17,30&lt;='Control Tower'!$B$17+'Control Tower'!$B$20),-PMT('Control Tower'!$B$19/12,'Control Tower'!$B$20,'Control Tower'!$B$18),0)</f>
        <v/>
      </c>
      <c r="AG22" s="22">
        <f>IF(AND('Control Tower'!$B$16=1,31&gt;'Control Tower'!$B$17,31&lt;='Control Tower'!$B$17+'Control Tower'!$B$20),-PMT('Control Tower'!$B$19/12,'Control Tower'!$B$20,'Control Tower'!$B$18),0)</f>
        <v/>
      </c>
      <c r="AH22" s="22">
        <f>IF(AND('Control Tower'!$B$16=1,32&gt;'Control Tower'!$B$17,32&lt;='Control Tower'!$B$17+'Control Tower'!$B$20),-PMT('Control Tower'!$B$19/12,'Control Tower'!$B$20,'Control Tower'!$B$18),0)</f>
        <v/>
      </c>
      <c r="AI22" s="22">
        <f>IF(AND('Control Tower'!$B$16=1,33&gt;'Control Tower'!$B$17,33&lt;='Control Tower'!$B$17+'Control Tower'!$B$20),-PMT('Control Tower'!$B$19/12,'Control Tower'!$B$20,'Control Tower'!$B$18),0)</f>
        <v/>
      </c>
      <c r="AJ22" s="22">
        <f>IF(AND('Control Tower'!$B$16=1,34&gt;'Control Tower'!$B$17,34&lt;='Control Tower'!$B$17+'Control Tower'!$B$20),-PMT('Control Tower'!$B$19/12,'Control Tower'!$B$20,'Control Tower'!$B$18),0)</f>
        <v/>
      </c>
      <c r="AK22" s="22">
        <f>IF(AND('Control Tower'!$B$16=1,35&gt;'Control Tower'!$B$17,35&lt;='Control Tower'!$B$17+'Control Tower'!$B$20),-PMT('Control Tower'!$B$19/12,'Control Tower'!$B$20,'Control Tower'!$B$18),0)</f>
        <v/>
      </c>
      <c r="AL22" s="22">
        <f>IF(AND('Control Tower'!$B$16=1,36&gt;'Control Tower'!$B$17,36&lt;='Control Tower'!$B$17+'Control Tower'!$B$20),-PMT('Control Tower'!$B$19/12,'Control Tower'!$B$20,'Control Tower'!$B$18),0)</f>
        <v/>
      </c>
    </row>
    <row r="23">
      <c r="A23" s="4" t="inlineStr">
        <is>
          <t>Full refi - balance (end)</t>
        </is>
      </c>
      <c r="C23" s="22">
        <f>IF(NOT('Control Tower'!$B$16=1),0,IF(1&lt;'Control Tower'!$B$17,0,IF(1='Control Tower'!$B$17,'Control Tower'!$B$18,MAX(0,0*(1+'Control Tower'!$B$19/12)-C22))))</f>
        <v/>
      </c>
      <c r="D23" s="22">
        <f>IF(NOT('Control Tower'!$B$16=1),0,IF(2&lt;'Control Tower'!$B$17,0,IF(2='Control Tower'!$B$17,'Control Tower'!$B$18,MAX(0,C23*(1+'Control Tower'!$B$19/12)-D22))))</f>
        <v/>
      </c>
      <c r="E23" s="22">
        <f>IF(NOT('Control Tower'!$B$16=1),0,IF(3&lt;'Control Tower'!$B$17,0,IF(3='Control Tower'!$B$17,'Control Tower'!$B$18,MAX(0,D23*(1+'Control Tower'!$B$19/12)-E22))))</f>
        <v/>
      </c>
      <c r="F23" s="22">
        <f>IF(NOT('Control Tower'!$B$16=1),0,IF(4&lt;'Control Tower'!$B$17,0,IF(4='Control Tower'!$B$17,'Control Tower'!$B$18,MAX(0,E23*(1+'Control Tower'!$B$19/12)-F22))))</f>
        <v/>
      </c>
      <c r="G23" s="22">
        <f>IF(NOT('Control Tower'!$B$16=1),0,IF(5&lt;'Control Tower'!$B$17,0,IF(5='Control Tower'!$B$17,'Control Tower'!$B$18,MAX(0,F23*(1+'Control Tower'!$B$19/12)-G22))))</f>
        <v/>
      </c>
      <c r="H23" s="22">
        <f>IF(NOT('Control Tower'!$B$16=1),0,IF(6&lt;'Control Tower'!$B$17,0,IF(6='Control Tower'!$B$17,'Control Tower'!$B$18,MAX(0,G23*(1+'Control Tower'!$B$19/12)-H22))))</f>
        <v/>
      </c>
      <c r="I23" s="22">
        <f>IF(NOT('Control Tower'!$B$16=1),0,IF(7&lt;'Control Tower'!$B$17,0,IF(7='Control Tower'!$B$17,'Control Tower'!$B$18,MAX(0,H23*(1+'Control Tower'!$B$19/12)-I22))))</f>
        <v/>
      </c>
      <c r="J23" s="22">
        <f>IF(NOT('Control Tower'!$B$16=1),0,IF(8&lt;'Control Tower'!$B$17,0,IF(8='Control Tower'!$B$17,'Control Tower'!$B$18,MAX(0,I23*(1+'Control Tower'!$B$19/12)-J22))))</f>
        <v/>
      </c>
      <c r="K23" s="22">
        <f>IF(NOT('Control Tower'!$B$16=1),0,IF(9&lt;'Control Tower'!$B$17,0,IF(9='Control Tower'!$B$17,'Control Tower'!$B$18,MAX(0,J23*(1+'Control Tower'!$B$19/12)-K22))))</f>
        <v/>
      </c>
      <c r="L23" s="22">
        <f>IF(NOT('Control Tower'!$B$16=1),0,IF(10&lt;'Control Tower'!$B$17,0,IF(10='Control Tower'!$B$17,'Control Tower'!$B$18,MAX(0,K23*(1+'Control Tower'!$B$19/12)-L22))))</f>
        <v/>
      </c>
      <c r="M23" s="22">
        <f>IF(NOT('Control Tower'!$B$16=1),0,IF(11&lt;'Control Tower'!$B$17,0,IF(11='Control Tower'!$B$17,'Control Tower'!$B$18,MAX(0,L23*(1+'Control Tower'!$B$19/12)-M22))))</f>
        <v/>
      </c>
      <c r="N23" s="22">
        <f>IF(NOT('Control Tower'!$B$16=1),0,IF(12&lt;'Control Tower'!$B$17,0,IF(12='Control Tower'!$B$17,'Control Tower'!$B$18,MAX(0,M23*(1+'Control Tower'!$B$19/12)-N22))))</f>
        <v/>
      </c>
      <c r="O23" s="22">
        <f>IF(NOT('Control Tower'!$B$16=1),0,IF(13&lt;'Control Tower'!$B$17,0,IF(13='Control Tower'!$B$17,'Control Tower'!$B$18,MAX(0,N23*(1+'Control Tower'!$B$19/12)-O22))))</f>
        <v/>
      </c>
      <c r="P23" s="22">
        <f>IF(NOT('Control Tower'!$B$16=1),0,IF(14&lt;'Control Tower'!$B$17,0,IF(14='Control Tower'!$B$17,'Control Tower'!$B$18,MAX(0,O23*(1+'Control Tower'!$B$19/12)-P22))))</f>
        <v/>
      </c>
      <c r="Q23" s="22">
        <f>IF(NOT('Control Tower'!$B$16=1),0,IF(15&lt;'Control Tower'!$B$17,0,IF(15='Control Tower'!$B$17,'Control Tower'!$B$18,MAX(0,P23*(1+'Control Tower'!$B$19/12)-Q22))))</f>
        <v/>
      </c>
      <c r="R23" s="22">
        <f>IF(NOT('Control Tower'!$B$16=1),0,IF(16&lt;'Control Tower'!$B$17,0,IF(16='Control Tower'!$B$17,'Control Tower'!$B$18,MAX(0,Q23*(1+'Control Tower'!$B$19/12)-R22))))</f>
        <v/>
      </c>
      <c r="S23" s="22">
        <f>IF(NOT('Control Tower'!$B$16=1),0,IF(17&lt;'Control Tower'!$B$17,0,IF(17='Control Tower'!$B$17,'Control Tower'!$B$18,MAX(0,R23*(1+'Control Tower'!$B$19/12)-S22))))</f>
        <v/>
      </c>
      <c r="T23" s="22">
        <f>IF(NOT('Control Tower'!$B$16=1),0,IF(18&lt;'Control Tower'!$B$17,0,IF(18='Control Tower'!$B$17,'Control Tower'!$B$18,MAX(0,S23*(1+'Control Tower'!$B$19/12)-T22))))</f>
        <v/>
      </c>
      <c r="U23" s="22">
        <f>IF(NOT('Control Tower'!$B$16=1),0,IF(19&lt;'Control Tower'!$B$17,0,IF(19='Control Tower'!$B$17,'Control Tower'!$B$18,MAX(0,T23*(1+'Control Tower'!$B$19/12)-U22))))</f>
        <v/>
      </c>
      <c r="V23" s="22">
        <f>IF(NOT('Control Tower'!$B$16=1),0,IF(20&lt;'Control Tower'!$B$17,0,IF(20='Control Tower'!$B$17,'Control Tower'!$B$18,MAX(0,U23*(1+'Control Tower'!$B$19/12)-V22))))</f>
        <v/>
      </c>
      <c r="W23" s="22">
        <f>IF(NOT('Control Tower'!$B$16=1),0,IF(21&lt;'Control Tower'!$B$17,0,IF(21='Control Tower'!$B$17,'Control Tower'!$B$18,MAX(0,V23*(1+'Control Tower'!$B$19/12)-W22))))</f>
        <v/>
      </c>
      <c r="X23" s="22">
        <f>IF(NOT('Control Tower'!$B$16=1),0,IF(22&lt;'Control Tower'!$B$17,0,IF(22='Control Tower'!$B$17,'Control Tower'!$B$18,MAX(0,W23*(1+'Control Tower'!$B$19/12)-X22))))</f>
        <v/>
      </c>
      <c r="Y23" s="22">
        <f>IF(NOT('Control Tower'!$B$16=1),0,IF(23&lt;'Control Tower'!$B$17,0,IF(23='Control Tower'!$B$17,'Control Tower'!$B$18,MAX(0,X23*(1+'Control Tower'!$B$19/12)-Y22))))</f>
        <v/>
      </c>
      <c r="Z23" s="22">
        <f>IF(NOT('Control Tower'!$B$16=1),0,IF(24&lt;'Control Tower'!$B$17,0,IF(24='Control Tower'!$B$17,'Control Tower'!$B$18,MAX(0,Y23*(1+'Control Tower'!$B$19/12)-Z22))))</f>
        <v/>
      </c>
      <c r="AA23" s="22">
        <f>IF(NOT('Control Tower'!$B$16=1),0,IF(25&lt;'Control Tower'!$B$17,0,IF(25='Control Tower'!$B$17,'Control Tower'!$B$18,MAX(0,Z23*(1+'Control Tower'!$B$19/12)-AA22))))</f>
        <v/>
      </c>
      <c r="AB23" s="22">
        <f>IF(NOT('Control Tower'!$B$16=1),0,IF(26&lt;'Control Tower'!$B$17,0,IF(26='Control Tower'!$B$17,'Control Tower'!$B$18,MAX(0,AA23*(1+'Control Tower'!$B$19/12)-AB22))))</f>
        <v/>
      </c>
      <c r="AC23" s="22">
        <f>IF(NOT('Control Tower'!$B$16=1),0,IF(27&lt;'Control Tower'!$B$17,0,IF(27='Control Tower'!$B$17,'Control Tower'!$B$18,MAX(0,AB23*(1+'Control Tower'!$B$19/12)-AC22))))</f>
        <v/>
      </c>
      <c r="AD23" s="22">
        <f>IF(NOT('Control Tower'!$B$16=1),0,IF(28&lt;'Control Tower'!$B$17,0,IF(28='Control Tower'!$B$17,'Control Tower'!$B$18,MAX(0,AC23*(1+'Control Tower'!$B$19/12)-AD22))))</f>
        <v/>
      </c>
      <c r="AE23" s="22">
        <f>IF(NOT('Control Tower'!$B$16=1),0,IF(29&lt;'Control Tower'!$B$17,0,IF(29='Control Tower'!$B$17,'Control Tower'!$B$18,MAX(0,AD23*(1+'Control Tower'!$B$19/12)-AE22))))</f>
        <v/>
      </c>
      <c r="AF23" s="22">
        <f>IF(NOT('Control Tower'!$B$16=1),0,IF(30&lt;'Control Tower'!$B$17,0,IF(30='Control Tower'!$B$17,'Control Tower'!$B$18,MAX(0,AE23*(1+'Control Tower'!$B$19/12)-AF22))))</f>
        <v/>
      </c>
      <c r="AG23" s="22">
        <f>IF(NOT('Control Tower'!$B$16=1),0,IF(31&lt;'Control Tower'!$B$17,0,IF(31='Control Tower'!$B$17,'Control Tower'!$B$18,MAX(0,AF23*(1+'Control Tower'!$B$19/12)-AG22))))</f>
        <v/>
      </c>
      <c r="AH23" s="22">
        <f>IF(NOT('Control Tower'!$B$16=1),0,IF(32&lt;'Control Tower'!$B$17,0,IF(32='Control Tower'!$B$17,'Control Tower'!$B$18,MAX(0,AG23*(1+'Control Tower'!$B$19/12)-AH22))))</f>
        <v/>
      </c>
      <c r="AI23" s="22">
        <f>IF(NOT('Control Tower'!$B$16=1),0,IF(33&lt;'Control Tower'!$B$17,0,IF(33='Control Tower'!$B$17,'Control Tower'!$B$18,MAX(0,AH23*(1+'Control Tower'!$B$19/12)-AI22))))</f>
        <v/>
      </c>
      <c r="AJ23" s="22">
        <f>IF(NOT('Control Tower'!$B$16=1),0,IF(34&lt;'Control Tower'!$B$17,0,IF(34='Control Tower'!$B$17,'Control Tower'!$B$18,MAX(0,AI23*(1+'Control Tower'!$B$19/12)-AJ22))))</f>
        <v/>
      </c>
      <c r="AK23" s="22">
        <f>IF(NOT('Control Tower'!$B$16=1),0,IF(35&lt;'Control Tower'!$B$17,0,IF(35='Control Tower'!$B$17,'Control Tower'!$B$18,MAX(0,AJ23*(1+'Control Tower'!$B$19/12)-AK22))))</f>
        <v/>
      </c>
      <c r="AL23" s="22">
        <f>IF(NOT('Control Tower'!$B$16=1),0,IF(36&lt;'Control Tower'!$B$17,0,IF(36='Control Tower'!$B$17,'Control Tower'!$B$18,MAX(0,AK23*(1+'Control Tower'!$B$19/12)-AL22))))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NET INCOME (after interest, revolver interest &amp; TX margin tax)</t>
        </is>
      </c>
    </row>
    <row r="29">
      <c r="A29" s="4" t="inlineStr">
        <is>
          <t>Pre-tax income</t>
        </is>
      </c>
      <c r="C29" s="22">
        <f>'P&amp;L'!C23-'P&amp;L'!C26-C13-C21-C24-C27-C40</f>
        <v/>
      </c>
      <c r="D29" s="22">
        <f>'P&amp;L'!D23-'P&amp;L'!D26-D13-D21-D24-D27-D40</f>
        <v/>
      </c>
      <c r="E29" s="22">
        <f>'P&amp;L'!E23-'P&amp;L'!E26-E13-E21-E24-E27-E40</f>
        <v/>
      </c>
      <c r="F29" s="22">
        <f>'P&amp;L'!F23-'P&amp;L'!F26-F13-F21-F24-F27-F40</f>
        <v/>
      </c>
      <c r="G29" s="22">
        <f>'P&amp;L'!G23-'P&amp;L'!G26-G13-G21-G24-G27-G40</f>
        <v/>
      </c>
      <c r="H29" s="22">
        <f>'P&amp;L'!H23-'P&amp;L'!H26-H13-H21-H24-H27-H40</f>
        <v/>
      </c>
      <c r="I29" s="22">
        <f>'P&amp;L'!I23-'P&amp;L'!I26-I13-I21-I24-I27-I40</f>
        <v/>
      </c>
      <c r="J29" s="22">
        <f>'P&amp;L'!J23-'P&amp;L'!J26-J13-J21-J24-J27-J40</f>
        <v/>
      </c>
      <c r="K29" s="22">
        <f>'P&amp;L'!K23-'P&amp;L'!K26-K13-K21-K24-K27-K40</f>
        <v/>
      </c>
      <c r="L29" s="22">
        <f>'P&amp;L'!L23-'P&amp;L'!L26-L13-L21-L24-L27-L40</f>
        <v/>
      </c>
      <c r="M29" s="22">
        <f>'P&amp;L'!M23-'P&amp;L'!M26-M13-M21-M24-M27-M40</f>
        <v/>
      </c>
      <c r="N29" s="22">
        <f>'P&amp;L'!N23-'P&amp;L'!N26-N13-N21-N24-N27-N40</f>
        <v/>
      </c>
      <c r="O29" s="22">
        <f>'P&amp;L'!O23-'P&amp;L'!O26-O13-O21-O24-O27-O40</f>
        <v/>
      </c>
      <c r="P29" s="22">
        <f>'P&amp;L'!P23-'P&amp;L'!P26-P13-P21-P24-P27-P40</f>
        <v/>
      </c>
      <c r="Q29" s="22">
        <f>'P&amp;L'!Q23-'P&amp;L'!Q26-Q13-Q21-Q24-Q27-Q40</f>
        <v/>
      </c>
      <c r="R29" s="22">
        <f>'P&amp;L'!R23-'P&amp;L'!R26-R13-R21-R24-R27-R40</f>
        <v/>
      </c>
      <c r="S29" s="22">
        <f>'P&amp;L'!S23-'P&amp;L'!S26-S13-S21-S24-S27-S40</f>
        <v/>
      </c>
      <c r="T29" s="22">
        <f>'P&amp;L'!T23-'P&amp;L'!T26-T13-T21-T24-T27-T40</f>
        <v/>
      </c>
      <c r="U29" s="22">
        <f>'P&amp;L'!U23-'P&amp;L'!U26-U13-U21-U24-U27-U40</f>
        <v/>
      </c>
      <c r="V29" s="22">
        <f>'P&amp;L'!V23-'P&amp;L'!V26-V13-V21-V24-V27-V40</f>
        <v/>
      </c>
      <c r="W29" s="22">
        <f>'P&amp;L'!W23-'P&amp;L'!W26-W13-W21-W24-W27-W40</f>
        <v/>
      </c>
      <c r="X29" s="22">
        <f>'P&amp;L'!X23-'P&amp;L'!X26-X13-X21-X24-X27-X40</f>
        <v/>
      </c>
      <c r="Y29" s="22">
        <f>'P&amp;L'!Y23-'P&amp;L'!Y26-Y13-Y21-Y24-Y27-Y40</f>
        <v/>
      </c>
      <c r="Z29" s="22">
        <f>'P&amp;L'!Z23-'P&amp;L'!Z26-Z13-Z21-Z24-Z27-Z40</f>
        <v/>
      </c>
      <c r="AA29" s="22">
        <f>'P&amp;L'!AA23-'P&amp;L'!AA26-AA13-AA21-AA24-AA27-AA40</f>
        <v/>
      </c>
      <c r="AB29" s="22">
        <f>'P&amp;L'!AB23-'P&amp;L'!AB26-AB13-AB21-AB24-AB27-AB40</f>
        <v/>
      </c>
      <c r="AC29" s="22">
        <f>'P&amp;L'!AC23-'P&amp;L'!AC26-AC13-AC21-AC24-AC27-AC40</f>
        <v/>
      </c>
      <c r="AD29" s="22">
        <f>'P&amp;L'!AD23-'P&amp;L'!AD26-AD13-AD21-AD24-AD27-AD40</f>
        <v/>
      </c>
      <c r="AE29" s="22">
        <f>'P&amp;L'!AE23-'P&amp;L'!AE26-AE13-AE21-AE24-AE27-AE40</f>
        <v/>
      </c>
      <c r="AF29" s="22">
        <f>'P&amp;L'!AF23-'P&amp;L'!AF26-AF13-AF21-AF24-AF27-AF40</f>
        <v/>
      </c>
      <c r="AG29" s="22">
        <f>'P&amp;L'!AG23-'P&amp;L'!AG26-AG13-AG21-AG24-AG27-AG40</f>
        <v/>
      </c>
      <c r="AH29" s="22">
        <f>'P&amp;L'!AH23-'P&amp;L'!AH26-AH13-AH21-AH24-AH27-AH40</f>
        <v/>
      </c>
      <c r="AI29" s="22">
        <f>'P&amp;L'!AI23-'P&amp;L'!AI26-AI13-AI21-AI24-AI27-AI40</f>
        <v/>
      </c>
      <c r="AJ29" s="22">
        <f>'P&amp;L'!AJ23-'P&amp;L'!AJ26-AJ13-AJ21-AJ24-AJ27-AJ40</f>
        <v/>
      </c>
      <c r="AK29" s="22">
        <f>'P&amp;L'!AK23-'P&amp;L'!AK26-AK13-AK21-AK24-AK27-AK40</f>
        <v/>
      </c>
      <c r="AL29" s="22">
        <f>'P&amp;L'!AL23-'P&amp;L'!AL26-AL13-AL21-AL24-AL27-AL40</f>
        <v/>
      </c>
    </row>
    <row r="30">
      <c r="A30" s="4" t="inlineStr">
        <is>
          <t>TX margin tax</t>
        </is>
      </c>
      <c r="C30" s="22">
        <f>IF(C29&gt;0,C8*'Control Tower'!$B$126,0)</f>
        <v/>
      </c>
      <c r="D30" s="22">
        <f>IF(D29&gt;0,D8*'Control Tower'!$B$126,0)</f>
        <v/>
      </c>
      <c r="E30" s="22">
        <f>IF(E29&gt;0,E8*'Control Tower'!$B$126,0)</f>
        <v/>
      </c>
      <c r="F30" s="22">
        <f>IF(F29&gt;0,F8*'Control Tower'!$B$126,0)</f>
        <v/>
      </c>
      <c r="G30" s="22">
        <f>IF(G29&gt;0,G8*'Control Tower'!$B$126,0)</f>
        <v/>
      </c>
      <c r="H30" s="22">
        <f>IF(H29&gt;0,H8*'Control Tower'!$B$126,0)</f>
        <v/>
      </c>
      <c r="I30" s="22">
        <f>IF(I29&gt;0,I8*'Control Tower'!$B$126,0)</f>
        <v/>
      </c>
      <c r="J30" s="22">
        <f>IF(J29&gt;0,J8*'Control Tower'!$B$126,0)</f>
        <v/>
      </c>
      <c r="K30" s="22">
        <f>IF(K29&gt;0,K8*'Control Tower'!$B$126,0)</f>
        <v/>
      </c>
      <c r="L30" s="22">
        <f>IF(L29&gt;0,L8*'Control Tower'!$B$126,0)</f>
        <v/>
      </c>
      <c r="M30" s="22">
        <f>IF(M29&gt;0,M8*'Control Tower'!$B$126,0)</f>
        <v/>
      </c>
      <c r="N30" s="22">
        <f>IF(N29&gt;0,N8*'Control Tower'!$B$126,0)</f>
        <v/>
      </c>
      <c r="O30" s="22">
        <f>IF(O29&gt;0,O8*'Control Tower'!$B$126,0)</f>
        <v/>
      </c>
      <c r="P30" s="22">
        <f>IF(P29&gt;0,P8*'Control Tower'!$B$126,0)</f>
        <v/>
      </c>
      <c r="Q30" s="22">
        <f>IF(Q29&gt;0,Q8*'Control Tower'!$B$126,0)</f>
        <v/>
      </c>
      <c r="R30" s="22">
        <f>IF(R29&gt;0,R8*'Control Tower'!$B$126,0)</f>
        <v/>
      </c>
      <c r="S30" s="22">
        <f>IF(S29&gt;0,S8*'Control Tower'!$B$126,0)</f>
        <v/>
      </c>
      <c r="T30" s="22">
        <f>IF(T29&gt;0,T8*'Control Tower'!$B$126,0)</f>
        <v/>
      </c>
      <c r="U30" s="22">
        <f>IF(U29&gt;0,U8*'Control Tower'!$B$126,0)</f>
        <v/>
      </c>
      <c r="V30" s="22">
        <f>IF(V29&gt;0,V8*'Control Tower'!$B$126,0)</f>
        <v/>
      </c>
      <c r="W30" s="22">
        <f>IF(W29&gt;0,W8*'Control Tower'!$B$126,0)</f>
        <v/>
      </c>
      <c r="X30" s="22">
        <f>IF(X29&gt;0,X8*'Control Tower'!$B$126,0)</f>
        <v/>
      </c>
      <c r="Y30" s="22">
        <f>IF(Y29&gt;0,Y8*'Control Tower'!$B$126,0)</f>
        <v/>
      </c>
      <c r="Z30" s="22">
        <f>IF(Z29&gt;0,Z8*'Control Tower'!$B$126,0)</f>
        <v/>
      </c>
      <c r="AA30" s="22">
        <f>IF(AA29&gt;0,AA8*'Control Tower'!$B$126,0)</f>
        <v/>
      </c>
      <c r="AB30" s="22">
        <f>IF(AB29&gt;0,AB8*'Control Tower'!$B$126,0)</f>
        <v/>
      </c>
      <c r="AC30" s="22">
        <f>IF(AC29&gt;0,AC8*'Control Tower'!$B$126,0)</f>
        <v/>
      </c>
      <c r="AD30" s="22">
        <f>IF(AD29&gt;0,AD8*'Control Tower'!$B$126,0)</f>
        <v/>
      </c>
      <c r="AE30" s="22">
        <f>IF(AE29&gt;0,AE8*'Control Tower'!$B$126,0)</f>
        <v/>
      </c>
      <c r="AF30" s="22">
        <f>IF(AF29&gt;0,AF8*'Control Tower'!$B$126,0)</f>
        <v/>
      </c>
      <c r="AG30" s="22">
        <f>IF(AG29&gt;0,AG8*'Control Tower'!$B$126,0)</f>
        <v/>
      </c>
      <c r="AH30" s="22">
        <f>IF(AH29&gt;0,AH8*'Control Tower'!$B$126,0)</f>
        <v/>
      </c>
      <c r="AI30" s="22">
        <f>IF(AI29&gt;0,AI8*'Control Tower'!$B$126,0)</f>
        <v/>
      </c>
      <c r="AJ30" s="22">
        <f>IF(AJ29&gt;0,AJ8*'Control Tower'!$B$126,0)</f>
        <v/>
      </c>
      <c r="AK30" s="22">
        <f>IF(AK29&gt;0,AK8*'Control Tower'!$B$126,0)</f>
        <v/>
      </c>
      <c r="AL30" s="22">
        <f>IF(AL29&gt;0,AL8*'Control Tower'!$B$126,0)</f>
        <v/>
      </c>
    </row>
    <row r="31">
      <c r="A31" s="10" t="inlineStr">
        <is>
          <t>NET INCOME</t>
        </is>
      </c>
      <c r="C31" s="23">
        <f>C29-C30</f>
        <v/>
      </c>
      <c r="D31" s="23">
        <f>D29-D30</f>
        <v/>
      </c>
      <c r="E31" s="23">
        <f>E29-E30</f>
        <v/>
      </c>
      <c r="F31" s="23">
        <f>F29-F30</f>
        <v/>
      </c>
      <c r="G31" s="23">
        <f>G29-G30</f>
        <v/>
      </c>
      <c r="H31" s="23">
        <f>H29-H30</f>
        <v/>
      </c>
      <c r="I31" s="23">
        <f>I29-I30</f>
        <v/>
      </c>
      <c r="J31" s="23">
        <f>J29-J30</f>
        <v/>
      </c>
      <c r="K31" s="23">
        <f>K29-K30</f>
        <v/>
      </c>
      <c r="L31" s="23">
        <f>L29-L30</f>
        <v/>
      </c>
      <c r="M31" s="23">
        <f>M29-M30</f>
        <v/>
      </c>
      <c r="N31" s="23">
        <f>N29-N30</f>
        <v/>
      </c>
      <c r="O31" s="23">
        <f>O29-O30</f>
        <v/>
      </c>
      <c r="P31" s="23">
        <f>P29-P30</f>
        <v/>
      </c>
      <c r="Q31" s="23">
        <f>Q29-Q30</f>
        <v/>
      </c>
      <c r="R31" s="23">
        <f>R29-R30</f>
        <v/>
      </c>
      <c r="S31" s="23">
        <f>S29-S30</f>
        <v/>
      </c>
      <c r="T31" s="23">
        <f>T29-T30</f>
        <v/>
      </c>
      <c r="U31" s="23">
        <f>U29-U30</f>
        <v/>
      </c>
      <c r="V31" s="23">
        <f>V29-V30</f>
        <v/>
      </c>
      <c r="W31" s="23">
        <f>W29-W30</f>
        <v/>
      </c>
      <c r="X31" s="23">
        <f>X29-X30</f>
        <v/>
      </c>
      <c r="Y31" s="23">
        <f>Y29-Y30</f>
        <v/>
      </c>
      <c r="Z31" s="23">
        <f>Z29-Z30</f>
        <v/>
      </c>
      <c r="AA31" s="23">
        <f>AA29-AA30</f>
        <v/>
      </c>
      <c r="AB31" s="23">
        <f>AB29-AB30</f>
        <v/>
      </c>
      <c r="AC31" s="23">
        <f>AC29-AC30</f>
        <v/>
      </c>
      <c r="AD31" s="23">
        <f>AD29-AD30</f>
        <v/>
      </c>
      <c r="AE31" s="23">
        <f>AE29-AE30</f>
        <v/>
      </c>
      <c r="AF31" s="23">
        <f>AF29-AF30</f>
        <v/>
      </c>
      <c r="AG31" s="23">
        <f>AG29-AG30</f>
        <v/>
      </c>
      <c r="AH31" s="23">
        <f>AH29-AH30</f>
        <v/>
      </c>
      <c r="AI31" s="23">
        <f>AI29-AI30</f>
        <v/>
      </c>
      <c r="AJ31" s="23">
        <f>AJ29-AJ30</f>
        <v/>
      </c>
      <c r="AK31" s="23">
        <f>AK29-AK30</f>
        <v/>
      </c>
      <c r="AL31" s="23">
        <f>AL29-AL30</f>
        <v/>
      </c>
    </row>
    <row r="32">
      <c r="A32" s="3" t="inlineStr">
        <is>
          <t>CASH (direct method; revolver is the balancing facility)</t>
        </is>
      </c>
    </row>
    <row r="33">
      <c r="A33" s="4" t="inlineStr">
        <is>
          <t>Cash collections</t>
        </is>
      </c>
      <c r="C33" s="27">
        <f>C9</f>
        <v/>
      </c>
      <c r="D33" s="27">
        <f>D9</f>
        <v/>
      </c>
      <c r="E33" s="27">
        <f>E9</f>
        <v/>
      </c>
      <c r="F33" s="27">
        <f>F9</f>
        <v/>
      </c>
      <c r="G33" s="27">
        <f>G9</f>
        <v/>
      </c>
      <c r="H33" s="27">
        <f>H9</f>
        <v/>
      </c>
      <c r="I33" s="27">
        <f>I9</f>
        <v/>
      </c>
      <c r="J33" s="27">
        <f>J9</f>
        <v/>
      </c>
      <c r="K33" s="27">
        <f>K9</f>
        <v/>
      </c>
      <c r="L33" s="27">
        <f>L9</f>
        <v/>
      </c>
      <c r="M33" s="27">
        <f>M9</f>
        <v/>
      </c>
      <c r="N33" s="27">
        <f>N9</f>
        <v/>
      </c>
      <c r="O33" s="27">
        <f>O9</f>
        <v/>
      </c>
      <c r="P33" s="27">
        <f>P9</f>
        <v/>
      </c>
      <c r="Q33" s="27">
        <f>Q9</f>
        <v/>
      </c>
      <c r="R33" s="27">
        <f>R9</f>
        <v/>
      </c>
      <c r="S33" s="27">
        <f>S9</f>
        <v/>
      </c>
      <c r="T33" s="27">
        <f>T9</f>
        <v/>
      </c>
      <c r="U33" s="27">
        <f>U9</f>
        <v/>
      </c>
      <c r="V33" s="27">
        <f>V9</f>
        <v/>
      </c>
      <c r="W33" s="27">
        <f>W9</f>
        <v/>
      </c>
      <c r="X33" s="27">
        <f>X9</f>
        <v/>
      </c>
      <c r="Y33" s="27">
        <f>Y9</f>
        <v/>
      </c>
      <c r="Z33" s="27">
        <f>Z9</f>
        <v/>
      </c>
      <c r="AA33" s="27">
        <f>AA9</f>
        <v/>
      </c>
      <c r="AB33" s="27">
        <f>AB9</f>
        <v/>
      </c>
      <c r="AC33" s="27">
        <f>AC9</f>
        <v/>
      </c>
      <c r="AD33" s="27">
        <f>AD9</f>
        <v/>
      </c>
      <c r="AE33" s="27">
        <f>AE9</f>
        <v/>
      </c>
      <c r="AF33" s="27">
        <f>AF9</f>
        <v/>
      </c>
      <c r="AG33" s="27">
        <f>AG9</f>
        <v/>
      </c>
      <c r="AH33" s="27">
        <f>AH9</f>
        <v/>
      </c>
      <c r="AI33" s="27">
        <f>AI9</f>
        <v/>
      </c>
      <c r="AJ33" s="27">
        <f>AJ9</f>
        <v/>
      </c>
      <c r="AK33" s="27">
        <f>AK9</f>
        <v/>
      </c>
      <c r="AL33" s="27">
        <f>AL9</f>
        <v/>
      </c>
    </row>
    <row r="34">
      <c r="A34" s="4" t="inlineStr">
        <is>
          <t>Payroll + contract labor (in month)</t>
        </is>
      </c>
      <c r="C34" s="22">
        <f>-'Staffing'!C39-'Staffing'!C23-'Staffing'!C24-'Staffing'!C21</f>
        <v/>
      </c>
      <c r="D34" s="22">
        <f>-'Staffing'!D39-'Staffing'!D23-'Staffing'!D24-'Staffing'!D21</f>
        <v/>
      </c>
      <c r="E34" s="22">
        <f>-'Staffing'!E39-'Staffing'!E23-'Staffing'!E24-'Staffing'!E21</f>
        <v/>
      </c>
      <c r="F34" s="22">
        <f>-'Staffing'!F39-'Staffing'!F23-'Staffing'!F24-'Staffing'!F21</f>
        <v/>
      </c>
      <c r="G34" s="22">
        <f>-'Staffing'!G39-'Staffing'!G23-'Staffing'!G24-'Staffing'!G21</f>
        <v/>
      </c>
      <c r="H34" s="22">
        <f>-'Staffing'!H39-'Staffing'!H23-'Staffing'!H24-'Staffing'!H21</f>
        <v/>
      </c>
      <c r="I34" s="22">
        <f>-'Staffing'!I39-'Staffing'!I23-'Staffing'!I24-'Staffing'!I21</f>
        <v/>
      </c>
      <c r="J34" s="22">
        <f>-'Staffing'!J39-'Staffing'!J23-'Staffing'!J24-'Staffing'!J21</f>
        <v/>
      </c>
      <c r="K34" s="22">
        <f>-'Staffing'!K39-'Staffing'!K23-'Staffing'!K24-'Staffing'!K21</f>
        <v/>
      </c>
      <c r="L34" s="22">
        <f>-'Staffing'!L39-'Staffing'!L23-'Staffing'!L24-'Staffing'!L21</f>
        <v/>
      </c>
      <c r="M34" s="22">
        <f>-'Staffing'!M39-'Staffing'!M23-'Staffing'!M24-'Staffing'!M21</f>
        <v/>
      </c>
      <c r="N34" s="22">
        <f>-'Staffing'!N39-'Staffing'!N23-'Staffing'!N24-'Staffing'!N21</f>
        <v/>
      </c>
      <c r="O34" s="22">
        <f>-'Staffing'!O39-'Staffing'!O23-'Staffing'!O24-'Staffing'!O21</f>
        <v/>
      </c>
      <c r="P34" s="22">
        <f>-'Staffing'!P39-'Staffing'!P23-'Staffing'!P24-'Staffing'!P21</f>
        <v/>
      </c>
      <c r="Q34" s="22">
        <f>-'Staffing'!Q39-'Staffing'!Q23-'Staffing'!Q24-'Staffing'!Q21</f>
        <v/>
      </c>
      <c r="R34" s="22">
        <f>-'Staffing'!R39-'Staffing'!R23-'Staffing'!R24-'Staffing'!R21</f>
        <v/>
      </c>
      <c r="S34" s="22">
        <f>-'Staffing'!S39-'Staffing'!S23-'Staffing'!S24-'Staffing'!S21</f>
        <v/>
      </c>
      <c r="T34" s="22">
        <f>-'Staffing'!T39-'Staffing'!T23-'Staffing'!T24-'Staffing'!T21</f>
        <v/>
      </c>
      <c r="U34" s="22">
        <f>-'Staffing'!U39-'Staffing'!U23-'Staffing'!U24-'Staffing'!U21</f>
        <v/>
      </c>
      <c r="V34" s="22">
        <f>-'Staffing'!V39-'Staffing'!V23-'Staffing'!V24-'Staffing'!V21</f>
        <v/>
      </c>
      <c r="W34" s="22">
        <f>-'Staffing'!W39-'Staffing'!W23-'Staffing'!W24-'Staffing'!W21</f>
        <v/>
      </c>
      <c r="X34" s="22">
        <f>-'Staffing'!X39-'Staffing'!X23-'Staffing'!X24-'Staffing'!X21</f>
        <v/>
      </c>
      <c r="Y34" s="22">
        <f>-'Staffing'!Y39-'Staffing'!Y23-'Staffing'!Y24-'Staffing'!Y21</f>
        <v/>
      </c>
      <c r="Z34" s="22">
        <f>-'Staffing'!Z39-'Staffing'!Z23-'Staffing'!Z24-'Staffing'!Z21</f>
        <v/>
      </c>
      <c r="AA34" s="22">
        <f>-'Staffing'!AA39-'Staffing'!AA23-'Staffing'!AA24-'Staffing'!AA21</f>
        <v/>
      </c>
      <c r="AB34" s="22">
        <f>-'Staffing'!AB39-'Staffing'!AB23-'Staffing'!AB24-'Staffing'!AB21</f>
        <v/>
      </c>
      <c r="AC34" s="22">
        <f>-'Staffing'!AC39-'Staffing'!AC23-'Staffing'!AC24-'Staffing'!AC21</f>
        <v/>
      </c>
      <c r="AD34" s="22">
        <f>-'Staffing'!AD39-'Staffing'!AD23-'Staffing'!AD24-'Staffing'!AD21</f>
        <v/>
      </c>
      <c r="AE34" s="22">
        <f>-'Staffing'!AE39-'Staffing'!AE23-'Staffing'!AE24-'Staffing'!AE21</f>
        <v/>
      </c>
      <c r="AF34" s="22">
        <f>-'Staffing'!AF39-'Staffing'!AF23-'Staffing'!AF24-'Staffing'!AF21</f>
        <v/>
      </c>
      <c r="AG34" s="22">
        <f>-'Staffing'!AG39-'Staffing'!AG23-'Staffing'!AG24-'Staffing'!AG21</f>
        <v/>
      </c>
      <c r="AH34" s="22">
        <f>-'Staffing'!AH39-'Staffing'!AH23-'Staffing'!AH24-'Staffing'!AH21</f>
        <v/>
      </c>
      <c r="AI34" s="22">
        <f>-'Staffing'!AI39-'Staffing'!AI23-'Staffing'!AI24-'Staffing'!AI21</f>
        <v/>
      </c>
      <c r="AJ34" s="22">
        <f>-'Staffing'!AJ39-'Staffing'!AJ23-'Staffing'!AJ24-'Staffing'!AJ21</f>
        <v/>
      </c>
      <c r="AK34" s="22">
        <f>-'Staffing'!AK39-'Staffing'!AK23-'Staffing'!AK24-'Staffing'!AK21</f>
        <v/>
      </c>
      <c r="AL34" s="22">
        <f>-'Staffing'!AL39-'Staffing'!AL23-'Staffing'!AL24-'Staffing'!AL21</f>
        <v/>
      </c>
    </row>
    <row r="35">
      <c r="A35" s="4" t="inlineStr">
        <is>
          <t>Direct patient care (net-30: prior month)</t>
        </is>
      </c>
      <c r="C35" s="22">
        <f>-0</f>
        <v/>
      </c>
      <c r="D35" s="22">
        <f>-'Operating Budget'!C12</f>
        <v/>
      </c>
      <c r="E35" s="22">
        <f>-'Operating Budget'!D12</f>
        <v/>
      </c>
      <c r="F35" s="22">
        <f>-'Operating Budget'!E12</f>
        <v/>
      </c>
      <c r="G35" s="22">
        <f>-'Operating Budget'!F12</f>
        <v/>
      </c>
      <c r="H35" s="22">
        <f>-'Operating Budget'!G12</f>
        <v/>
      </c>
      <c r="I35" s="22">
        <f>-'Operating Budget'!H12</f>
        <v/>
      </c>
      <c r="J35" s="22">
        <f>-'Operating Budget'!I12</f>
        <v/>
      </c>
      <c r="K35" s="22">
        <f>-'Operating Budget'!J12</f>
        <v/>
      </c>
      <c r="L35" s="22">
        <f>-'Operating Budget'!K12</f>
        <v/>
      </c>
      <c r="M35" s="22">
        <f>-'Operating Budget'!L12</f>
        <v/>
      </c>
      <c r="N35" s="22">
        <f>-'Operating Budget'!M12</f>
        <v/>
      </c>
      <c r="O35" s="22">
        <f>-'Operating Budget'!N12</f>
        <v/>
      </c>
      <c r="P35" s="22">
        <f>-'Operating Budget'!O12</f>
        <v/>
      </c>
      <c r="Q35" s="22">
        <f>-'Operating Budget'!P12</f>
        <v/>
      </c>
      <c r="R35" s="22">
        <f>-'Operating Budget'!Q12</f>
        <v/>
      </c>
      <c r="S35" s="22">
        <f>-'Operating Budget'!R12</f>
        <v/>
      </c>
      <c r="T35" s="22">
        <f>-'Operating Budget'!S12</f>
        <v/>
      </c>
      <c r="U35" s="22">
        <f>-'Operating Budget'!T12</f>
        <v/>
      </c>
      <c r="V35" s="22">
        <f>-'Operating Budget'!U12</f>
        <v/>
      </c>
      <c r="W35" s="22">
        <f>-'Operating Budget'!V12</f>
        <v/>
      </c>
      <c r="X35" s="22">
        <f>-'Operating Budget'!W12</f>
        <v/>
      </c>
      <c r="Y35" s="22">
        <f>-'Operating Budget'!X12</f>
        <v/>
      </c>
      <c r="Z35" s="22">
        <f>-'Operating Budget'!Y12</f>
        <v/>
      </c>
      <c r="AA35" s="22">
        <f>-'Operating Budget'!Z12</f>
        <v/>
      </c>
      <c r="AB35" s="22">
        <f>-'Operating Budget'!AA12</f>
        <v/>
      </c>
      <c r="AC35" s="22">
        <f>-'Operating Budget'!AB12</f>
        <v/>
      </c>
      <c r="AD35" s="22">
        <f>-'Operating Budget'!AC12</f>
        <v/>
      </c>
      <c r="AE35" s="22">
        <f>-'Operating Budget'!AD12</f>
        <v/>
      </c>
      <c r="AF35" s="22">
        <f>-'Operating Budget'!AE12</f>
        <v/>
      </c>
      <c r="AG35" s="22">
        <f>-'Operating Budget'!AF12</f>
        <v/>
      </c>
      <c r="AH35" s="22">
        <f>-'Operating Budget'!AG12</f>
        <v/>
      </c>
      <c r="AI35" s="22">
        <f>-'Operating Budget'!AH12</f>
        <v/>
      </c>
      <c r="AJ35" s="22">
        <f>-'Operating Budget'!AI12</f>
        <v/>
      </c>
      <c r="AK35" s="22">
        <f>-'Operating Budget'!AJ12</f>
        <v/>
      </c>
      <c r="AL35" s="22">
        <f>-'Operating Budget'!AK12</f>
        <v/>
      </c>
    </row>
    <row r="36">
      <c r="A36" s="4" t="inlineStr">
        <is>
          <t>Facility + G&amp;A + contingency (in month)</t>
        </is>
      </c>
      <c r="C36" s="22">
        <f>-'Operating Budget'!C18-'Operating Budget'!C31-'Operating Budget'!C32</f>
        <v/>
      </c>
      <c r="D36" s="22">
        <f>-'Operating Budget'!D18-'Operating Budget'!D31-'Operating Budget'!D32</f>
        <v/>
      </c>
      <c r="E36" s="22">
        <f>-'Operating Budget'!E18-'Operating Budget'!E31-'Operating Budget'!E32</f>
        <v/>
      </c>
      <c r="F36" s="22">
        <f>-'Operating Budget'!F18-'Operating Budget'!F31-'Operating Budget'!F32</f>
        <v/>
      </c>
      <c r="G36" s="22">
        <f>-'Operating Budget'!G18-'Operating Budget'!G31-'Operating Budget'!G32</f>
        <v/>
      </c>
      <c r="H36" s="22">
        <f>-'Operating Budget'!H18-'Operating Budget'!H31-'Operating Budget'!H32</f>
        <v/>
      </c>
      <c r="I36" s="22">
        <f>-'Operating Budget'!I18-'Operating Budget'!I31-'Operating Budget'!I32</f>
        <v/>
      </c>
      <c r="J36" s="22">
        <f>-'Operating Budget'!J18-'Operating Budget'!J31-'Operating Budget'!J32</f>
        <v/>
      </c>
      <c r="K36" s="22">
        <f>-'Operating Budget'!K18-'Operating Budget'!K31-'Operating Budget'!K32</f>
        <v/>
      </c>
      <c r="L36" s="22">
        <f>-'Operating Budget'!L18-'Operating Budget'!L31-'Operating Budget'!L32</f>
        <v/>
      </c>
      <c r="M36" s="22">
        <f>-'Operating Budget'!M18-'Operating Budget'!M31-'Operating Budget'!M32</f>
        <v/>
      </c>
      <c r="N36" s="22">
        <f>-'Operating Budget'!N18-'Operating Budget'!N31-'Operating Budget'!N32</f>
        <v/>
      </c>
      <c r="O36" s="22">
        <f>-'Operating Budget'!O18-'Operating Budget'!O31-'Operating Budget'!O32</f>
        <v/>
      </c>
      <c r="P36" s="22">
        <f>-'Operating Budget'!P18-'Operating Budget'!P31-'Operating Budget'!P32</f>
        <v/>
      </c>
      <c r="Q36" s="22">
        <f>-'Operating Budget'!Q18-'Operating Budget'!Q31-'Operating Budget'!Q32</f>
        <v/>
      </c>
      <c r="R36" s="22">
        <f>-'Operating Budget'!R18-'Operating Budget'!R31-'Operating Budget'!R32</f>
        <v/>
      </c>
      <c r="S36" s="22">
        <f>-'Operating Budget'!S18-'Operating Budget'!S31-'Operating Budget'!S32</f>
        <v/>
      </c>
      <c r="T36" s="22">
        <f>-'Operating Budget'!T18-'Operating Budget'!T31-'Operating Budget'!T32</f>
        <v/>
      </c>
      <c r="U36" s="22">
        <f>-'Operating Budget'!U18-'Operating Budget'!U31-'Operating Budget'!U32</f>
        <v/>
      </c>
      <c r="V36" s="22">
        <f>-'Operating Budget'!V18-'Operating Budget'!V31-'Operating Budget'!V32</f>
        <v/>
      </c>
      <c r="W36" s="22">
        <f>-'Operating Budget'!W18-'Operating Budget'!W31-'Operating Budget'!W32</f>
        <v/>
      </c>
      <c r="X36" s="22">
        <f>-'Operating Budget'!X18-'Operating Budget'!X31-'Operating Budget'!X32</f>
        <v/>
      </c>
      <c r="Y36" s="22">
        <f>-'Operating Budget'!Y18-'Operating Budget'!Y31-'Operating Budget'!Y32</f>
        <v/>
      </c>
      <c r="Z36" s="22">
        <f>-'Operating Budget'!Z18-'Operating Budget'!Z31-'Operating Budget'!Z32</f>
        <v/>
      </c>
      <c r="AA36" s="22">
        <f>-'Operating Budget'!AA18-'Operating Budget'!AA31-'Operating Budget'!AA32</f>
        <v/>
      </c>
      <c r="AB36" s="22">
        <f>-'Operating Budget'!AB18-'Operating Budget'!AB31-'Operating Budget'!AB32</f>
        <v/>
      </c>
      <c r="AC36" s="22">
        <f>-'Operating Budget'!AC18-'Operating Budget'!AC31-'Operating Budget'!AC32</f>
        <v/>
      </c>
      <c r="AD36" s="22">
        <f>-'Operating Budget'!AD18-'Operating Budget'!AD31-'Operating Budget'!AD32</f>
        <v/>
      </c>
      <c r="AE36" s="22">
        <f>-'Operating Budget'!AE18-'Operating Budget'!AE31-'Operating Budget'!AE32</f>
        <v/>
      </c>
      <c r="AF36" s="22">
        <f>-'Operating Budget'!AF18-'Operating Budget'!AF31-'Operating Budget'!AF32</f>
        <v/>
      </c>
      <c r="AG36" s="22">
        <f>-'Operating Budget'!AG18-'Operating Budget'!AG31-'Operating Budget'!AG32</f>
        <v/>
      </c>
      <c r="AH36" s="22">
        <f>-'Operating Budget'!AH18-'Operating Budget'!AH31-'Operating Budget'!AH32</f>
        <v/>
      </c>
      <c r="AI36" s="22">
        <f>-'Operating Budget'!AI18-'Operating Budget'!AI31-'Operating Budget'!AI32</f>
        <v/>
      </c>
      <c r="AJ36" s="22">
        <f>-'Operating Budget'!AJ18-'Operating Budget'!AJ31-'Operating Budget'!AJ32</f>
        <v/>
      </c>
      <c r="AK36" s="22">
        <f>-'Operating Budget'!AK18-'Operating Budget'!AK31-'Operating Budget'!AK32</f>
        <v/>
      </c>
      <c r="AL36" s="22">
        <f>-'Operating Budget'!AL18-'Operating Budget'!AL31-'Operating Budget'!AL32</f>
        <v/>
      </c>
    </row>
    <row r="37">
      <c r="A37" s="4" t="inlineStr">
        <is>
          <t>Tax paid</t>
        </is>
      </c>
      <c r="C37" s="22">
        <f>-C30</f>
        <v/>
      </c>
      <c r="D37" s="22">
        <f>-D30</f>
        <v/>
      </c>
      <c r="E37" s="22">
        <f>-E30</f>
        <v/>
      </c>
      <c r="F37" s="22">
        <f>-F30</f>
        <v/>
      </c>
      <c r="G37" s="22">
        <f>-G30</f>
        <v/>
      </c>
      <c r="H37" s="22">
        <f>-H30</f>
        <v/>
      </c>
      <c r="I37" s="22">
        <f>-I30</f>
        <v/>
      </c>
      <c r="J37" s="22">
        <f>-J30</f>
        <v/>
      </c>
      <c r="K37" s="22">
        <f>-K30</f>
        <v/>
      </c>
      <c r="L37" s="22">
        <f>-L30</f>
        <v/>
      </c>
      <c r="M37" s="22">
        <f>-M30</f>
        <v/>
      </c>
      <c r="N37" s="22">
        <f>-N30</f>
        <v/>
      </c>
      <c r="O37" s="22">
        <f>-O30</f>
        <v/>
      </c>
      <c r="P37" s="22">
        <f>-P30</f>
        <v/>
      </c>
      <c r="Q37" s="22">
        <f>-Q30</f>
        <v/>
      </c>
      <c r="R37" s="22">
        <f>-R30</f>
        <v/>
      </c>
      <c r="S37" s="22">
        <f>-S30</f>
        <v/>
      </c>
      <c r="T37" s="22">
        <f>-T30</f>
        <v/>
      </c>
      <c r="U37" s="22">
        <f>-U30</f>
        <v/>
      </c>
      <c r="V37" s="22">
        <f>-V30</f>
        <v/>
      </c>
      <c r="W37" s="22">
        <f>-W30</f>
        <v/>
      </c>
      <c r="X37" s="22">
        <f>-X30</f>
        <v/>
      </c>
      <c r="Y37" s="22">
        <f>-Y30</f>
        <v/>
      </c>
      <c r="Z37" s="22">
        <f>-Z30</f>
        <v/>
      </c>
      <c r="AA37" s="22">
        <f>-AA30</f>
        <v/>
      </c>
      <c r="AB37" s="22">
        <f>-AB30</f>
        <v/>
      </c>
      <c r="AC37" s="22">
        <f>-AC30</f>
        <v/>
      </c>
      <c r="AD37" s="22">
        <f>-AD30</f>
        <v/>
      </c>
      <c r="AE37" s="22">
        <f>-AE30</f>
        <v/>
      </c>
      <c r="AF37" s="22">
        <f>-AF30</f>
        <v/>
      </c>
      <c r="AG37" s="22">
        <f>-AG30</f>
        <v/>
      </c>
      <c r="AH37" s="22">
        <f>-AH30</f>
        <v/>
      </c>
      <c r="AI37" s="22">
        <f>-AI30</f>
        <v/>
      </c>
      <c r="AJ37" s="22">
        <f>-AJ30</f>
        <v/>
      </c>
      <c r="AK37" s="22">
        <f>-AK30</f>
        <v/>
      </c>
      <c r="AL37" s="22">
        <f>-AL30</f>
        <v/>
      </c>
    </row>
    <row r="38">
      <c r="A38" s="4" t="inlineStr">
        <is>
          <t>Seller payments (incl. down M1 + payoff interest)</t>
        </is>
      </c>
      <c r="C38" s="22">
        <f>-C14-C15-'Control Tower'!$B$8</f>
        <v/>
      </c>
      <c r="D38" s="22">
        <f>-D14-D15</f>
        <v/>
      </c>
      <c r="E38" s="22">
        <f>-E14-E15</f>
        <v/>
      </c>
      <c r="F38" s="22">
        <f>-F14-F15</f>
        <v/>
      </c>
      <c r="G38" s="22">
        <f>-G14-G15</f>
        <v/>
      </c>
      <c r="H38" s="22">
        <f>-H14-H15</f>
        <v/>
      </c>
      <c r="I38" s="22">
        <f>-I14-I15</f>
        <v/>
      </c>
      <c r="J38" s="22">
        <f>-J14-J15</f>
        <v/>
      </c>
      <c r="K38" s="22">
        <f>-K14-K15</f>
        <v/>
      </c>
      <c r="L38" s="22">
        <f>-L14-L15</f>
        <v/>
      </c>
      <c r="M38" s="22">
        <f>-M14-M15</f>
        <v/>
      </c>
      <c r="N38" s="22">
        <f>-N14-N15</f>
        <v/>
      </c>
      <c r="O38" s="22">
        <f>-O14-O15</f>
        <v/>
      </c>
      <c r="P38" s="22">
        <f>-P14-P15</f>
        <v/>
      </c>
      <c r="Q38" s="22">
        <f>-Q14-Q15</f>
        <v/>
      </c>
      <c r="R38" s="22">
        <f>-R14-R15</f>
        <v/>
      </c>
      <c r="S38" s="22">
        <f>-S14-S15</f>
        <v/>
      </c>
      <c r="T38" s="22">
        <f>-T14-T15</f>
        <v/>
      </c>
      <c r="U38" s="22">
        <f>-U14-U15</f>
        <v/>
      </c>
      <c r="V38" s="22">
        <f>-V14-V15</f>
        <v/>
      </c>
      <c r="W38" s="22">
        <f>-W14-W15</f>
        <v/>
      </c>
      <c r="X38" s="22">
        <f>-X14-X15</f>
        <v/>
      </c>
      <c r="Y38" s="22">
        <f>-Y14-Y15</f>
        <v/>
      </c>
      <c r="Z38" s="22">
        <f>-Z14-Z15</f>
        <v/>
      </c>
      <c r="AA38" s="22">
        <f>-AA14-AA15</f>
        <v/>
      </c>
      <c r="AB38" s="22">
        <f>-AB14-AB15</f>
        <v/>
      </c>
      <c r="AC38" s="22">
        <f>-AC14-AC15</f>
        <v/>
      </c>
      <c r="AD38" s="22">
        <f>-AD14-AD15</f>
        <v/>
      </c>
      <c r="AE38" s="22">
        <f>-AE14-AE15</f>
        <v/>
      </c>
      <c r="AF38" s="22">
        <f>-AF14-AF15</f>
        <v/>
      </c>
      <c r="AG38" s="22">
        <f>-AG14-AG15</f>
        <v/>
      </c>
      <c r="AH38" s="22">
        <f>-AH14-AH15</f>
        <v/>
      </c>
      <c r="AI38" s="22">
        <f>-AI14-AI15</f>
        <v/>
      </c>
      <c r="AJ38" s="22">
        <f>-AJ14-AJ15</f>
        <v/>
      </c>
      <c r="AK38" s="22">
        <f>-AK14-AK15</f>
        <v/>
      </c>
      <c r="AL38" s="22">
        <f>-AL14-AL15</f>
        <v/>
      </c>
    </row>
    <row r="39">
      <c r="A39" s="4" t="inlineStr">
        <is>
          <t>Financing proceeds - payments (balloon refi / full refi / SBA)</t>
        </is>
      </c>
      <c r="C39" s="22">
        <f>IF(AND('Control Tower'!$B$16=0,1='Control Tower'!$B$13),$B$18,0)+IF(AND('Control Tower'!$B$16=1,1='Control Tower'!$B$17),'Control Tower'!$B$18,0)+IF(AND('Control Tower'!$B$21=1,1='Control Tower'!$B$22),'Control Tower'!$B$23,0)-C19-C22-C25</f>
        <v/>
      </c>
      <c r="D39" s="22">
        <f>IF(AND('Control Tower'!$B$16=0,2='Control Tower'!$B$13),$B$18,0)+IF(AND('Control Tower'!$B$16=1,2='Control Tower'!$B$17),'Control Tower'!$B$18,0)+IF(AND('Control Tower'!$B$21=1,2='Control Tower'!$B$22),'Control Tower'!$B$23,0)-D19-D22-D25</f>
        <v/>
      </c>
      <c r="E39" s="22">
        <f>IF(AND('Control Tower'!$B$16=0,3='Control Tower'!$B$13),$B$18,0)+IF(AND('Control Tower'!$B$16=1,3='Control Tower'!$B$17),'Control Tower'!$B$18,0)+IF(AND('Control Tower'!$B$21=1,3='Control Tower'!$B$22),'Control Tower'!$B$23,0)-E19-E22-E25</f>
        <v/>
      </c>
      <c r="F39" s="22">
        <f>IF(AND('Control Tower'!$B$16=0,4='Control Tower'!$B$13),$B$18,0)+IF(AND('Control Tower'!$B$16=1,4='Control Tower'!$B$17),'Control Tower'!$B$18,0)+IF(AND('Control Tower'!$B$21=1,4='Control Tower'!$B$22),'Control Tower'!$B$23,0)-F19-F22-F25</f>
        <v/>
      </c>
      <c r="G39" s="22">
        <f>IF(AND('Control Tower'!$B$16=0,5='Control Tower'!$B$13),$B$18,0)+IF(AND('Control Tower'!$B$16=1,5='Control Tower'!$B$17),'Control Tower'!$B$18,0)+IF(AND('Control Tower'!$B$21=1,5='Control Tower'!$B$22),'Control Tower'!$B$23,0)-G19-G22-G25</f>
        <v/>
      </c>
      <c r="H39" s="22">
        <f>IF(AND('Control Tower'!$B$16=0,6='Control Tower'!$B$13),$B$18,0)+IF(AND('Control Tower'!$B$16=1,6='Control Tower'!$B$17),'Control Tower'!$B$18,0)+IF(AND('Control Tower'!$B$21=1,6='Control Tower'!$B$22),'Control Tower'!$B$23,0)-H19-H22-H25</f>
        <v/>
      </c>
      <c r="I39" s="22">
        <f>IF(AND('Control Tower'!$B$16=0,7='Control Tower'!$B$13),$B$18,0)+IF(AND('Control Tower'!$B$16=1,7='Control Tower'!$B$17),'Control Tower'!$B$18,0)+IF(AND('Control Tower'!$B$21=1,7='Control Tower'!$B$22),'Control Tower'!$B$23,0)-I19-I22-I25</f>
        <v/>
      </c>
      <c r="J39" s="22">
        <f>IF(AND('Control Tower'!$B$16=0,8='Control Tower'!$B$13),$B$18,0)+IF(AND('Control Tower'!$B$16=1,8='Control Tower'!$B$17),'Control Tower'!$B$18,0)+IF(AND('Control Tower'!$B$21=1,8='Control Tower'!$B$22),'Control Tower'!$B$23,0)-J19-J22-J25</f>
        <v/>
      </c>
      <c r="K39" s="22">
        <f>IF(AND('Control Tower'!$B$16=0,9='Control Tower'!$B$13),$B$18,0)+IF(AND('Control Tower'!$B$16=1,9='Control Tower'!$B$17),'Control Tower'!$B$18,0)+IF(AND('Control Tower'!$B$21=1,9='Control Tower'!$B$22),'Control Tower'!$B$23,0)-K19-K22-K25</f>
        <v/>
      </c>
      <c r="L39" s="22">
        <f>IF(AND('Control Tower'!$B$16=0,10='Control Tower'!$B$13),$B$18,0)+IF(AND('Control Tower'!$B$16=1,10='Control Tower'!$B$17),'Control Tower'!$B$18,0)+IF(AND('Control Tower'!$B$21=1,10='Control Tower'!$B$22),'Control Tower'!$B$23,0)-L19-L22-L25</f>
        <v/>
      </c>
      <c r="M39" s="22">
        <f>IF(AND('Control Tower'!$B$16=0,11='Control Tower'!$B$13),$B$18,0)+IF(AND('Control Tower'!$B$16=1,11='Control Tower'!$B$17),'Control Tower'!$B$18,0)+IF(AND('Control Tower'!$B$21=1,11='Control Tower'!$B$22),'Control Tower'!$B$23,0)-M19-M22-M25</f>
        <v/>
      </c>
      <c r="N39" s="22">
        <f>IF(AND('Control Tower'!$B$16=0,12='Control Tower'!$B$13),$B$18,0)+IF(AND('Control Tower'!$B$16=1,12='Control Tower'!$B$17),'Control Tower'!$B$18,0)+IF(AND('Control Tower'!$B$21=1,12='Control Tower'!$B$22),'Control Tower'!$B$23,0)-N19-N22-N25</f>
        <v/>
      </c>
      <c r="O39" s="22">
        <f>IF(AND('Control Tower'!$B$16=0,13='Control Tower'!$B$13),$B$18,0)+IF(AND('Control Tower'!$B$16=1,13='Control Tower'!$B$17),'Control Tower'!$B$18,0)+IF(AND('Control Tower'!$B$21=1,13='Control Tower'!$B$22),'Control Tower'!$B$23,0)-O19-O22-O25</f>
        <v/>
      </c>
      <c r="P39" s="22">
        <f>IF(AND('Control Tower'!$B$16=0,14='Control Tower'!$B$13),$B$18,0)+IF(AND('Control Tower'!$B$16=1,14='Control Tower'!$B$17),'Control Tower'!$B$18,0)+IF(AND('Control Tower'!$B$21=1,14='Control Tower'!$B$22),'Control Tower'!$B$23,0)-P19-P22-P25</f>
        <v/>
      </c>
      <c r="Q39" s="22">
        <f>IF(AND('Control Tower'!$B$16=0,15='Control Tower'!$B$13),$B$18,0)+IF(AND('Control Tower'!$B$16=1,15='Control Tower'!$B$17),'Control Tower'!$B$18,0)+IF(AND('Control Tower'!$B$21=1,15='Control Tower'!$B$22),'Control Tower'!$B$23,0)-Q19-Q22-Q25</f>
        <v/>
      </c>
      <c r="R39" s="22">
        <f>IF(AND('Control Tower'!$B$16=0,16='Control Tower'!$B$13),$B$18,0)+IF(AND('Control Tower'!$B$16=1,16='Control Tower'!$B$17),'Control Tower'!$B$18,0)+IF(AND('Control Tower'!$B$21=1,16='Control Tower'!$B$22),'Control Tower'!$B$23,0)-R19-R22-R25</f>
        <v/>
      </c>
      <c r="S39" s="22">
        <f>IF(AND('Control Tower'!$B$16=0,17='Control Tower'!$B$13),$B$18,0)+IF(AND('Control Tower'!$B$16=1,17='Control Tower'!$B$17),'Control Tower'!$B$18,0)+IF(AND('Control Tower'!$B$21=1,17='Control Tower'!$B$22),'Control Tower'!$B$23,0)-S19-S22-S25</f>
        <v/>
      </c>
      <c r="T39" s="22">
        <f>IF(AND('Control Tower'!$B$16=0,18='Control Tower'!$B$13),$B$18,0)+IF(AND('Control Tower'!$B$16=1,18='Control Tower'!$B$17),'Control Tower'!$B$18,0)+IF(AND('Control Tower'!$B$21=1,18='Control Tower'!$B$22),'Control Tower'!$B$23,0)-T19-T22-T25</f>
        <v/>
      </c>
      <c r="U39" s="22">
        <f>IF(AND('Control Tower'!$B$16=0,19='Control Tower'!$B$13),$B$18,0)+IF(AND('Control Tower'!$B$16=1,19='Control Tower'!$B$17),'Control Tower'!$B$18,0)+IF(AND('Control Tower'!$B$21=1,19='Control Tower'!$B$22),'Control Tower'!$B$23,0)-U19-U22-U25</f>
        <v/>
      </c>
      <c r="V39" s="22">
        <f>IF(AND('Control Tower'!$B$16=0,20='Control Tower'!$B$13),$B$18,0)+IF(AND('Control Tower'!$B$16=1,20='Control Tower'!$B$17),'Control Tower'!$B$18,0)+IF(AND('Control Tower'!$B$21=1,20='Control Tower'!$B$22),'Control Tower'!$B$23,0)-V19-V22-V25</f>
        <v/>
      </c>
      <c r="W39" s="22">
        <f>IF(AND('Control Tower'!$B$16=0,21='Control Tower'!$B$13),$B$18,0)+IF(AND('Control Tower'!$B$16=1,21='Control Tower'!$B$17),'Control Tower'!$B$18,0)+IF(AND('Control Tower'!$B$21=1,21='Control Tower'!$B$22),'Control Tower'!$B$23,0)-W19-W22-W25</f>
        <v/>
      </c>
      <c r="X39" s="22">
        <f>IF(AND('Control Tower'!$B$16=0,22='Control Tower'!$B$13),$B$18,0)+IF(AND('Control Tower'!$B$16=1,22='Control Tower'!$B$17),'Control Tower'!$B$18,0)+IF(AND('Control Tower'!$B$21=1,22='Control Tower'!$B$22),'Control Tower'!$B$23,0)-X19-X22-X25</f>
        <v/>
      </c>
      <c r="Y39" s="22">
        <f>IF(AND('Control Tower'!$B$16=0,23='Control Tower'!$B$13),$B$18,0)+IF(AND('Control Tower'!$B$16=1,23='Control Tower'!$B$17),'Control Tower'!$B$18,0)+IF(AND('Control Tower'!$B$21=1,23='Control Tower'!$B$22),'Control Tower'!$B$23,0)-Y19-Y22-Y25</f>
        <v/>
      </c>
      <c r="Z39" s="22">
        <f>IF(AND('Control Tower'!$B$16=0,24='Control Tower'!$B$13),$B$18,0)+IF(AND('Control Tower'!$B$16=1,24='Control Tower'!$B$17),'Control Tower'!$B$18,0)+IF(AND('Control Tower'!$B$21=1,24='Control Tower'!$B$22),'Control Tower'!$B$23,0)-Z19-Z22-Z25</f>
        <v/>
      </c>
      <c r="AA39" s="22">
        <f>IF(AND('Control Tower'!$B$16=0,25='Control Tower'!$B$13),$B$18,0)+IF(AND('Control Tower'!$B$16=1,25='Control Tower'!$B$17),'Control Tower'!$B$18,0)+IF(AND('Control Tower'!$B$21=1,25='Control Tower'!$B$22),'Control Tower'!$B$23,0)-AA19-AA22-AA25</f>
        <v/>
      </c>
      <c r="AB39" s="22">
        <f>IF(AND('Control Tower'!$B$16=0,26='Control Tower'!$B$13),$B$18,0)+IF(AND('Control Tower'!$B$16=1,26='Control Tower'!$B$17),'Control Tower'!$B$18,0)+IF(AND('Control Tower'!$B$21=1,26='Control Tower'!$B$22),'Control Tower'!$B$23,0)-AB19-AB22-AB25</f>
        <v/>
      </c>
      <c r="AC39" s="22">
        <f>IF(AND('Control Tower'!$B$16=0,27='Control Tower'!$B$13),$B$18,0)+IF(AND('Control Tower'!$B$16=1,27='Control Tower'!$B$17),'Control Tower'!$B$18,0)+IF(AND('Control Tower'!$B$21=1,27='Control Tower'!$B$22),'Control Tower'!$B$23,0)-AC19-AC22-AC25</f>
        <v/>
      </c>
      <c r="AD39" s="22">
        <f>IF(AND('Control Tower'!$B$16=0,28='Control Tower'!$B$13),$B$18,0)+IF(AND('Control Tower'!$B$16=1,28='Control Tower'!$B$17),'Control Tower'!$B$18,0)+IF(AND('Control Tower'!$B$21=1,28='Control Tower'!$B$22),'Control Tower'!$B$23,0)-AD19-AD22-AD25</f>
        <v/>
      </c>
      <c r="AE39" s="22">
        <f>IF(AND('Control Tower'!$B$16=0,29='Control Tower'!$B$13),$B$18,0)+IF(AND('Control Tower'!$B$16=1,29='Control Tower'!$B$17),'Control Tower'!$B$18,0)+IF(AND('Control Tower'!$B$21=1,29='Control Tower'!$B$22),'Control Tower'!$B$23,0)-AE19-AE22-AE25</f>
        <v/>
      </c>
      <c r="AF39" s="22">
        <f>IF(AND('Control Tower'!$B$16=0,30='Control Tower'!$B$13),$B$18,0)+IF(AND('Control Tower'!$B$16=1,30='Control Tower'!$B$17),'Control Tower'!$B$18,0)+IF(AND('Control Tower'!$B$21=1,30='Control Tower'!$B$22),'Control Tower'!$B$23,0)-AF19-AF22-AF25</f>
        <v/>
      </c>
      <c r="AG39" s="22">
        <f>IF(AND('Control Tower'!$B$16=0,31='Control Tower'!$B$13),$B$18,0)+IF(AND('Control Tower'!$B$16=1,31='Control Tower'!$B$17),'Control Tower'!$B$18,0)+IF(AND('Control Tower'!$B$21=1,31='Control Tower'!$B$22),'Control Tower'!$B$23,0)-AG19-AG22-AG25</f>
        <v/>
      </c>
      <c r="AH39" s="22">
        <f>IF(AND('Control Tower'!$B$16=0,32='Control Tower'!$B$13),$B$18,0)+IF(AND('Control Tower'!$B$16=1,32='Control Tower'!$B$17),'Control Tower'!$B$18,0)+IF(AND('Control Tower'!$B$21=1,32='Control Tower'!$B$22),'Control Tower'!$B$23,0)-AH19-AH22-AH25</f>
        <v/>
      </c>
      <c r="AI39" s="22">
        <f>IF(AND('Control Tower'!$B$16=0,33='Control Tower'!$B$13),$B$18,0)+IF(AND('Control Tower'!$B$16=1,33='Control Tower'!$B$17),'Control Tower'!$B$18,0)+IF(AND('Control Tower'!$B$21=1,33='Control Tower'!$B$22),'Control Tower'!$B$23,0)-AI19-AI22-AI25</f>
        <v/>
      </c>
      <c r="AJ39" s="22">
        <f>IF(AND('Control Tower'!$B$16=0,34='Control Tower'!$B$13),$B$18,0)+IF(AND('Control Tower'!$B$16=1,34='Control Tower'!$B$17),'Control Tower'!$B$18,0)+IF(AND('Control Tower'!$B$21=1,34='Control Tower'!$B$22),'Control Tower'!$B$23,0)-AJ19-AJ22-AJ25</f>
        <v/>
      </c>
      <c r="AK39" s="22">
        <f>IF(AND('Control Tower'!$B$16=0,35='Control Tower'!$B$13),$B$18,0)+IF(AND('Control Tower'!$B$16=1,35='Control Tower'!$B$17),'Control Tower'!$B$18,0)+IF(AND('Control Tower'!$B$21=1,35='Control Tower'!$B$22),'Control Tower'!$B$23,0)-AK19-AK22-AK25</f>
        <v/>
      </c>
      <c r="AL39" s="22">
        <f>IF(AND('Control Tower'!$B$16=0,36='Control Tower'!$B$13),$B$18,0)+IF(AND('Control Tower'!$B$16=1,36='Control Tower'!$B$17),'Control Tower'!$B$18,0)+IF(AND('Control Tower'!$B$21=1,36='Control Tower'!$B$22),'Control Tower'!$B$23,0)-AL19-AL22-AL25</f>
        <v/>
      </c>
    </row>
    <row r="40">
      <c r="A40" s="4" t="inlineStr">
        <is>
          <t>Revolver interest (on prior-month balance)</t>
        </is>
      </c>
      <c r="C40" s="22">
        <f>0*'Control Tower'!$B$125/12</f>
        <v/>
      </c>
      <c r="D40" s="22">
        <f>C44*'Control Tower'!$B$125/12</f>
        <v/>
      </c>
      <c r="E40" s="22">
        <f>D44*'Control Tower'!$B$125/12</f>
        <v/>
      </c>
      <c r="F40" s="22">
        <f>E44*'Control Tower'!$B$125/12</f>
        <v/>
      </c>
      <c r="G40" s="22">
        <f>F44*'Control Tower'!$B$125/12</f>
        <v/>
      </c>
      <c r="H40" s="22">
        <f>G44*'Control Tower'!$B$125/12</f>
        <v/>
      </c>
      <c r="I40" s="22">
        <f>H44*'Control Tower'!$B$125/12</f>
        <v/>
      </c>
      <c r="J40" s="22">
        <f>I44*'Control Tower'!$B$125/12</f>
        <v/>
      </c>
      <c r="K40" s="22">
        <f>J44*'Control Tower'!$B$125/12</f>
        <v/>
      </c>
      <c r="L40" s="22">
        <f>K44*'Control Tower'!$B$125/12</f>
        <v/>
      </c>
      <c r="M40" s="22">
        <f>L44*'Control Tower'!$B$125/12</f>
        <v/>
      </c>
      <c r="N40" s="22">
        <f>M44*'Control Tower'!$B$125/12</f>
        <v/>
      </c>
      <c r="O40" s="22">
        <f>N44*'Control Tower'!$B$125/12</f>
        <v/>
      </c>
      <c r="P40" s="22">
        <f>O44*'Control Tower'!$B$125/12</f>
        <v/>
      </c>
      <c r="Q40" s="22">
        <f>P44*'Control Tower'!$B$125/12</f>
        <v/>
      </c>
      <c r="R40" s="22">
        <f>Q44*'Control Tower'!$B$125/12</f>
        <v/>
      </c>
      <c r="S40" s="22">
        <f>R44*'Control Tower'!$B$125/12</f>
        <v/>
      </c>
      <c r="T40" s="22">
        <f>S44*'Control Tower'!$B$125/12</f>
        <v/>
      </c>
      <c r="U40" s="22">
        <f>T44*'Control Tower'!$B$125/12</f>
        <v/>
      </c>
      <c r="V40" s="22">
        <f>U44*'Control Tower'!$B$125/12</f>
        <v/>
      </c>
      <c r="W40" s="22">
        <f>V44*'Control Tower'!$B$125/12</f>
        <v/>
      </c>
      <c r="X40" s="22">
        <f>W44*'Control Tower'!$B$125/12</f>
        <v/>
      </c>
      <c r="Y40" s="22">
        <f>X44*'Control Tower'!$B$125/12</f>
        <v/>
      </c>
      <c r="Z40" s="22">
        <f>Y44*'Control Tower'!$B$125/12</f>
        <v/>
      </c>
      <c r="AA40" s="22">
        <f>Z44*'Control Tower'!$B$125/12</f>
        <v/>
      </c>
      <c r="AB40" s="22">
        <f>AA44*'Control Tower'!$B$125/12</f>
        <v/>
      </c>
      <c r="AC40" s="22">
        <f>AB44*'Control Tower'!$B$125/12</f>
        <v/>
      </c>
      <c r="AD40" s="22">
        <f>AC44*'Control Tower'!$B$125/12</f>
        <v/>
      </c>
      <c r="AE40" s="22">
        <f>AD44*'Control Tower'!$B$125/12</f>
        <v/>
      </c>
      <c r="AF40" s="22">
        <f>AE44*'Control Tower'!$B$125/12</f>
        <v/>
      </c>
      <c r="AG40" s="22">
        <f>AF44*'Control Tower'!$B$125/12</f>
        <v/>
      </c>
      <c r="AH40" s="22">
        <f>AG44*'Control Tower'!$B$125/12</f>
        <v/>
      </c>
      <c r="AI40" s="22">
        <f>AH44*'Control Tower'!$B$125/12</f>
        <v/>
      </c>
      <c r="AJ40" s="22">
        <f>AI44*'Control Tower'!$B$125/12</f>
        <v/>
      </c>
      <c r="AK40" s="22">
        <f>AJ44*'Control Tower'!$B$125/12</f>
        <v/>
      </c>
      <c r="AL40" s="22">
        <f>AK44*'Control Tower'!$B$125/12</f>
        <v/>
      </c>
    </row>
    <row r="41">
      <c r="A41" s="4" t="inlineStr">
        <is>
          <t>Cash before revolver</t>
        </is>
      </c>
      <c r="C41" s="22">
        <f>'Control Tower'!$B$5-'Control Tower'!$B$6+C33+C34+C35+C36+C37+C38+C39-C40</f>
        <v/>
      </c>
      <c r="D41" s="22">
        <f>C45+D33+D34+D35+D36+D37+D38+D39-D40</f>
        <v/>
      </c>
      <c r="E41" s="22">
        <f>D45+E33+E34+E35+E36+E37+E38+E39-E40</f>
        <v/>
      </c>
      <c r="F41" s="22">
        <f>E45+F33+F34+F35+F36+F37+F38+F39-F40</f>
        <v/>
      </c>
      <c r="G41" s="22">
        <f>F45+G33+G34+G35+G36+G37+G38+G39-G40</f>
        <v/>
      </c>
      <c r="H41" s="22">
        <f>G45+H33+H34+H35+H36+H37+H38+H39-H40</f>
        <v/>
      </c>
      <c r="I41" s="22">
        <f>H45+I33+I34+I35+I36+I37+I38+I39-I40</f>
        <v/>
      </c>
      <c r="J41" s="22">
        <f>I45+J33+J34+J35+J36+J37+J38+J39-J40</f>
        <v/>
      </c>
      <c r="K41" s="22">
        <f>J45+K33+K34+K35+K36+K37+K38+K39-K40</f>
        <v/>
      </c>
      <c r="L41" s="22">
        <f>K45+L33+L34+L35+L36+L37+L38+L39-L40</f>
        <v/>
      </c>
      <c r="M41" s="22">
        <f>L45+M33+M34+M35+M36+M37+M38+M39-M40</f>
        <v/>
      </c>
      <c r="N41" s="22">
        <f>M45+N33+N34+N35+N36+N37+N38+N39-N40</f>
        <v/>
      </c>
      <c r="O41" s="22">
        <f>N45+O33+O34+O35+O36+O37+O38+O39-O40</f>
        <v/>
      </c>
      <c r="P41" s="22">
        <f>O45+P33+P34+P35+P36+P37+P38+P39-P40</f>
        <v/>
      </c>
      <c r="Q41" s="22">
        <f>P45+Q33+Q34+Q35+Q36+Q37+Q38+Q39-Q40</f>
        <v/>
      </c>
      <c r="R41" s="22">
        <f>Q45+R33+R34+R35+R36+R37+R38+R39-R40</f>
        <v/>
      </c>
      <c r="S41" s="22">
        <f>R45+S33+S34+S35+S36+S37+S38+S39-S40</f>
        <v/>
      </c>
      <c r="T41" s="22">
        <f>S45+T33+T34+T35+T36+T37+T38+T39-T40</f>
        <v/>
      </c>
      <c r="U41" s="22">
        <f>T45+U33+U34+U35+U36+U37+U38+U39-U40</f>
        <v/>
      </c>
      <c r="V41" s="22">
        <f>U45+V33+V34+V35+V36+V37+V38+V39-V40</f>
        <v/>
      </c>
      <c r="W41" s="22">
        <f>V45+W33+W34+W35+W36+W37+W38+W39-W40</f>
        <v/>
      </c>
      <c r="X41" s="22">
        <f>W45+X33+X34+X35+X36+X37+X38+X39-X40</f>
        <v/>
      </c>
      <c r="Y41" s="22">
        <f>X45+Y33+Y34+Y35+Y36+Y37+Y38+Y39-Y40</f>
        <v/>
      </c>
      <c r="Z41" s="22">
        <f>Y45+Z33+Z34+Z35+Z36+Z37+Z38+Z39-Z40</f>
        <v/>
      </c>
      <c r="AA41" s="22">
        <f>Z45+AA33+AA34+AA35+AA36+AA37+AA38+AA39-AA40</f>
        <v/>
      </c>
      <c r="AB41" s="22">
        <f>AA45+AB33+AB34+AB35+AB36+AB37+AB38+AB39-AB40</f>
        <v/>
      </c>
      <c r="AC41" s="22">
        <f>AB45+AC33+AC34+AC35+AC36+AC37+AC38+AC39-AC40</f>
        <v/>
      </c>
      <c r="AD41" s="22">
        <f>AC45+AD33+AD34+AD35+AD36+AD37+AD38+AD39-AD40</f>
        <v/>
      </c>
      <c r="AE41" s="22">
        <f>AD45+AE33+AE34+AE35+AE36+AE37+AE38+AE39-AE40</f>
        <v/>
      </c>
      <c r="AF41" s="22">
        <f>AE45+AF33+AF34+AF35+AF36+AF37+AF38+AF39-AF40</f>
        <v/>
      </c>
      <c r="AG41" s="22">
        <f>AF45+AG33+AG34+AG35+AG36+AG37+AG38+AG39-AG40</f>
        <v/>
      </c>
      <c r="AH41" s="22">
        <f>AG45+AH33+AH34+AH35+AH36+AH37+AH38+AH39-AH40</f>
        <v/>
      </c>
      <c r="AI41" s="22">
        <f>AH45+AI33+AI34+AI35+AI36+AI37+AI38+AI39-AI40</f>
        <v/>
      </c>
      <c r="AJ41" s="22">
        <f>AI45+AJ33+AJ34+AJ35+AJ36+AJ37+AJ38+AJ39-AJ40</f>
        <v/>
      </c>
      <c r="AK41" s="22">
        <f>AJ45+AK33+AK34+AK35+AK36+AK37+AK38+AK39-AK40</f>
        <v/>
      </c>
      <c r="AL41" s="22">
        <f>AK45+AL33+AL34+AL35+AL36+AL37+AL38+AL39-AL40</f>
        <v/>
      </c>
    </row>
    <row r="42">
      <c r="A42" s="4" t="inlineStr">
        <is>
          <t>Revolver draw (to hold minimum cash)</t>
        </is>
      </c>
      <c r="C42" s="22">
        <f>MIN(MAX(0,'Control Tower'!$B$123-C41),'Control Tower'!$B$124-0)</f>
        <v/>
      </c>
      <c r="D42" s="22">
        <f>MIN(MAX(0,'Control Tower'!$B$123-D41),'Control Tower'!$B$124-C44)</f>
        <v/>
      </c>
      <c r="E42" s="22">
        <f>MIN(MAX(0,'Control Tower'!$B$123-E41),'Control Tower'!$B$124-D44)</f>
        <v/>
      </c>
      <c r="F42" s="22">
        <f>MIN(MAX(0,'Control Tower'!$B$123-F41),'Control Tower'!$B$124-E44)</f>
        <v/>
      </c>
      <c r="G42" s="22">
        <f>MIN(MAX(0,'Control Tower'!$B$123-G41),'Control Tower'!$B$124-F44)</f>
        <v/>
      </c>
      <c r="H42" s="22">
        <f>MIN(MAX(0,'Control Tower'!$B$123-H41),'Control Tower'!$B$124-G44)</f>
        <v/>
      </c>
      <c r="I42" s="22">
        <f>MIN(MAX(0,'Control Tower'!$B$123-I41),'Control Tower'!$B$124-H44)</f>
        <v/>
      </c>
      <c r="J42" s="22">
        <f>MIN(MAX(0,'Control Tower'!$B$123-J41),'Control Tower'!$B$124-I44)</f>
        <v/>
      </c>
      <c r="K42" s="22">
        <f>MIN(MAX(0,'Control Tower'!$B$123-K41),'Control Tower'!$B$124-J44)</f>
        <v/>
      </c>
      <c r="L42" s="22">
        <f>MIN(MAX(0,'Control Tower'!$B$123-L41),'Control Tower'!$B$124-K44)</f>
        <v/>
      </c>
      <c r="M42" s="22">
        <f>MIN(MAX(0,'Control Tower'!$B$123-M41),'Control Tower'!$B$124-L44)</f>
        <v/>
      </c>
      <c r="N42" s="22">
        <f>MIN(MAX(0,'Control Tower'!$B$123-N41),'Control Tower'!$B$124-M44)</f>
        <v/>
      </c>
      <c r="O42" s="22">
        <f>MIN(MAX(0,'Control Tower'!$B$123-O41),'Control Tower'!$B$124-N44)</f>
        <v/>
      </c>
      <c r="P42" s="22">
        <f>MIN(MAX(0,'Control Tower'!$B$123-P41),'Control Tower'!$B$124-O44)</f>
        <v/>
      </c>
      <c r="Q42" s="22">
        <f>MIN(MAX(0,'Control Tower'!$B$123-Q41),'Control Tower'!$B$124-P44)</f>
        <v/>
      </c>
      <c r="R42" s="22">
        <f>MIN(MAX(0,'Control Tower'!$B$123-R41),'Control Tower'!$B$124-Q44)</f>
        <v/>
      </c>
      <c r="S42" s="22">
        <f>MIN(MAX(0,'Control Tower'!$B$123-S41),'Control Tower'!$B$124-R44)</f>
        <v/>
      </c>
      <c r="T42" s="22">
        <f>MIN(MAX(0,'Control Tower'!$B$123-T41),'Control Tower'!$B$124-S44)</f>
        <v/>
      </c>
      <c r="U42" s="22">
        <f>MIN(MAX(0,'Control Tower'!$B$123-U41),'Control Tower'!$B$124-T44)</f>
        <v/>
      </c>
      <c r="V42" s="22">
        <f>MIN(MAX(0,'Control Tower'!$B$123-V41),'Control Tower'!$B$124-U44)</f>
        <v/>
      </c>
      <c r="W42" s="22">
        <f>MIN(MAX(0,'Control Tower'!$B$123-W41),'Control Tower'!$B$124-V44)</f>
        <v/>
      </c>
      <c r="X42" s="22">
        <f>MIN(MAX(0,'Control Tower'!$B$123-X41),'Control Tower'!$B$124-W44)</f>
        <v/>
      </c>
      <c r="Y42" s="22">
        <f>MIN(MAX(0,'Control Tower'!$B$123-Y41),'Control Tower'!$B$124-X44)</f>
        <v/>
      </c>
      <c r="Z42" s="22">
        <f>MIN(MAX(0,'Control Tower'!$B$123-Z41),'Control Tower'!$B$124-Y44)</f>
        <v/>
      </c>
      <c r="AA42" s="22">
        <f>MIN(MAX(0,'Control Tower'!$B$123-AA41),'Control Tower'!$B$124-Z44)</f>
        <v/>
      </c>
      <c r="AB42" s="22">
        <f>MIN(MAX(0,'Control Tower'!$B$123-AB41),'Control Tower'!$B$124-AA44)</f>
        <v/>
      </c>
      <c r="AC42" s="22">
        <f>MIN(MAX(0,'Control Tower'!$B$123-AC41),'Control Tower'!$B$124-AB44)</f>
        <v/>
      </c>
      <c r="AD42" s="22">
        <f>MIN(MAX(0,'Control Tower'!$B$123-AD41),'Control Tower'!$B$124-AC44)</f>
        <v/>
      </c>
      <c r="AE42" s="22">
        <f>MIN(MAX(0,'Control Tower'!$B$123-AE41),'Control Tower'!$B$124-AD44)</f>
        <v/>
      </c>
      <c r="AF42" s="22">
        <f>MIN(MAX(0,'Control Tower'!$B$123-AF41),'Control Tower'!$B$124-AE44)</f>
        <v/>
      </c>
      <c r="AG42" s="22">
        <f>MIN(MAX(0,'Control Tower'!$B$123-AG41),'Control Tower'!$B$124-AF44)</f>
        <v/>
      </c>
      <c r="AH42" s="22">
        <f>MIN(MAX(0,'Control Tower'!$B$123-AH41),'Control Tower'!$B$124-AG44)</f>
        <v/>
      </c>
      <c r="AI42" s="22">
        <f>MIN(MAX(0,'Control Tower'!$B$123-AI41),'Control Tower'!$B$124-AH44)</f>
        <v/>
      </c>
      <c r="AJ42" s="22">
        <f>MIN(MAX(0,'Control Tower'!$B$123-AJ41),'Control Tower'!$B$124-AI44)</f>
        <v/>
      </c>
      <c r="AK42" s="22">
        <f>MIN(MAX(0,'Control Tower'!$B$123-AK41),'Control Tower'!$B$124-AJ44)</f>
        <v/>
      </c>
      <c r="AL42" s="22">
        <f>MIN(MAX(0,'Control Tower'!$B$123-AL41),'Control Tower'!$B$124-AK44)</f>
        <v/>
      </c>
    </row>
    <row r="43">
      <c r="A43" s="4" t="inlineStr">
        <is>
          <t>Revolver repayment (surplus above minimum cash)</t>
        </is>
      </c>
      <c r="C43" s="22">
        <f>MIN(0,MAX(0,C41-'Control Tower'!$B$123))</f>
        <v/>
      </c>
      <c r="D43" s="22">
        <f>MIN(C44,MAX(0,D41-'Control Tower'!$B$123))</f>
        <v/>
      </c>
      <c r="E43" s="22">
        <f>MIN(D44,MAX(0,E41-'Control Tower'!$B$123))</f>
        <v/>
      </c>
      <c r="F43" s="22">
        <f>MIN(E44,MAX(0,F41-'Control Tower'!$B$123))</f>
        <v/>
      </c>
      <c r="G43" s="22">
        <f>MIN(F44,MAX(0,G41-'Control Tower'!$B$123))</f>
        <v/>
      </c>
      <c r="H43" s="22">
        <f>MIN(G44,MAX(0,H41-'Control Tower'!$B$123))</f>
        <v/>
      </c>
      <c r="I43" s="22">
        <f>MIN(H44,MAX(0,I41-'Control Tower'!$B$123))</f>
        <v/>
      </c>
      <c r="J43" s="22">
        <f>MIN(I44,MAX(0,J41-'Control Tower'!$B$123))</f>
        <v/>
      </c>
      <c r="K43" s="22">
        <f>MIN(J44,MAX(0,K41-'Control Tower'!$B$123))</f>
        <v/>
      </c>
      <c r="L43" s="22">
        <f>MIN(K44,MAX(0,L41-'Control Tower'!$B$123))</f>
        <v/>
      </c>
      <c r="M43" s="22">
        <f>MIN(L44,MAX(0,M41-'Control Tower'!$B$123))</f>
        <v/>
      </c>
      <c r="N43" s="22">
        <f>MIN(M44,MAX(0,N41-'Control Tower'!$B$123))</f>
        <v/>
      </c>
      <c r="O43" s="22">
        <f>MIN(N44,MAX(0,O41-'Control Tower'!$B$123))</f>
        <v/>
      </c>
      <c r="P43" s="22">
        <f>MIN(O44,MAX(0,P41-'Control Tower'!$B$123))</f>
        <v/>
      </c>
      <c r="Q43" s="22">
        <f>MIN(P44,MAX(0,Q41-'Control Tower'!$B$123))</f>
        <v/>
      </c>
      <c r="R43" s="22">
        <f>MIN(Q44,MAX(0,R41-'Control Tower'!$B$123))</f>
        <v/>
      </c>
      <c r="S43" s="22">
        <f>MIN(R44,MAX(0,S41-'Control Tower'!$B$123))</f>
        <v/>
      </c>
      <c r="T43" s="22">
        <f>MIN(S44,MAX(0,T41-'Control Tower'!$B$123))</f>
        <v/>
      </c>
      <c r="U43" s="22">
        <f>MIN(T44,MAX(0,U41-'Control Tower'!$B$123))</f>
        <v/>
      </c>
      <c r="V43" s="22">
        <f>MIN(U44,MAX(0,V41-'Control Tower'!$B$123))</f>
        <v/>
      </c>
      <c r="W43" s="22">
        <f>MIN(V44,MAX(0,W41-'Control Tower'!$B$123))</f>
        <v/>
      </c>
      <c r="X43" s="22">
        <f>MIN(W44,MAX(0,X41-'Control Tower'!$B$123))</f>
        <v/>
      </c>
      <c r="Y43" s="22">
        <f>MIN(X44,MAX(0,Y41-'Control Tower'!$B$123))</f>
        <v/>
      </c>
      <c r="Z43" s="22">
        <f>MIN(Y44,MAX(0,Z41-'Control Tower'!$B$123))</f>
        <v/>
      </c>
      <c r="AA43" s="22">
        <f>MIN(Z44,MAX(0,AA41-'Control Tower'!$B$123))</f>
        <v/>
      </c>
      <c r="AB43" s="22">
        <f>MIN(AA44,MAX(0,AB41-'Control Tower'!$B$123))</f>
        <v/>
      </c>
      <c r="AC43" s="22">
        <f>MIN(AB44,MAX(0,AC41-'Control Tower'!$B$123))</f>
        <v/>
      </c>
      <c r="AD43" s="22">
        <f>MIN(AC44,MAX(0,AD41-'Control Tower'!$B$123))</f>
        <v/>
      </c>
      <c r="AE43" s="22">
        <f>MIN(AD44,MAX(0,AE41-'Control Tower'!$B$123))</f>
        <v/>
      </c>
      <c r="AF43" s="22">
        <f>MIN(AE44,MAX(0,AF41-'Control Tower'!$B$123))</f>
        <v/>
      </c>
      <c r="AG43" s="22">
        <f>MIN(AF44,MAX(0,AG41-'Control Tower'!$B$123))</f>
        <v/>
      </c>
      <c r="AH43" s="22">
        <f>MIN(AG44,MAX(0,AH41-'Control Tower'!$B$123))</f>
        <v/>
      </c>
      <c r="AI43" s="22">
        <f>MIN(AH44,MAX(0,AI41-'Control Tower'!$B$123))</f>
        <v/>
      </c>
      <c r="AJ43" s="22">
        <f>MIN(AI44,MAX(0,AJ41-'Control Tower'!$B$123))</f>
        <v/>
      </c>
      <c r="AK43" s="22">
        <f>MIN(AJ44,MAX(0,AK41-'Control Tower'!$B$123))</f>
        <v/>
      </c>
      <c r="AL43" s="22">
        <f>MIN(AK44,MAX(0,AL41-'Control Tower'!$B$123))</f>
        <v/>
      </c>
    </row>
    <row r="44">
      <c r="A44" s="4" t="inlineStr">
        <is>
          <t>Revolver balance (end)</t>
        </is>
      </c>
      <c r="C44" s="22">
        <f>0+C42-C43</f>
        <v/>
      </c>
      <c r="D44" s="22">
        <f>C44+D42-D43</f>
        <v/>
      </c>
      <c r="E44" s="22">
        <f>D44+E42-E43</f>
        <v/>
      </c>
      <c r="F44" s="22">
        <f>E44+F42-F43</f>
        <v/>
      </c>
      <c r="G44" s="22">
        <f>F44+G42-G43</f>
        <v/>
      </c>
      <c r="H44" s="22">
        <f>G44+H42-H43</f>
        <v/>
      </c>
      <c r="I44" s="22">
        <f>H44+I42-I43</f>
        <v/>
      </c>
      <c r="J44" s="22">
        <f>I44+J42-J43</f>
        <v/>
      </c>
      <c r="K44" s="22">
        <f>J44+K42-K43</f>
        <v/>
      </c>
      <c r="L44" s="22">
        <f>K44+L42-L43</f>
        <v/>
      </c>
      <c r="M44" s="22">
        <f>L44+M42-M43</f>
        <v/>
      </c>
      <c r="N44" s="22">
        <f>M44+N42-N43</f>
        <v/>
      </c>
      <c r="O44" s="22">
        <f>N44+O42-O43</f>
        <v/>
      </c>
      <c r="P44" s="22">
        <f>O44+P42-P43</f>
        <v/>
      </c>
      <c r="Q44" s="22">
        <f>P44+Q42-Q43</f>
        <v/>
      </c>
      <c r="R44" s="22">
        <f>Q44+R42-R43</f>
        <v/>
      </c>
      <c r="S44" s="22">
        <f>R44+S42-S43</f>
        <v/>
      </c>
      <c r="T44" s="22">
        <f>S44+T42-T43</f>
        <v/>
      </c>
      <c r="U44" s="22">
        <f>T44+U42-U43</f>
        <v/>
      </c>
      <c r="V44" s="22">
        <f>U44+V42-V43</f>
        <v/>
      </c>
      <c r="W44" s="22">
        <f>V44+W42-W43</f>
        <v/>
      </c>
      <c r="X44" s="22">
        <f>W44+X42-X43</f>
        <v/>
      </c>
      <c r="Y44" s="22">
        <f>X44+Y42-Y43</f>
        <v/>
      </c>
      <c r="Z44" s="22">
        <f>Y44+Z42-Z43</f>
        <v/>
      </c>
      <c r="AA44" s="22">
        <f>Z44+AA42-AA43</f>
        <v/>
      </c>
      <c r="AB44" s="22">
        <f>AA44+AB42-AB43</f>
        <v/>
      </c>
      <c r="AC44" s="22">
        <f>AB44+AC42-AC43</f>
        <v/>
      </c>
      <c r="AD44" s="22">
        <f>AC44+AD42-AD43</f>
        <v/>
      </c>
      <c r="AE44" s="22">
        <f>AD44+AE42-AE43</f>
        <v/>
      </c>
      <c r="AF44" s="22">
        <f>AE44+AF42-AF43</f>
        <v/>
      </c>
      <c r="AG44" s="22">
        <f>AF44+AG42-AG43</f>
        <v/>
      </c>
      <c r="AH44" s="22">
        <f>AG44+AH42-AH43</f>
        <v/>
      </c>
      <c r="AI44" s="22">
        <f>AH44+AI42-AI43</f>
        <v/>
      </c>
      <c r="AJ44" s="22">
        <f>AI44+AJ42-AJ43</f>
        <v/>
      </c>
      <c r="AK44" s="22">
        <f>AJ44+AK42-AK43</f>
        <v/>
      </c>
      <c r="AL44" s="22">
        <f>AK44+AL42-AL43</f>
        <v/>
      </c>
    </row>
    <row r="45">
      <c r="A45" s="10" t="inlineStr">
        <is>
          <t>ENDING CASH</t>
        </is>
      </c>
      <c r="C45" s="24">
        <f>C41+C42-C43</f>
        <v/>
      </c>
      <c r="D45" s="24">
        <f>D41+D42-D43</f>
        <v/>
      </c>
      <c r="E45" s="24">
        <f>E41+E42-E43</f>
        <v/>
      </c>
      <c r="F45" s="24">
        <f>F41+F42-F43</f>
        <v/>
      </c>
      <c r="G45" s="24">
        <f>G41+G42-G43</f>
        <v/>
      </c>
      <c r="H45" s="24">
        <f>H41+H42-H43</f>
        <v/>
      </c>
      <c r="I45" s="24">
        <f>I41+I42-I43</f>
        <v/>
      </c>
      <c r="J45" s="24">
        <f>J41+J42-J43</f>
        <v/>
      </c>
      <c r="K45" s="24">
        <f>K41+K42-K43</f>
        <v/>
      </c>
      <c r="L45" s="24">
        <f>L41+L42-L43</f>
        <v/>
      </c>
      <c r="M45" s="24">
        <f>M41+M42-M43</f>
        <v/>
      </c>
      <c r="N45" s="24">
        <f>N41+N42-N43</f>
        <v/>
      </c>
      <c r="O45" s="24">
        <f>O41+O42-O43</f>
        <v/>
      </c>
      <c r="P45" s="24">
        <f>P41+P42-P43</f>
        <v/>
      </c>
      <c r="Q45" s="24">
        <f>Q41+Q42-Q43</f>
        <v/>
      </c>
      <c r="R45" s="24">
        <f>R41+R42-R43</f>
        <v/>
      </c>
      <c r="S45" s="24">
        <f>S41+S42-S43</f>
        <v/>
      </c>
      <c r="T45" s="24">
        <f>T41+T42-T43</f>
        <v/>
      </c>
      <c r="U45" s="24">
        <f>U41+U42-U43</f>
        <v/>
      </c>
      <c r="V45" s="24">
        <f>V41+V42-V43</f>
        <v/>
      </c>
      <c r="W45" s="24">
        <f>W41+W42-W43</f>
        <v/>
      </c>
      <c r="X45" s="24">
        <f>X41+X42-X43</f>
        <v/>
      </c>
      <c r="Y45" s="24">
        <f>Y41+Y42-Y43</f>
        <v/>
      </c>
      <c r="Z45" s="24">
        <f>Z41+Z42-Z43</f>
        <v/>
      </c>
      <c r="AA45" s="24">
        <f>AA41+AA42-AA43</f>
        <v/>
      </c>
      <c r="AB45" s="24">
        <f>AB41+AB42-AB43</f>
        <v/>
      </c>
      <c r="AC45" s="24">
        <f>AC41+AC42-AC43</f>
        <v/>
      </c>
      <c r="AD45" s="24">
        <f>AD41+AD42-AD43</f>
        <v/>
      </c>
      <c r="AE45" s="24">
        <f>AE41+AE42-AE43</f>
        <v/>
      </c>
      <c r="AF45" s="24">
        <f>AF41+AF42-AF43</f>
        <v/>
      </c>
      <c r="AG45" s="24">
        <f>AG41+AG42-AG43</f>
        <v/>
      </c>
      <c r="AH45" s="24">
        <f>AH41+AH42-AH43</f>
        <v/>
      </c>
      <c r="AI45" s="24">
        <f>AI41+AI42-AI43</f>
        <v/>
      </c>
      <c r="AJ45" s="24">
        <f>AJ41+AJ42-AJ43</f>
        <v/>
      </c>
      <c r="AK45" s="24">
        <f>AK41+AK42-AK43</f>
        <v/>
      </c>
      <c r="AL45" s="24">
        <f>AL41+AL42-AL43</f>
        <v/>
      </c>
    </row>
    <row r="46">
      <c r="A46" s="4" t="inlineStr">
        <is>
          <t>DSCR (EBITDA / recurring debt service)</t>
        </is>
      </c>
      <c r="C46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6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6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6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6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6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6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6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6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6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6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6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6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6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6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6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6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6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6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6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6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6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6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6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6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6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6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6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6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6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6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6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6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6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6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6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7">
      <c r="A47" s="10" t="inlineStr">
        <is>
          <t>Minimum cash (36 months)</t>
        </is>
      </c>
      <c r="B47" s="23">
        <f>MIN(C45:AL45)</f>
        <v/>
      </c>
    </row>
  </sheetData>
  <mergeCells count="7">
    <mergeCell ref="A17:N17"/>
    <mergeCell ref="A6:N6"/>
    <mergeCell ref="A2:N2"/>
    <mergeCell ref="A11:N11"/>
    <mergeCell ref="A28:N28"/>
    <mergeCell ref="A32:N32"/>
    <mergeCell ref="A1:N1"/>
  </mergeCells>
  <conditionalFormatting sqref="C45:AL45">
    <cfRule type="cellIs" priority="1" operator="lessThan" dxfId="0">
      <formula>'Control Tower'!$B$123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F7F7F"/>
    <outlinePr summaryBelow="1" summaryRight="1"/>
    <pageSetUpPr/>
  </sheetPr>
  <dimension ref="A1:AL2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no plug cells; the check row must be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Runway'!C45</f>
        <v/>
      </c>
      <c r="D6" s="22">
        <f>'Cash Flow &amp; Runway'!D45</f>
        <v/>
      </c>
      <c r="E6" s="22">
        <f>'Cash Flow &amp; Runway'!E45</f>
        <v/>
      </c>
      <c r="F6" s="22">
        <f>'Cash Flow &amp; Runway'!F45</f>
        <v/>
      </c>
      <c r="G6" s="22">
        <f>'Cash Flow &amp; Runway'!G45</f>
        <v/>
      </c>
      <c r="H6" s="22">
        <f>'Cash Flow &amp; Runway'!H45</f>
        <v/>
      </c>
      <c r="I6" s="22">
        <f>'Cash Flow &amp; Runway'!I45</f>
        <v/>
      </c>
      <c r="J6" s="22">
        <f>'Cash Flow &amp; Runway'!J45</f>
        <v/>
      </c>
      <c r="K6" s="22">
        <f>'Cash Flow &amp; Runway'!K45</f>
        <v/>
      </c>
      <c r="L6" s="22">
        <f>'Cash Flow &amp; Runway'!L45</f>
        <v/>
      </c>
      <c r="M6" s="22">
        <f>'Cash Flow &amp; Runway'!M45</f>
        <v/>
      </c>
      <c r="N6" s="22">
        <f>'Cash Flow &amp; Runway'!N45</f>
        <v/>
      </c>
      <c r="O6" s="22">
        <f>'Cash Flow &amp; Runway'!O45</f>
        <v/>
      </c>
      <c r="P6" s="22">
        <f>'Cash Flow &amp; Runway'!P45</f>
        <v/>
      </c>
      <c r="Q6" s="22">
        <f>'Cash Flow &amp; Runway'!Q45</f>
        <v/>
      </c>
      <c r="R6" s="22">
        <f>'Cash Flow &amp; Runway'!R45</f>
        <v/>
      </c>
      <c r="S6" s="22">
        <f>'Cash Flow &amp; Runway'!S45</f>
        <v/>
      </c>
      <c r="T6" s="22">
        <f>'Cash Flow &amp; Runway'!T45</f>
        <v/>
      </c>
      <c r="U6" s="22">
        <f>'Cash Flow &amp; Runway'!U45</f>
        <v/>
      </c>
      <c r="V6" s="22">
        <f>'Cash Flow &amp; Runway'!V45</f>
        <v/>
      </c>
      <c r="W6" s="22">
        <f>'Cash Flow &amp; Runway'!W45</f>
        <v/>
      </c>
      <c r="X6" s="22">
        <f>'Cash Flow &amp; Runway'!X45</f>
        <v/>
      </c>
      <c r="Y6" s="22">
        <f>'Cash Flow &amp; Runway'!Y45</f>
        <v/>
      </c>
      <c r="Z6" s="22">
        <f>'Cash Flow &amp; Runway'!Z45</f>
        <v/>
      </c>
      <c r="AA6" s="22">
        <f>'Cash Flow &amp; Runway'!AA45</f>
        <v/>
      </c>
      <c r="AB6" s="22">
        <f>'Cash Flow &amp; Runway'!AB45</f>
        <v/>
      </c>
      <c r="AC6" s="22">
        <f>'Cash Flow &amp; Runway'!AC45</f>
        <v/>
      </c>
      <c r="AD6" s="22">
        <f>'Cash Flow &amp; Runway'!AD45</f>
        <v/>
      </c>
      <c r="AE6" s="22">
        <f>'Cash Flow &amp; Runway'!AE45</f>
        <v/>
      </c>
      <c r="AF6" s="22">
        <f>'Cash Flow &amp; Runway'!AF45</f>
        <v/>
      </c>
      <c r="AG6" s="22">
        <f>'Cash Flow &amp; Runway'!AG45</f>
        <v/>
      </c>
      <c r="AH6" s="22">
        <f>'Cash Flow &amp; Runway'!AH45</f>
        <v/>
      </c>
      <c r="AI6" s="22">
        <f>'Cash Flow &amp; Runway'!AI45</f>
        <v/>
      </c>
      <c r="AJ6" s="22">
        <f>'Cash Flow &amp; Runway'!AJ45</f>
        <v/>
      </c>
      <c r="AK6" s="22">
        <f>'Cash Flow &amp; Runway'!AK45</f>
        <v/>
      </c>
      <c r="AL6" s="22">
        <f>'Cash Flow &amp; Runway'!AL45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Full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Revolver payable</t>
        </is>
      </c>
      <c r="C16" s="22">
        <f>'Cash Flow &amp; Runway'!C44</f>
        <v/>
      </c>
      <c r="D16" s="22">
        <f>'Cash Flow &amp; Runway'!D44</f>
        <v/>
      </c>
      <c r="E16" s="22">
        <f>'Cash Flow &amp; Runway'!E44</f>
        <v/>
      </c>
      <c r="F16" s="22">
        <f>'Cash Flow &amp; Runway'!F44</f>
        <v/>
      </c>
      <c r="G16" s="22">
        <f>'Cash Flow &amp; Runway'!G44</f>
        <v/>
      </c>
      <c r="H16" s="22">
        <f>'Cash Flow &amp; Runway'!H44</f>
        <v/>
      </c>
      <c r="I16" s="22">
        <f>'Cash Flow &amp; Runway'!I44</f>
        <v/>
      </c>
      <c r="J16" s="22">
        <f>'Cash Flow &amp; Runway'!J44</f>
        <v/>
      </c>
      <c r="K16" s="22">
        <f>'Cash Flow &amp; Runway'!K44</f>
        <v/>
      </c>
      <c r="L16" s="22">
        <f>'Cash Flow &amp; Runway'!L44</f>
        <v/>
      </c>
      <c r="M16" s="22">
        <f>'Cash Flow &amp; Runway'!M44</f>
        <v/>
      </c>
      <c r="N16" s="22">
        <f>'Cash Flow &amp; Runway'!N44</f>
        <v/>
      </c>
      <c r="O16" s="22">
        <f>'Cash Flow &amp; Runway'!O44</f>
        <v/>
      </c>
      <c r="P16" s="22">
        <f>'Cash Flow &amp; Runway'!P44</f>
        <v/>
      </c>
      <c r="Q16" s="22">
        <f>'Cash Flow &amp; Runway'!Q44</f>
        <v/>
      </c>
      <c r="R16" s="22">
        <f>'Cash Flow &amp; Runway'!R44</f>
        <v/>
      </c>
      <c r="S16" s="22">
        <f>'Cash Flow &amp; Runway'!S44</f>
        <v/>
      </c>
      <c r="T16" s="22">
        <f>'Cash Flow &amp; Runway'!T44</f>
        <v/>
      </c>
      <c r="U16" s="22">
        <f>'Cash Flow &amp; Runway'!U44</f>
        <v/>
      </c>
      <c r="V16" s="22">
        <f>'Cash Flow &amp; Runway'!V44</f>
        <v/>
      </c>
      <c r="W16" s="22">
        <f>'Cash Flow &amp; Runway'!W44</f>
        <v/>
      </c>
      <c r="X16" s="22">
        <f>'Cash Flow &amp; Runway'!X44</f>
        <v/>
      </c>
      <c r="Y16" s="22">
        <f>'Cash Flow &amp; Runway'!Y44</f>
        <v/>
      </c>
      <c r="Z16" s="22">
        <f>'Cash Flow &amp; Runway'!Z44</f>
        <v/>
      </c>
      <c r="AA16" s="22">
        <f>'Cash Flow &amp; Runway'!AA44</f>
        <v/>
      </c>
      <c r="AB16" s="22">
        <f>'Cash Flow &amp; Runway'!AB44</f>
        <v/>
      </c>
      <c r="AC16" s="22">
        <f>'Cash Flow &amp; Runway'!AC44</f>
        <v/>
      </c>
      <c r="AD16" s="22">
        <f>'Cash Flow &amp; Runway'!AD44</f>
        <v/>
      </c>
      <c r="AE16" s="22">
        <f>'Cash Flow &amp; Runway'!AE44</f>
        <v/>
      </c>
      <c r="AF16" s="22">
        <f>'Cash Flow &amp; Runway'!AF44</f>
        <v/>
      </c>
      <c r="AG16" s="22">
        <f>'Cash Flow &amp; Runway'!AG44</f>
        <v/>
      </c>
      <c r="AH16" s="22">
        <f>'Cash Flow &amp; Runway'!AH44</f>
        <v/>
      </c>
      <c r="AI16" s="22">
        <f>'Cash Flow &amp; Runway'!AI44</f>
        <v/>
      </c>
      <c r="AJ16" s="22">
        <f>'Cash Flow &amp; Runway'!AJ44</f>
        <v/>
      </c>
      <c r="AK16" s="22">
        <f>'Cash Flow &amp; Runway'!AK44</f>
        <v/>
      </c>
      <c r="AL16" s="22">
        <f>'Cash Flow &amp; Runway'!AL44</f>
        <v/>
      </c>
    </row>
    <row r="17">
      <c r="A17" s="10" t="inlineStr">
        <is>
          <t>TOTAL LIABILITIES</t>
        </is>
      </c>
      <c r="C17" s="23">
        <f>C11+C12+C13+C14+C15+C16</f>
        <v/>
      </c>
      <c r="D17" s="23">
        <f>D11+D12+D13+D14+D15+D16</f>
        <v/>
      </c>
      <c r="E17" s="23">
        <f>E11+E12+E13+E14+E15+E16</f>
        <v/>
      </c>
      <c r="F17" s="23">
        <f>F11+F12+F13+F14+F15+F16</f>
        <v/>
      </c>
      <c r="G17" s="23">
        <f>G11+G12+G13+G14+G15+G16</f>
        <v/>
      </c>
      <c r="H17" s="23">
        <f>H11+H12+H13+H14+H15+H16</f>
        <v/>
      </c>
      <c r="I17" s="23">
        <f>I11+I12+I13+I14+I15+I16</f>
        <v/>
      </c>
      <c r="J17" s="23">
        <f>J11+J12+J13+J14+J15+J16</f>
        <v/>
      </c>
      <c r="K17" s="23">
        <f>K11+K12+K13+K14+K15+K16</f>
        <v/>
      </c>
      <c r="L17" s="23">
        <f>L11+L12+L13+L14+L15+L16</f>
        <v/>
      </c>
      <c r="M17" s="23">
        <f>M11+M12+M13+M14+M15+M16</f>
        <v/>
      </c>
      <c r="N17" s="23">
        <f>N11+N12+N13+N14+N15+N16</f>
        <v/>
      </c>
      <c r="O17" s="23">
        <f>O11+O12+O13+O14+O15+O16</f>
        <v/>
      </c>
      <c r="P17" s="23">
        <f>P11+P12+P13+P14+P15+P16</f>
        <v/>
      </c>
      <c r="Q17" s="23">
        <f>Q11+Q12+Q13+Q14+Q15+Q16</f>
        <v/>
      </c>
      <c r="R17" s="23">
        <f>R11+R12+R13+R14+R15+R16</f>
        <v/>
      </c>
      <c r="S17" s="23">
        <f>S11+S12+S13+S14+S15+S16</f>
        <v/>
      </c>
      <c r="T17" s="23">
        <f>T11+T12+T13+T14+T15+T16</f>
        <v/>
      </c>
      <c r="U17" s="23">
        <f>U11+U12+U13+U14+U15+U16</f>
        <v/>
      </c>
      <c r="V17" s="23">
        <f>V11+V12+V13+V14+V15+V16</f>
        <v/>
      </c>
      <c r="W17" s="23">
        <f>W11+W12+W13+W14+W15+W16</f>
        <v/>
      </c>
      <c r="X17" s="23">
        <f>X11+X12+X13+X14+X15+X16</f>
        <v/>
      </c>
      <c r="Y17" s="23">
        <f>Y11+Y12+Y13+Y14+Y15+Y16</f>
        <v/>
      </c>
      <c r="Z17" s="23">
        <f>Z11+Z12+Z13+Z14+Z15+Z16</f>
        <v/>
      </c>
      <c r="AA17" s="23">
        <f>AA11+AA12+AA13+AA14+AA15+AA16</f>
        <v/>
      </c>
      <c r="AB17" s="23">
        <f>AB11+AB12+AB13+AB14+AB15+AB16</f>
        <v/>
      </c>
      <c r="AC17" s="23">
        <f>AC11+AC12+AC13+AC14+AC15+AC16</f>
        <v/>
      </c>
      <c r="AD17" s="23">
        <f>AD11+AD12+AD13+AD14+AD15+AD16</f>
        <v/>
      </c>
      <c r="AE17" s="23">
        <f>AE11+AE12+AE13+AE14+AE15+AE16</f>
        <v/>
      </c>
      <c r="AF17" s="23">
        <f>AF11+AF12+AF13+AF14+AF15+AF16</f>
        <v/>
      </c>
      <c r="AG17" s="23">
        <f>AG11+AG12+AG13+AG14+AG15+AG16</f>
        <v/>
      </c>
      <c r="AH17" s="23">
        <f>AH11+AH12+AH13+AH14+AH15+AH16</f>
        <v/>
      </c>
      <c r="AI17" s="23">
        <f>AI11+AI12+AI13+AI14+AI15+AI16</f>
        <v/>
      </c>
      <c r="AJ17" s="23">
        <f>AJ11+AJ12+AJ13+AJ14+AJ15+AJ16</f>
        <v/>
      </c>
      <c r="AK17" s="23">
        <f>AK11+AK12+AK13+AK14+AK15+AK16</f>
        <v/>
      </c>
      <c r="AL17" s="23">
        <f>AL11+AL12+AL13+AL14+AL15+AL16</f>
        <v/>
      </c>
    </row>
    <row r="18">
      <c r="A18" s="4" t="inlineStr">
        <is>
          <t>Contributed capital</t>
        </is>
      </c>
      <c r="C18" s="22">
        <f>'Control Tower'!$B$5</f>
        <v/>
      </c>
      <c r="D18" s="22">
        <f>'Control Tower'!$B$5</f>
        <v/>
      </c>
      <c r="E18" s="22">
        <f>'Control Tower'!$B$5</f>
        <v/>
      </c>
      <c r="F18" s="22">
        <f>'Control Tower'!$B$5</f>
        <v/>
      </c>
      <c r="G18" s="22">
        <f>'Control Tower'!$B$5</f>
        <v/>
      </c>
      <c r="H18" s="22">
        <f>'Control Tower'!$B$5</f>
        <v/>
      </c>
      <c r="I18" s="22">
        <f>'Control Tower'!$B$5</f>
        <v/>
      </c>
      <c r="J18" s="22">
        <f>'Control Tower'!$B$5</f>
        <v/>
      </c>
      <c r="K18" s="22">
        <f>'Control Tower'!$B$5</f>
        <v/>
      </c>
      <c r="L18" s="22">
        <f>'Control Tower'!$B$5</f>
        <v/>
      </c>
      <c r="M18" s="22">
        <f>'Control Tower'!$B$5</f>
        <v/>
      </c>
      <c r="N18" s="22">
        <f>'Control Tower'!$B$5</f>
        <v/>
      </c>
      <c r="O18" s="22">
        <f>'Control Tower'!$B$5</f>
        <v/>
      </c>
      <c r="P18" s="22">
        <f>'Control Tower'!$B$5</f>
        <v/>
      </c>
      <c r="Q18" s="22">
        <f>'Control Tower'!$B$5</f>
        <v/>
      </c>
      <c r="R18" s="22">
        <f>'Control Tower'!$B$5</f>
        <v/>
      </c>
      <c r="S18" s="22">
        <f>'Control Tower'!$B$5</f>
        <v/>
      </c>
      <c r="T18" s="22">
        <f>'Control Tower'!$B$5</f>
        <v/>
      </c>
      <c r="U18" s="22">
        <f>'Control Tower'!$B$5</f>
        <v/>
      </c>
      <c r="V18" s="22">
        <f>'Control Tower'!$B$5</f>
        <v/>
      </c>
      <c r="W18" s="22">
        <f>'Control Tower'!$B$5</f>
        <v/>
      </c>
      <c r="X18" s="22">
        <f>'Control Tower'!$B$5</f>
        <v/>
      </c>
      <c r="Y18" s="22">
        <f>'Control Tower'!$B$5</f>
        <v/>
      </c>
      <c r="Z18" s="22">
        <f>'Control Tower'!$B$5</f>
        <v/>
      </c>
      <c r="AA18" s="22">
        <f>'Control Tower'!$B$5</f>
        <v/>
      </c>
      <c r="AB18" s="22">
        <f>'Control Tower'!$B$5</f>
        <v/>
      </c>
      <c r="AC18" s="22">
        <f>'Control Tower'!$B$5</f>
        <v/>
      </c>
      <c r="AD18" s="22">
        <f>'Control Tower'!$B$5</f>
        <v/>
      </c>
      <c r="AE18" s="22">
        <f>'Control Tower'!$B$5</f>
        <v/>
      </c>
      <c r="AF18" s="22">
        <f>'Control Tower'!$B$5</f>
        <v/>
      </c>
      <c r="AG18" s="22">
        <f>'Control Tower'!$B$5</f>
        <v/>
      </c>
      <c r="AH18" s="22">
        <f>'Control Tower'!$B$5</f>
        <v/>
      </c>
      <c r="AI18" s="22">
        <f>'Control Tower'!$B$5</f>
        <v/>
      </c>
      <c r="AJ18" s="22">
        <f>'Control Tower'!$B$5</f>
        <v/>
      </c>
      <c r="AK18" s="22">
        <f>'Control Tower'!$B$5</f>
        <v/>
      </c>
      <c r="AL18" s="22">
        <f>'Control Tower'!$B$5</f>
        <v/>
      </c>
    </row>
    <row r="19">
      <c r="A19" s="4" t="inlineStr">
        <is>
          <t>Retained earnings (cum. net income - startup spend)</t>
        </is>
      </c>
      <c r="C19" s="22">
        <f>SUM('Cash Flow &amp; Runway'!$C$31:C31)-'Control Tower'!$B$6</f>
        <v/>
      </c>
      <c r="D19" s="22">
        <f>SUM('Cash Flow &amp; Runway'!$C$31:D31)-'Control Tower'!$B$6</f>
        <v/>
      </c>
      <c r="E19" s="22">
        <f>SUM('Cash Flow &amp; Runway'!$C$31:E31)-'Control Tower'!$B$6</f>
        <v/>
      </c>
      <c r="F19" s="22">
        <f>SUM('Cash Flow &amp; Runway'!$C$31:F31)-'Control Tower'!$B$6</f>
        <v/>
      </c>
      <c r="G19" s="22">
        <f>SUM('Cash Flow &amp; Runway'!$C$31:G31)-'Control Tower'!$B$6</f>
        <v/>
      </c>
      <c r="H19" s="22">
        <f>SUM('Cash Flow &amp; Runway'!$C$31:H31)-'Control Tower'!$B$6</f>
        <v/>
      </c>
      <c r="I19" s="22">
        <f>SUM('Cash Flow &amp; Runway'!$C$31:I31)-'Control Tower'!$B$6</f>
        <v/>
      </c>
      <c r="J19" s="22">
        <f>SUM('Cash Flow &amp; Runway'!$C$31:J31)-'Control Tower'!$B$6</f>
        <v/>
      </c>
      <c r="K19" s="22">
        <f>SUM('Cash Flow &amp; Runway'!$C$31:K31)-'Control Tower'!$B$6</f>
        <v/>
      </c>
      <c r="L19" s="22">
        <f>SUM('Cash Flow &amp; Runway'!$C$31:L31)-'Control Tower'!$B$6</f>
        <v/>
      </c>
      <c r="M19" s="22">
        <f>SUM('Cash Flow &amp; Runway'!$C$31:M31)-'Control Tower'!$B$6</f>
        <v/>
      </c>
      <c r="N19" s="22">
        <f>SUM('Cash Flow &amp; Runway'!$C$31:N31)-'Control Tower'!$B$6</f>
        <v/>
      </c>
      <c r="O19" s="22">
        <f>SUM('Cash Flow &amp; Runway'!$C$31:O31)-'Control Tower'!$B$6</f>
        <v/>
      </c>
      <c r="P19" s="22">
        <f>SUM('Cash Flow &amp; Runway'!$C$31:P31)-'Control Tower'!$B$6</f>
        <v/>
      </c>
      <c r="Q19" s="22">
        <f>SUM('Cash Flow &amp; Runway'!$C$31:Q31)-'Control Tower'!$B$6</f>
        <v/>
      </c>
      <c r="R19" s="22">
        <f>SUM('Cash Flow &amp; Runway'!$C$31:R31)-'Control Tower'!$B$6</f>
        <v/>
      </c>
      <c r="S19" s="22">
        <f>SUM('Cash Flow &amp; Runway'!$C$31:S31)-'Control Tower'!$B$6</f>
        <v/>
      </c>
      <c r="T19" s="22">
        <f>SUM('Cash Flow &amp; Runway'!$C$31:T31)-'Control Tower'!$B$6</f>
        <v/>
      </c>
      <c r="U19" s="22">
        <f>SUM('Cash Flow &amp; Runway'!$C$31:U31)-'Control Tower'!$B$6</f>
        <v/>
      </c>
      <c r="V19" s="22">
        <f>SUM('Cash Flow &amp; Runway'!$C$31:V31)-'Control Tower'!$B$6</f>
        <v/>
      </c>
      <c r="W19" s="22">
        <f>SUM('Cash Flow &amp; Runway'!$C$31:W31)-'Control Tower'!$B$6</f>
        <v/>
      </c>
      <c r="X19" s="22">
        <f>SUM('Cash Flow &amp; Runway'!$C$31:X31)-'Control Tower'!$B$6</f>
        <v/>
      </c>
      <c r="Y19" s="22">
        <f>SUM('Cash Flow &amp; Runway'!$C$31:Y31)-'Control Tower'!$B$6</f>
        <v/>
      </c>
      <c r="Z19" s="22">
        <f>SUM('Cash Flow &amp; Runway'!$C$31:Z31)-'Control Tower'!$B$6</f>
        <v/>
      </c>
      <c r="AA19" s="22">
        <f>SUM('Cash Flow &amp; Runway'!$C$31:AA31)-'Control Tower'!$B$6</f>
        <v/>
      </c>
      <c r="AB19" s="22">
        <f>SUM('Cash Flow &amp; Runway'!$C$31:AB31)-'Control Tower'!$B$6</f>
        <v/>
      </c>
      <c r="AC19" s="22">
        <f>SUM('Cash Flow &amp; Runway'!$C$31:AC31)-'Control Tower'!$B$6</f>
        <v/>
      </c>
      <c r="AD19" s="22">
        <f>SUM('Cash Flow &amp; Runway'!$C$31:AD31)-'Control Tower'!$B$6</f>
        <v/>
      </c>
      <c r="AE19" s="22">
        <f>SUM('Cash Flow &amp; Runway'!$C$31:AE31)-'Control Tower'!$B$6</f>
        <v/>
      </c>
      <c r="AF19" s="22">
        <f>SUM('Cash Flow &amp; Runway'!$C$31:AF31)-'Control Tower'!$B$6</f>
        <v/>
      </c>
      <c r="AG19" s="22">
        <f>SUM('Cash Flow &amp; Runway'!$C$31:AG31)-'Control Tower'!$B$6</f>
        <v/>
      </c>
      <c r="AH19" s="22">
        <f>SUM('Cash Flow &amp; Runway'!$C$31:AH31)-'Control Tower'!$B$6</f>
        <v/>
      </c>
      <c r="AI19" s="22">
        <f>SUM('Cash Flow &amp; Runway'!$C$31:AI31)-'Control Tower'!$B$6</f>
        <v/>
      </c>
      <c r="AJ19" s="22">
        <f>SUM('Cash Flow &amp; Runway'!$C$31:AJ31)-'Control Tower'!$B$6</f>
        <v/>
      </c>
      <c r="AK19" s="22">
        <f>SUM('Cash Flow &amp; Runway'!$C$31:AK31)-'Control Tower'!$B$6</f>
        <v/>
      </c>
      <c r="AL19" s="22">
        <f>SUM('Cash Flow &amp; Runway'!$C$31:AL31)-'Control Tower'!$B$6</f>
        <v/>
      </c>
    </row>
    <row r="20">
      <c r="A20" s="10" t="inlineStr">
        <is>
          <t>TOTAL LIABILITIES + EQUITY</t>
        </is>
      </c>
      <c r="C20" s="23">
        <f>C17+C18+C19</f>
        <v/>
      </c>
      <c r="D20" s="23">
        <f>D17+D18+D19</f>
        <v/>
      </c>
      <c r="E20" s="23">
        <f>E17+E18+E19</f>
        <v/>
      </c>
      <c r="F20" s="23">
        <f>F17+F18+F19</f>
        <v/>
      </c>
      <c r="G20" s="23">
        <f>G17+G18+G19</f>
        <v/>
      </c>
      <c r="H20" s="23">
        <f>H17+H18+H19</f>
        <v/>
      </c>
      <c r="I20" s="23">
        <f>I17+I18+I19</f>
        <v/>
      </c>
      <c r="J20" s="23">
        <f>J17+J18+J19</f>
        <v/>
      </c>
      <c r="K20" s="23">
        <f>K17+K18+K19</f>
        <v/>
      </c>
      <c r="L20" s="23">
        <f>L17+L18+L19</f>
        <v/>
      </c>
      <c r="M20" s="23">
        <f>M17+M18+M19</f>
        <v/>
      </c>
      <c r="N20" s="23">
        <f>N17+N18+N19</f>
        <v/>
      </c>
      <c r="O20" s="23">
        <f>O17+O18+O19</f>
        <v/>
      </c>
      <c r="P20" s="23">
        <f>P17+P18+P19</f>
        <v/>
      </c>
      <c r="Q20" s="23">
        <f>Q17+Q18+Q19</f>
        <v/>
      </c>
      <c r="R20" s="23">
        <f>R17+R18+R19</f>
        <v/>
      </c>
      <c r="S20" s="23">
        <f>S17+S18+S19</f>
        <v/>
      </c>
      <c r="T20" s="23">
        <f>T17+T18+T19</f>
        <v/>
      </c>
      <c r="U20" s="23">
        <f>U17+U18+U19</f>
        <v/>
      </c>
      <c r="V20" s="23">
        <f>V17+V18+V19</f>
        <v/>
      </c>
      <c r="W20" s="23">
        <f>W17+W18+W19</f>
        <v/>
      </c>
      <c r="X20" s="23">
        <f>X17+X18+X19</f>
        <v/>
      </c>
      <c r="Y20" s="23">
        <f>Y17+Y18+Y19</f>
        <v/>
      </c>
      <c r="Z20" s="23">
        <f>Z17+Z18+Z19</f>
        <v/>
      </c>
      <c r="AA20" s="23">
        <f>AA17+AA18+AA19</f>
        <v/>
      </c>
      <c r="AB20" s="23">
        <f>AB17+AB18+AB19</f>
        <v/>
      </c>
      <c r="AC20" s="23">
        <f>AC17+AC18+AC19</f>
        <v/>
      </c>
      <c r="AD20" s="23">
        <f>AD17+AD18+AD19</f>
        <v/>
      </c>
      <c r="AE20" s="23">
        <f>AE17+AE18+AE19</f>
        <v/>
      </c>
      <c r="AF20" s="23">
        <f>AF17+AF18+AF19</f>
        <v/>
      </c>
      <c r="AG20" s="23">
        <f>AG17+AG18+AG19</f>
        <v/>
      </c>
      <c r="AH20" s="23">
        <f>AH17+AH18+AH19</f>
        <v/>
      </c>
      <c r="AI20" s="23">
        <f>AI17+AI18+AI19</f>
        <v/>
      </c>
      <c r="AJ20" s="23">
        <f>AJ17+AJ18+AJ19</f>
        <v/>
      </c>
      <c r="AK20" s="23">
        <f>AK17+AK18+AK19</f>
        <v/>
      </c>
      <c r="AL20" s="23">
        <f>AL17+AL18+AL19</f>
        <v/>
      </c>
    </row>
    <row r="21">
      <c r="A21" s="10" t="inlineStr">
        <is>
          <t>CHECK (assets - L-E) = 0</t>
        </is>
      </c>
      <c r="C21" s="23">
        <f>C10-C20</f>
        <v/>
      </c>
      <c r="D21" s="23">
        <f>D10-D20</f>
        <v/>
      </c>
      <c r="E21" s="23">
        <f>E10-E20</f>
        <v/>
      </c>
      <c r="F21" s="23">
        <f>F10-F20</f>
        <v/>
      </c>
      <c r="G21" s="23">
        <f>G10-G20</f>
        <v/>
      </c>
      <c r="H21" s="23">
        <f>H10-H20</f>
        <v/>
      </c>
      <c r="I21" s="23">
        <f>I10-I20</f>
        <v/>
      </c>
      <c r="J21" s="23">
        <f>J10-J20</f>
        <v/>
      </c>
      <c r="K21" s="23">
        <f>K10-K20</f>
        <v/>
      </c>
      <c r="L21" s="23">
        <f>L10-L20</f>
        <v/>
      </c>
      <c r="M21" s="23">
        <f>M10-M20</f>
        <v/>
      </c>
      <c r="N21" s="23">
        <f>N10-N20</f>
        <v/>
      </c>
      <c r="O21" s="23">
        <f>O10-O20</f>
        <v/>
      </c>
      <c r="P21" s="23">
        <f>P10-P20</f>
        <v/>
      </c>
      <c r="Q21" s="23">
        <f>Q10-Q20</f>
        <v/>
      </c>
      <c r="R21" s="23">
        <f>R10-R20</f>
        <v/>
      </c>
      <c r="S21" s="23">
        <f>S10-S20</f>
        <v/>
      </c>
      <c r="T21" s="23">
        <f>T10-T20</f>
        <v/>
      </c>
      <c r="U21" s="23">
        <f>U10-U20</f>
        <v/>
      </c>
      <c r="V21" s="23">
        <f>V10-V20</f>
        <v/>
      </c>
      <c r="W21" s="23">
        <f>W10-W20</f>
        <v/>
      </c>
      <c r="X21" s="23">
        <f>X10-X20</f>
        <v/>
      </c>
      <c r="Y21" s="23">
        <f>Y10-Y20</f>
        <v/>
      </c>
      <c r="Z21" s="23">
        <f>Z10-Z20</f>
        <v/>
      </c>
      <c r="AA21" s="23">
        <f>AA10-AA20</f>
        <v/>
      </c>
      <c r="AB21" s="23">
        <f>AB10-AB20</f>
        <v/>
      </c>
      <c r="AC21" s="23">
        <f>AC10-AC20</f>
        <v/>
      </c>
      <c r="AD21" s="23">
        <f>AD10-AD20</f>
        <v/>
      </c>
      <c r="AE21" s="23">
        <f>AE10-AE20</f>
        <v/>
      </c>
      <c r="AF21" s="23">
        <f>AF10-AF20</f>
        <v/>
      </c>
      <c r="AG21" s="23">
        <f>AG10-AG20</f>
        <v/>
      </c>
      <c r="AH21" s="23">
        <f>AH10-AH20</f>
        <v/>
      </c>
      <c r="AI21" s="23">
        <f>AI10-AI20</f>
        <v/>
      </c>
      <c r="AJ21" s="23">
        <f>AJ10-AJ20</f>
        <v/>
      </c>
      <c r="AK21" s="23">
        <f>AK10-AK20</f>
        <v/>
      </c>
      <c r="AL21" s="23">
        <f>AL10-AL20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0000"/>
    <outlinePr summaryBelow="1" summaryRight="1"/>
    <pageSetUpPr/>
  </sheetPr>
  <dimension ref="A1:AL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every integrity test in one place. MASTER must read 0 / OK.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Sheet'!C21)&gt;0.01,1,0)</f>
        <v/>
      </c>
      <c r="D6" s="25">
        <f>IF(ABS('Balance Sheet'!D21)&gt;0.01,1,0)</f>
        <v/>
      </c>
      <c r="E6" s="25">
        <f>IF(ABS('Balance Sheet'!E21)&gt;0.01,1,0)</f>
        <v/>
      </c>
      <c r="F6" s="25">
        <f>IF(ABS('Balance Sheet'!F21)&gt;0.01,1,0)</f>
        <v/>
      </c>
      <c r="G6" s="25">
        <f>IF(ABS('Balance Sheet'!G21)&gt;0.01,1,0)</f>
        <v/>
      </c>
      <c r="H6" s="25">
        <f>IF(ABS('Balance Sheet'!H21)&gt;0.01,1,0)</f>
        <v/>
      </c>
      <c r="I6" s="25">
        <f>IF(ABS('Balance Sheet'!I21)&gt;0.01,1,0)</f>
        <v/>
      </c>
      <c r="J6" s="25">
        <f>IF(ABS('Balance Sheet'!J21)&gt;0.01,1,0)</f>
        <v/>
      </c>
      <c r="K6" s="25">
        <f>IF(ABS('Balance Sheet'!K21)&gt;0.01,1,0)</f>
        <v/>
      </c>
      <c r="L6" s="25">
        <f>IF(ABS('Balance Sheet'!L21)&gt;0.01,1,0)</f>
        <v/>
      </c>
      <c r="M6" s="25">
        <f>IF(ABS('Balance Sheet'!M21)&gt;0.01,1,0)</f>
        <v/>
      </c>
      <c r="N6" s="25">
        <f>IF(ABS('Balance Sheet'!N21)&gt;0.01,1,0)</f>
        <v/>
      </c>
      <c r="O6" s="25">
        <f>IF(ABS('Balance Sheet'!O21)&gt;0.01,1,0)</f>
        <v/>
      </c>
      <c r="P6" s="25">
        <f>IF(ABS('Balance Sheet'!P21)&gt;0.01,1,0)</f>
        <v/>
      </c>
      <c r="Q6" s="25">
        <f>IF(ABS('Balance Sheet'!Q21)&gt;0.01,1,0)</f>
        <v/>
      </c>
      <c r="R6" s="25">
        <f>IF(ABS('Balance Sheet'!R21)&gt;0.01,1,0)</f>
        <v/>
      </c>
      <c r="S6" s="25">
        <f>IF(ABS('Balance Sheet'!S21)&gt;0.01,1,0)</f>
        <v/>
      </c>
      <c r="T6" s="25">
        <f>IF(ABS('Balance Sheet'!T21)&gt;0.01,1,0)</f>
        <v/>
      </c>
      <c r="U6" s="25">
        <f>IF(ABS('Balance Sheet'!U21)&gt;0.01,1,0)</f>
        <v/>
      </c>
      <c r="V6" s="25">
        <f>IF(ABS('Balance Sheet'!V21)&gt;0.01,1,0)</f>
        <v/>
      </c>
      <c r="W6" s="25">
        <f>IF(ABS('Balance Sheet'!W21)&gt;0.01,1,0)</f>
        <v/>
      </c>
      <c r="X6" s="25">
        <f>IF(ABS('Balance Sheet'!X21)&gt;0.01,1,0)</f>
        <v/>
      </c>
      <c r="Y6" s="25">
        <f>IF(ABS('Balance Sheet'!Y21)&gt;0.01,1,0)</f>
        <v/>
      </c>
      <c r="Z6" s="25">
        <f>IF(ABS('Balance Sheet'!Z21)&gt;0.01,1,0)</f>
        <v/>
      </c>
      <c r="AA6" s="25">
        <f>IF(ABS('Balance Sheet'!AA21)&gt;0.01,1,0)</f>
        <v/>
      </c>
      <c r="AB6" s="25">
        <f>IF(ABS('Balance Sheet'!AB21)&gt;0.01,1,0)</f>
        <v/>
      </c>
      <c r="AC6" s="25">
        <f>IF(ABS('Balance Sheet'!AC21)&gt;0.01,1,0)</f>
        <v/>
      </c>
      <c r="AD6" s="25">
        <f>IF(ABS('Balance Sheet'!AD21)&gt;0.01,1,0)</f>
        <v/>
      </c>
      <c r="AE6" s="25">
        <f>IF(ABS('Balance Sheet'!AE21)&gt;0.01,1,0)</f>
        <v/>
      </c>
      <c r="AF6" s="25">
        <f>IF(ABS('Balance Sheet'!AF21)&gt;0.01,1,0)</f>
        <v/>
      </c>
      <c r="AG6" s="25">
        <f>IF(ABS('Balance Sheet'!AG21)&gt;0.01,1,0)</f>
        <v/>
      </c>
      <c r="AH6" s="25">
        <f>IF(ABS('Balance Sheet'!AH21)&gt;0.01,1,0)</f>
        <v/>
      </c>
      <c r="AI6" s="25">
        <f>IF(ABS('Balance Sheet'!AI21)&gt;0.01,1,0)</f>
        <v/>
      </c>
      <c r="AJ6" s="25">
        <f>IF(ABS('Balance Sheet'!AJ21)&gt;0.01,1,0)</f>
        <v/>
      </c>
      <c r="AK6" s="25">
        <f>IF(ABS('Balance Sheet'!AK21)&gt;0.01,1,0)</f>
        <v/>
      </c>
      <c r="AL6" s="25">
        <f>IF(ABS('Balance Sheet'!AL21)&gt;0.01,1,0)</f>
        <v/>
      </c>
    </row>
    <row r="7">
      <c r="A7" s="4" t="inlineStr">
        <is>
          <t>Cash below zero (-&gt; 1)</t>
        </is>
      </c>
      <c r="C7" s="25">
        <f>IF('Cash Flow &amp; Runway'!C45&lt;-0.01,1,0)</f>
        <v/>
      </c>
      <c r="D7" s="25">
        <f>IF('Cash Flow &amp; Runway'!D45&lt;-0.01,1,0)</f>
        <v/>
      </c>
      <c r="E7" s="25">
        <f>IF('Cash Flow &amp; Runway'!E45&lt;-0.01,1,0)</f>
        <v/>
      </c>
      <c r="F7" s="25">
        <f>IF('Cash Flow &amp; Runway'!F45&lt;-0.01,1,0)</f>
        <v/>
      </c>
      <c r="G7" s="25">
        <f>IF('Cash Flow &amp; Runway'!G45&lt;-0.01,1,0)</f>
        <v/>
      </c>
      <c r="H7" s="25">
        <f>IF('Cash Flow &amp; Runway'!H45&lt;-0.01,1,0)</f>
        <v/>
      </c>
      <c r="I7" s="25">
        <f>IF('Cash Flow &amp; Runway'!I45&lt;-0.01,1,0)</f>
        <v/>
      </c>
      <c r="J7" s="25">
        <f>IF('Cash Flow &amp; Runway'!J45&lt;-0.01,1,0)</f>
        <v/>
      </c>
      <c r="K7" s="25">
        <f>IF('Cash Flow &amp; Runway'!K45&lt;-0.01,1,0)</f>
        <v/>
      </c>
      <c r="L7" s="25">
        <f>IF('Cash Flow &amp; Runway'!L45&lt;-0.01,1,0)</f>
        <v/>
      </c>
      <c r="M7" s="25">
        <f>IF('Cash Flow &amp; Runway'!M45&lt;-0.01,1,0)</f>
        <v/>
      </c>
      <c r="N7" s="25">
        <f>IF('Cash Flow &amp; Runway'!N45&lt;-0.01,1,0)</f>
        <v/>
      </c>
      <c r="O7" s="25">
        <f>IF('Cash Flow &amp; Runway'!O45&lt;-0.01,1,0)</f>
        <v/>
      </c>
      <c r="P7" s="25">
        <f>IF('Cash Flow &amp; Runway'!P45&lt;-0.01,1,0)</f>
        <v/>
      </c>
      <c r="Q7" s="25">
        <f>IF('Cash Flow &amp; Runway'!Q45&lt;-0.01,1,0)</f>
        <v/>
      </c>
      <c r="R7" s="25">
        <f>IF('Cash Flow &amp; Runway'!R45&lt;-0.01,1,0)</f>
        <v/>
      </c>
      <c r="S7" s="25">
        <f>IF('Cash Flow &amp; Runway'!S45&lt;-0.01,1,0)</f>
        <v/>
      </c>
      <c r="T7" s="25">
        <f>IF('Cash Flow &amp; Runway'!T45&lt;-0.01,1,0)</f>
        <v/>
      </c>
      <c r="U7" s="25">
        <f>IF('Cash Flow &amp; Runway'!U45&lt;-0.01,1,0)</f>
        <v/>
      </c>
      <c r="V7" s="25">
        <f>IF('Cash Flow &amp; Runway'!V45&lt;-0.01,1,0)</f>
        <v/>
      </c>
      <c r="W7" s="25">
        <f>IF('Cash Flow &amp; Runway'!W45&lt;-0.01,1,0)</f>
        <v/>
      </c>
      <c r="X7" s="25">
        <f>IF('Cash Flow &amp; Runway'!X45&lt;-0.01,1,0)</f>
        <v/>
      </c>
      <c r="Y7" s="25">
        <f>IF('Cash Flow &amp; Runway'!Y45&lt;-0.01,1,0)</f>
        <v/>
      </c>
      <c r="Z7" s="25">
        <f>IF('Cash Flow &amp; Runway'!Z45&lt;-0.01,1,0)</f>
        <v/>
      </c>
      <c r="AA7" s="25">
        <f>IF('Cash Flow &amp; Runway'!AA45&lt;-0.01,1,0)</f>
        <v/>
      </c>
      <c r="AB7" s="25">
        <f>IF('Cash Flow &amp; Runway'!AB45&lt;-0.01,1,0)</f>
        <v/>
      </c>
      <c r="AC7" s="25">
        <f>IF('Cash Flow &amp; Runway'!AC45&lt;-0.01,1,0)</f>
        <v/>
      </c>
      <c r="AD7" s="25">
        <f>IF('Cash Flow &amp; Runway'!AD45&lt;-0.01,1,0)</f>
        <v/>
      </c>
      <c r="AE7" s="25">
        <f>IF('Cash Flow &amp; Runway'!AE45&lt;-0.01,1,0)</f>
        <v/>
      </c>
      <c r="AF7" s="25">
        <f>IF('Cash Flow &amp; Runway'!AF45&lt;-0.01,1,0)</f>
        <v/>
      </c>
      <c r="AG7" s="25">
        <f>IF('Cash Flow &amp; Runway'!AG45&lt;-0.01,1,0)</f>
        <v/>
      </c>
      <c r="AH7" s="25">
        <f>IF('Cash Flow &amp; Runway'!AH45&lt;-0.01,1,0)</f>
        <v/>
      </c>
      <c r="AI7" s="25">
        <f>IF('Cash Flow &amp; Runway'!AI45&lt;-0.01,1,0)</f>
        <v/>
      </c>
      <c r="AJ7" s="25">
        <f>IF('Cash Flow &amp; Runway'!AJ45&lt;-0.01,1,0)</f>
        <v/>
      </c>
      <c r="AK7" s="25">
        <f>IF('Cash Flow &amp; Runway'!AK45&lt;-0.01,1,0)</f>
        <v/>
      </c>
      <c r="AL7" s="25">
        <f>IF('Cash Flow &amp; Runway'!AL45&lt;-0.01,1,0)</f>
        <v/>
      </c>
    </row>
    <row r="8">
      <c r="A8" s="4" t="inlineStr">
        <is>
          <t>Revolver over commitment (-&gt; 1)</t>
        </is>
      </c>
      <c r="C8" s="25">
        <f>IF('Cash Flow &amp; Runway'!C44&gt;'Control Tower'!$B$124+0.01,1,0)</f>
        <v/>
      </c>
      <c r="D8" s="25">
        <f>IF('Cash Flow &amp; Runway'!D44&gt;'Control Tower'!$B$124+0.01,1,0)</f>
        <v/>
      </c>
      <c r="E8" s="25">
        <f>IF('Cash Flow &amp; Runway'!E44&gt;'Control Tower'!$B$124+0.01,1,0)</f>
        <v/>
      </c>
      <c r="F8" s="25">
        <f>IF('Cash Flow &amp; Runway'!F44&gt;'Control Tower'!$B$124+0.01,1,0)</f>
        <v/>
      </c>
      <c r="G8" s="25">
        <f>IF('Cash Flow &amp; Runway'!G44&gt;'Control Tower'!$B$124+0.01,1,0)</f>
        <v/>
      </c>
      <c r="H8" s="25">
        <f>IF('Cash Flow &amp; Runway'!H44&gt;'Control Tower'!$B$124+0.01,1,0)</f>
        <v/>
      </c>
      <c r="I8" s="25">
        <f>IF('Cash Flow &amp; Runway'!I44&gt;'Control Tower'!$B$124+0.01,1,0)</f>
        <v/>
      </c>
      <c r="J8" s="25">
        <f>IF('Cash Flow &amp; Runway'!J44&gt;'Control Tower'!$B$124+0.01,1,0)</f>
        <v/>
      </c>
      <c r="K8" s="25">
        <f>IF('Cash Flow &amp; Runway'!K44&gt;'Control Tower'!$B$124+0.01,1,0)</f>
        <v/>
      </c>
      <c r="L8" s="25">
        <f>IF('Cash Flow &amp; Runway'!L44&gt;'Control Tower'!$B$124+0.01,1,0)</f>
        <v/>
      </c>
      <c r="M8" s="25">
        <f>IF('Cash Flow &amp; Runway'!M44&gt;'Control Tower'!$B$124+0.01,1,0)</f>
        <v/>
      </c>
      <c r="N8" s="25">
        <f>IF('Cash Flow &amp; Runway'!N44&gt;'Control Tower'!$B$124+0.01,1,0)</f>
        <v/>
      </c>
      <c r="O8" s="25">
        <f>IF('Cash Flow &amp; Runway'!O44&gt;'Control Tower'!$B$124+0.01,1,0)</f>
        <v/>
      </c>
      <c r="P8" s="25">
        <f>IF('Cash Flow &amp; Runway'!P44&gt;'Control Tower'!$B$124+0.01,1,0)</f>
        <v/>
      </c>
      <c r="Q8" s="25">
        <f>IF('Cash Flow &amp; Runway'!Q44&gt;'Control Tower'!$B$124+0.01,1,0)</f>
        <v/>
      </c>
      <c r="R8" s="25">
        <f>IF('Cash Flow &amp; Runway'!R44&gt;'Control Tower'!$B$124+0.01,1,0)</f>
        <v/>
      </c>
      <c r="S8" s="25">
        <f>IF('Cash Flow &amp; Runway'!S44&gt;'Control Tower'!$B$124+0.01,1,0)</f>
        <v/>
      </c>
      <c r="T8" s="25">
        <f>IF('Cash Flow &amp; Runway'!T44&gt;'Control Tower'!$B$124+0.01,1,0)</f>
        <v/>
      </c>
      <c r="U8" s="25">
        <f>IF('Cash Flow &amp; Runway'!U44&gt;'Control Tower'!$B$124+0.01,1,0)</f>
        <v/>
      </c>
      <c r="V8" s="25">
        <f>IF('Cash Flow &amp; Runway'!V44&gt;'Control Tower'!$B$124+0.01,1,0)</f>
        <v/>
      </c>
      <c r="W8" s="25">
        <f>IF('Cash Flow &amp; Runway'!W44&gt;'Control Tower'!$B$124+0.01,1,0)</f>
        <v/>
      </c>
      <c r="X8" s="25">
        <f>IF('Cash Flow &amp; Runway'!X44&gt;'Control Tower'!$B$124+0.01,1,0)</f>
        <v/>
      </c>
      <c r="Y8" s="25">
        <f>IF('Cash Flow &amp; Runway'!Y44&gt;'Control Tower'!$B$124+0.01,1,0)</f>
        <v/>
      </c>
      <c r="Z8" s="25">
        <f>IF('Cash Flow &amp; Runway'!Z44&gt;'Control Tower'!$B$124+0.01,1,0)</f>
        <v/>
      </c>
      <c r="AA8" s="25">
        <f>IF('Cash Flow &amp; Runway'!AA44&gt;'Control Tower'!$B$124+0.01,1,0)</f>
        <v/>
      </c>
      <c r="AB8" s="25">
        <f>IF('Cash Flow &amp; Runway'!AB44&gt;'Control Tower'!$B$124+0.01,1,0)</f>
        <v/>
      </c>
      <c r="AC8" s="25">
        <f>IF('Cash Flow &amp; Runway'!AC44&gt;'Control Tower'!$B$124+0.01,1,0)</f>
        <v/>
      </c>
      <c r="AD8" s="25">
        <f>IF('Cash Flow &amp; Runway'!AD44&gt;'Control Tower'!$B$124+0.01,1,0)</f>
        <v/>
      </c>
      <c r="AE8" s="25">
        <f>IF('Cash Flow &amp; Runway'!AE44&gt;'Control Tower'!$B$124+0.01,1,0)</f>
        <v/>
      </c>
      <c r="AF8" s="25">
        <f>IF('Cash Flow &amp; Runway'!AF44&gt;'Control Tower'!$B$124+0.01,1,0)</f>
        <v/>
      </c>
      <c r="AG8" s="25">
        <f>IF('Cash Flow &amp; Runway'!AG44&gt;'Control Tower'!$B$124+0.01,1,0)</f>
        <v/>
      </c>
      <c r="AH8" s="25">
        <f>IF('Cash Flow &amp; Runway'!AH44&gt;'Control Tower'!$B$124+0.01,1,0)</f>
        <v/>
      </c>
      <c r="AI8" s="25">
        <f>IF('Cash Flow &amp; Runway'!AI44&gt;'Control Tower'!$B$124+0.01,1,0)</f>
        <v/>
      </c>
      <c r="AJ8" s="25">
        <f>IF('Cash Flow &amp; Runway'!AJ44&gt;'Control Tower'!$B$124+0.01,1,0)</f>
        <v/>
      </c>
      <c r="AK8" s="25">
        <f>IF('Cash Flow &amp; Runway'!AK44&gt;'Control Tower'!$B$124+0.01,1,0)</f>
        <v/>
      </c>
      <c r="AL8" s="25">
        <f>IF('Cash Flow &amp; Runway'!AL44&gt;'Control Tower'!$B$124+0.01,1,0)</f>
        <v/>
      </c>
    </row>
    <row r="9">
      <c r="A9" s="4" t="inlineStr">
        <is>
          <t>Revolver drawn while cash above floor (+$1 tol) (-&gt; 1)</t>
        </is>
      </c>
      <c r="C9" s="25">
        <f>IF(AND('Cash Flow &amp; Runway'!C44&gt;0.01,'Cash Flow &amp; Runway'!C45&gt;'Control Tower'!$B$123+1),1,0)</f>
        <v/>
      </c>
      <c r="D9" s="25">
        <f>IF(AND('Cash Flow &amp; Runway'!D44&gt;0.01,'Cash Flow &amp; Runway'!D45&gt;'Control Tower'!$B$123+1),1,0)</f>
        <v/>
      </c>
      <c r="E9" s="25">
        <f>IF(AND('Cash Flow &amp; Runway'!E44&gt;0.01,'Cash Flow &amp; Runway'!E45&gt;'Control Tower'!$B$123+1),1,0)</f>
        <v/>
      </c>
      <c r="F9" s="25">
        <f>IF(AND('Cash Flow &amp; Runway'!F44&gt;0.01,'Cash Flow &amp; Runway'!F45&gt;'Control Tower'!$B$123+1),1,0)</f>
        <v/>
      </c>
      <c r="G9" s="25">
        <f>IF(AND('Cash Flow &amp; Runway'!G44&gt;0.01,'Cash Flow &amp; Runway'!G45&gt;'Control Tower'!$B$123+1),1,0)</f>
        <v/>
      </c>
      <c r="H9" s="25">
        <f>IF(AND('Cash Flow &amp; Runway'!H44&gt;0.01,'Cash Flow &amp; Runway'!H45&gt;'Control Tower'!$B$123+1),1,0)</f>
        <v/>
      </c>
      <c r="I9" s="25">
        <f>IF(AND('Cash Flow &amp; Runway'!I44&gt;0.01,'Cash Flow &amp; Runway'!I45&gt;'Control Tower'!$B$123+1),1,0)</f>
        <v/>
      </c>
      <c r="J9" s="25">
        <f>IF(AND('Cash Flow &amp; Runway'!J44&gt;0.01,'Cash Flow &amp; Runway'!J45&gt;'Control Tower'!$B$123+1),1,0)</f>
        <v/>
      </c>
      <c r="K9" s="25">
        <f>IF(AND('Cash Flow &amp; Runway'!K44&gt;0.01,'Cash Flow &amp; Runway'!K45&gt;'Control Tower'!$B$123+1),1,0)</f>
        <v/>
      </c>
      <c r="L9" s="25">
        <f>IF(AND('Cash Flow &amp; Runway'!L44&gt;0.01,'Cash Flow &amp; Runway'!L45&gt;'Control Tower'!$B$123+1),1,0)</f>
        <v/>
      </c>
      <c r="M9" s="25">
        <f>IF(AND('Cash Flow &amp; Runway'!M44&gt;0.01,'Cash Flow &amp; Runway'!M45&gt;'Control Tower'!$B$123+1),1,0)</f>
        <v/>
      </c>
      <c r="N9" s="25">
        <f>IF(AND('Cash Flow &amp; Runway'!N44&gt;0.01,'Cash Flow &amp; Runway'!N45&gt;'Control Tower'!$B$123+1),1,0)</f>
        <v/>
      </c>
      <c r="O9" s="25">
        <f>IF(AND('Cash Flow &amp; Runway'!O44&gt;0.01,'Cash Flow &amp; Runway'!O45&gt;'Control Tower'!$B$123+1),1,0)</f>
        <v/>
      </c>
      <c r="P9" s="25">
        <f>IF(AND('Cash Flow &amp; Runway'!P44&gt;0.01,'Cash Flow &amp; Runway'!P45&gt;'Control Tower'!$B$123+1),1,0)</f>
        <v/>
      </c>
      <c r="Q9" s="25">
        <f>IF(AND('Cash Flow &amp; Runway'!Q44&gt;0.01,'Cash Flow &amp; Runway'!Q45&gt;'Control Tower'!$B$123+1),1,0)</f>
        <v/>
      </c>
      <c r="R9" s="25">
        <f>IF(AND('Cash Flow &amp; Runway'!R44&gt;0.01,'Cash Flow &amp; Runway'!R45&gt;'Control Tower'!$B$123+1),1,0)</f>
        <v/>
      </c>
      <c r="S9" s="25">
        <f>IF(AND('Cash Flow &amp; Runway'!S44&gt;0.01,'Cash Flow &amp; Runway'!S45&gt;'Control Tower'!$B$123+1),1,0)</f>
        <v/>
      </c>
      <c r="T9" s="25">
        <f>IF(AND('Cash Flow &amp; Runway'!T44&gt;0.01,'Cash Flow &amp; Runway'!T45&gt;'Control Tower'!$B$123+1),1,0)</f>
        <v/>
      </c>
      <c r="U9" s="25">
        <f>IF(AND('Cash Flow &amp; Runway'!U44&gt;0.01,'Cash Flow &amp; Runway'!U45&gt;'Control Tower'!$B$123+1),1,0)</f>
        <v/>
      </c>
      <c r="V9" s="25">
        <f>IF(AND('Cash Flow &amp; Runway'!V44&gt;0.01,'Cash Flow &amp; Runway'!V45&gt;'Control Tower'!$B$123+1),1,0)</f>
        <v/>
      </c>
      <c r="W9" s="25">
        <f>IF(AND('Cash Flow &amp; Runway'!W44&gt;0.01,'Cash Flow &amp; Runway'!W45&gt;'Control Tower'!$B$123+1),1,0)</f>
        <v/>
      </c>
      <c r="X9" s="25">
        <f>IF(AND('Cash Flow &amp; Runway'!X44&gt;0.01,'Cash Flow &amp; Runway'!X45&gt;'Control Tower'!$B$123+1),1,0)</f>
        <v/>
      </c>
      <c r="Y9" s="25">
        <f>IF(AND('Cash Flow &amp; Runway'!Y44&gt;0.01,'Cash Flow &amp; Runway'!Y45&gt;'Control Tower'!$B$123+1),1,0)</f>
        <v/>
      </c>
      <c r="Z9" s="25">
        <f>IF(AND('Cash Flow &amp; Runway'!Z44&gt;0.01,'Cash Flow &amp; Runway'!Z45&gt;'Control Tower'!$B$123+1),1,0)</f>
        <v/>
      </c>
      <c r="AA9" s="25">
        <f>IF(AND('Cash Flow &amp; Runway'!AA44&gt;0.01,'Cash Flow &amp; Runway'!AA45&gt;'Control Tower'!$B$123+1),1,0)</f>
        <v/>
      </c>
      <c r="AB9" s="25">
        <f>IF(AND('Cash Flow &amp; Runway'!AB44&gt;0.01,'Cash Flow &amp; Runway'!AB45&gt;'Control Tower'!$B$123+1),1,0)</f>
        <v/>
      </c>
      <c r="AC9" s="25">
        <f>IF(AND('Cash Flow &amp; Runway'!AC44&gt;0.01,'Cash Flow &amp; Runway'!AC45&gt;'Control Tower'!$B$123+1),1,0)</f>
        <v/>
      </c>
      <c r="AD9" s="25">
        <f>IF(AND('Cash Flow &amp; Runway'!AD44&gt;0.01,'Cash Flow &amp; Runway'!AD45&gt;'Control Tower'!$B$123+1),1,0)</f>
        <v/>
      </c>
      <c r="AE9" s="25">
        <f>IF(AND('Cash Flow &amp; Runway'!AE44&gt;0.01,'Cash Flow &amp; Runway'!AE45&gt;'Control Tower'!$B$123+1),1,0)</f>
        <v/>
      </c>
      <c r="AF9" s="25">
        <f>IF(AND('Cash Flow &amp; Runway'!AF44&gt;0.01,'Cash Flow &amp; Runway'!AF45&gt;'Control Tower'!$B$123+1),1,0)</f>
        <v/>
      </c>
      <c r="AG9" s="25">
        <f>IF(AND('Cash Flow &amp; Runway'!AG44&gt;0.01,'Cash Flow &amp; Runway'!AG45&gt;'Control Tower'!$B$123+1),1,0)</f>
        <v/>
      </c>
      <c r="AH9" s="25">
        <f>IF(AND('Cash Flow &amp; Runway'!AH44&gt;0.01,'Cash Flow &amp; Runway'!AH45&gt;'Control Tower'!$B$123+1),1,0)</f>
        <v/>
      </c>
      <c r="AI9" s="25">
        <f>IF(AND('Cash Flow &amp; Runway'!AI44&gt;0.01,'Cash Flow &amp; Runway'!AI45&gt;'Control Tower'!$B$123+1),1,0)</f>
        <v/>
      </c>
      <c r="AJ9" s="25">
        <f>IF(AND('Cash Flow &amp; Runway'!AJ44&gt;0.01,'Cash Flow &amp; Runway'!AJ45&gt;'Control Tower'!$B$123+1),1,0)</f>
        <v/>
      </c>
      <c r="AK9" s="25">
        <f>IF(AND('Cash Flow &amp; Runway'!AK44&gt;0.01,'Cash Flow &amp; Runway'!AK45&gt;'Control Tower'!$B$123+1),1,0)</f>
        <v/>
      </c>
      <c r="AL9" s="25">
        <f>IF(AND('Cash Flow &amp; Runway'!AL44&gt;0.01,'Cash Flow &amp; Runway'!AL45&gt;'Control Tower'!$B$123+1),1,0)</f>
        <v/>
      </c>
    </row>
    <row r="10">
      <c r="A10" s="4" t="inlineStr">
        <is>
          <t>Seller balance negative (-&gt; 1)</t>
        </is>
      </c>
      <c r="C10" s="25">
        <f>IF('Cash Flow &amp; Runway'!C16&lt;-0.01,1,0)</f>
        <v/>
      </c>
      <c r="D10" s="25">
        <f>IF('Cash Flow &amp; Runway'!D16&lt;-0.01,1,0)</f>
        <v/>
      </c>
      <c r="E10" s="25">
        <f>IF('Cash Flow &amp; Runway'!E16&lt;-0.01,1,0)</f>
        <v/>
      </c>
      <c r="F10" s="25">
        <f>IF('Cash Flow &amp; Runway'!F16&lt;-0.01,1,0)</f>
        <v/>
      </c>
      <c r="G10" s="25">
        <f>IF('Cash Flow &amp; Runway'!G16&lt;-0.01,1,0)</f>
        <v/>
      </c>
      <c r="H10" s="25">
        <f>IF('Cash Flow &amp; Runway'!H16&lt;-0.01,1,0)</f>
        <v/>
      </c>
      <c r="I10" s="25">
        <f>IF('Cash Flow &amp; Runway'!I16&lt;-0.01,1,0)</f>
        <v/>
      </c>
      <c r="J10" s="25">
        <f>IF('Cash Flow &amp; Runway'!J16&lt;-0.01,1,0)</f>
        <v/>
      </c>
      <c r="K10" s="25">
        <f>IF('Cash Flow &amp; Runway'!K16&lt;-0.01,1,0)</f>
        <v/>
      </c>
      <c r="L10" s="25">
        <f>IF('Cash Flow &amp; Runway'!L16&lt;-0.01,1,0)</f>
        <v/>
      </c>
      <c r="M10" s="25">
        <f>IF('Cash Flow &amp; Runway'!M16&lt;-0.01,1,0)</f>
        <v/>
      </c>
      <c r="N10" s="25">
        <f>IF('Cash Flow &amp; Runway'!N16&lt;-0.01,1,0)</f>
        <v/>
      </c>
      <c r="O10" s="25">
        <f>IF('Cash Flow &amp; Runway'!O16&lt;-0.01,1,0)</f>
        <v/>
      </c>
      <c r="P10" s="25">
        <f>IF('Cash Flow &amp; Runway'!P16&lt;-0.01,1,0)</f>
        <v/>
      </c>
      <c r="Q10" s="25">
        <f>IF('Cash Flow &amp; Runway'!Q16&lt;-0.01,1,0)</f>
        <v/>
      </c>
      <c r="R10" s="25">
        <f>IF('Cash Flow &amp; Runway'!R16&lt;-0.01,1,0)</f>
        <v/>
      </c>
      <c r="S10" s="25">
        <f>IF('Cash Flow &amp; Runway'!S16&lt;-0.01,1,0)</f>
        <v/>
      </c>
      <c r="T10" s="25">
        <f>IF('Cash Flow &amp; Runway'!T16&lt;-0.01,1,0)</f>
        <v/>
      </c>
      <c r="U10" s="25">
        <f>IF('Cash Flow &amp; Runway'!U16&lt;-0.01,1,0)</f>
        <v/>
      </c>
      <c r="V10" s="25">
        <f>IF('Cash Flow &amp; Runway'!V16&lt;-0.01,1,0)</f>
        <v/>
      </c>
      <c r="W10" s="25">
        <f>IF('Cash Flow &amp; Runway'!W16&lt;-0.01,1,0)</f>
        <v/>
      </c>
      <c r="X10" s="25">
        <f>IF('Cash Flow &amp; Runway'!X16&lt;-0.01,1,0)</f>
        <v/>
      </c>
      <c r="Y10" s="25">
        <f>IF('Cash Flow &amp; Runway'!Y16&lt;-0.01,1,0)</f>
        <v/>
      </c>
      <c r="Z10" s="25">
        <f>IF('Cash Flow &amp; Runway'!Z16&lt;-0.01,1,0)</f>
        <v/>
      </c>
      <c r="AA10" s="25">
        <f>IF('Cash Flow &amp; Runway'!AA16&lt;-0.01,1,0)</f>
        <v/>
      </c>
      <c r="AB10" s="25">
        <f>IF('Cash Flow &amp; Runway'!AB16&lt;-0.01,1,0)</f>
        <v/>
      </c>
      <c r="AC10" s="25">
        <f>IF('Cash Flow &amp; Runway'!AC16&lt;-0.01,1,0)</f>
        <v/>
      </c>
      <c r="AD10" s="25">
        <f>IF('Cash Flow &amp; Runway'!AD16&lt;-0.01,1,0)</f>
        <v/>
      </c>
      <c r="AE10" s="25">
        <f>IF('Cash Flow &amp; Runway'!AE16&lt;-0.01,1,0)</f>
        <v/>
      </c>
      <c r="AF10" s="25">
        <f>IF('Cash Flow &amp; Runway'!AF16&lt;-0.01,1,0)</f>
        <v/>
      </c>
      <c r="AG10" s="25">
        <f>IF('Cash Flow &amp; Runway'!AG16&lt;-0.01,1,0)</f>
        <v/>
      </c>
      <c r="AH10" s="25">
        <f>IF('Cash Flow &amp; Runway'!AH16&lt;-0.01,1,0)</f>
        <v/>
      </c>
      <c r="AI10" s="25">
        <f>IF('Cash Flow &amp; Runway'!AI16&lt;-0.01,1,0)</f>
        <v/>
      </c>
      <c r="AJ10" s="25">
        <f>IF('Cash Flow &amp; Runway'!AJ16&lt;-0.01,1,0)</f>
        <v/>
      </c>
      <c r="AK10" s="25">
        <f>IF('Cash Flow &amp; Runway'!AK16&lt;-0.01,1,0)</f>
        <v/>
      </c>
      <c r="AL10" s="25">
        <f>IF('Cash Flow &amp; Runway'!AL16&lt;-0.01,1,0)</f>
        <v/>
      </c>
    </row>
    <row r="12">
      <c r="A12" s="10" t="inlineStr">
        <is>
          <t>Collections conservation: cum collected + AR - cum NPR (should be 0)</t>
        </is>
      </c>
      <c r="B12" s="23">
        <f>SUM('Cash Flow &amp; Runway'!C9:AL9)+'Cash Flow &amp; Runway'!AL10-SUM('Cash Flow &amp; Runway'!C8:AL8)</f>
        <v/>
      </c>
    </row>
    <row r="13">
      <c r="A13" s="10" t="inlineStr">
        <is>
          <t>MASTER CHECK (0 = OK)</t>
        </is>
      </c>
      <c r="B13" s="30">
        <f>SUM(C6:AL6)+SUM(C7:AL7)+SUM(C8:AL8)+SUM(C9:AL9)+SUM(C10:AL10)+IF(ABS(B12)&gt;1,1,0)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0B050"/>
    <outlinePr summaryBelow="1" summaryRight="1"/>
    <pageSetUpPr/>
  </sheetPr>
  <dimension ref="A1:AL2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the rows a lender / investment committee reads first. All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1">
        <f>IF('Census Waterfall'!C12=0,0,'P&amp;L'!C10/'Census Waterfall'!C12)</f>
        <v/>
      </c>
      <c r="D8" s="31">
        <f>IF('Census Waterfall'!D12=0,0,'P&amp;L'!D10/'Census Waterfall'!D12)</f>
        <v/>
      </c>
      <c r="E8" s="31">
        <f>IF('Census Waterfall'!E12=0,0,'P&amp;L'!E10/'Census Waterfall'!E12)</f>
        <v/>
      </c>
      <c r="F8" s="31">
        <f>IF('Census Waterfall'!F12=0,0,'P&amp;L'!F10/'Census Waterfall'!F12)</f>
        <v/>
      </c>
      <c r="G8" s="31">
        <f>IF('Census Waterfall'!G12=0,0,'P&amp;L'!G10/'Census Waterfall'!G12)</f>
        <v/>
      </c>
      <c r="H8" s="31">
        <f>IF('Census Waterfall'!H12=0,0,'P&amp;L'!H10/'Census Waterfall'!H12)</f>
        <v/>
      </c>
      <c r="I8" s="31">
        <f>IF('Census Waterfall'!I12=0,0,'P&amp;L'!I10/'Census Waterfall'!I12)</f>
        <v/>
      </c>
      <c r="J8" s="31">
        <f>IF('Census Waterfall'!J12=0,0,'P&amp;L'!J10/'Census Waterfall'!J12)</f>
        <v/>
      </c>
      <c r="K8" s="31">
        <f>IF('Census Waterfall'!K12=0,0,'P&amp;L'!K10/'Census Waterfall'!K12)</f>
        <v/>
      </c>
      <c r="L8" s="31">
        <f>IF('Census Waterfall'!L12=0,0,'P&amp;L'!L10/'Census Waterfall'!L12)</f>
        <v/>
      </c>
      <c r="M8" s="31">
        <f>IF('Census Waterfall'!M12=0,0,'P&amp;L'!M10/'Census Waterfall'!M12)</f>
        <v/>
      </c>
      <c r="N8" s="31">
        <f>IF('Census Waterfall'!N12=0,0,'P&amp;L'!N10/'Census Waterfall'!N12)</f>
        <v/>
      </c>
      <c r="O8" s="31">
        <f>IF('Census Waterfall'!O12=0,0,'P&amp;L'!O10/'Census Waterfall'!O12)</f>
        <v/>
      </c>
      <c r="P8" s="31">
        <f>IF('Census Waterfall'!P12=0,0,'P&amp;L'!P10/'Census Waterfall'!P12)</f>
        <v/>
      </c>
      <c r="Q8" s="31">
        <f>IF('Census Waterfall'!Q12=0,0,'P&amp;L'!Q10/'Census Waterfall'!Q12)</f>
        <v/>
      </c>
      <c r="R8" s="31">
        <f>IF('Census Waterfall'!R12=0,0,'P&amp;L'!R10/'Census Waterfall'!R12)</f>
        <v/>
      </c>
      <c r="S8" s="31">
        <f>IF('Census Waterfall'!S12=0,0,'P&amp;L'!S10/'Census Waterfall'!S12)</f>
        <v/>
      </c>
      <c r="T8" s="31">
        <f>IF('Census Waterfall'!T12=0,0,'P&amp;L'!T10/'Census Waterfall'!T12)</f>
        <v/>
      </c>
      <c r="U8" s="31">
        <f>IF('Census Waterfall'!U12=0,0,'P&amp;L'!U10/'Census Waterfall'!U12)</f>
        <v/>
      </c>
      <c r="V8" s="31">
        <f>IF('Census Waterfall'!V12=0,0,'P&amp;L'!V10/'Census Waterfall'!V12)</f>
        <v/>
      </c>
      <c r="W8" s="31">
        <f>IF('Census Waterfall'!W12=0,0,'P&amp;L'!W10/'Census Waterfall'!W12)</f>
        <v/>
      </c>
      <c r="X8" s="31">
        <f>IF('Census Waterfall'!X12=0,0,'P&amp;L'!X10/'Census Waterfall'!X12)</f>
        <v/>
      </c>
      <c r="Y8" s="31">
        <f>IF('Census Waterfall'!Y12=0,0,'P&amp;L'!Y10/'Census Waterfall'!Y12)</f>
        <v/>
      </c>
      <c r="Z8" s="31">
        <f>IF('Census Waterfall'!Z12=0,0,'P&amp;L'!Z10/'Census Waterfall'!Z12)</f>
        <v/>
      </c>
      <c r="AA8" s="31">
        <f>IF('Census Waterfall'!AA12=0,0,'P&amp;L'!AA10/'Census Waterfall'!AA12)</f>
        <v/>
      </c>
      <c r="AB8" s="31">
        <f>IF('Census Waterfall'!AB12=0,0,'P&amp;L'!AB10/'Census Waterfall'!AB12)</f>
        <v/>
      </c>
      <c r="AC8" s="31">
        <f>IF('Census Waterfall'!AC12=0,0,'P&amp;L'!AC10/'Census Waterfall'!AC12)</f>
        <v/>
      </c>
      <c r="AD8" s="31">
        <f>IF('Census Waterfall'!AD12=0,0,'P&amp;L'!AD10/'Census Waterfall'!AD12)</f>
        <v/>
      </c>
      <c r="AE8" s="31">
        <f>IF('Census Waterfall'!AE12=0,0,'P&amp;L'!AE10/'Census Waterfall'!AE12)</f>
        <v/>
      </c>
      <c r="AF8" s="31">
        <f>IF('Census Waterfall'!AF12=0,0,'P&amp;L'!AF10/'Census Waterfall'!AF12)</f>
        <v/>
      </c>
      <c r="AG8" s="31">
        <f>IF('Census Waterfall'!AG12=0,0,'P&amp;L'!AG10/'Census Waterfall'!AG12)</f>
        <v/>
      </c>
      <c r="AH8" s="31">
        <f>IF('Census Waterfall'!AH12=0,0,'P&amp;L'!AH10/'Census Waterfall'!AH12)</f>
        <v/>
      </c>
      <c r="AI8" s="31">
        <f>IF('Census Waterfall'!AI12=0,0,'P&amp;L'!AI10/'Census Waterfall'!AI12)</f>
        <v/>
      </c>
      <c r="AJ8" s="31">
        <f>IF('Census Waterfall'!AJ12=0,0,'P&amp;L'!AJ10/'Census Waterfall'!AJ12)</f>
        <v/>
      </c>
      <c r="AK8" s="31">
        <f>IF('Census Waterfall'!AK12=0,0,'P&amp;L'!AK10/'Census Waterfall'!AK12)</f>
        <v/>
      </c>
      <c r="AL8" s="31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1">
        <f>IF('Census Waterfall'!C12=0,0,'P&amp;L'!C14/'Census Waterfall'!C12)</f>
        <v/>
      </c>
      <c r="D9" s="31">
        <f>IF('Census Waterfall'!D12=0,0,'P&amp;L'!D14/'Census Waterfall'!D12)</f>
        <v/>
      </c>
      <c r="E9" s="31">
        <f>IF('Census Waterfall'!E12=0,0,'P&amp;L'!E14/'Census Waterfall'!E12)</f>
        <v/>
      </c>
      <c r="F9" s="31">
        <f>IF('Census Waterfall'!F12=0,0,'P&amp;L'!F14/'Census Waterfall'!F12)</f>
        <v/>
      </c>
      <c r="G9" s="31">
        <f>IF('Census Waterfall'!G12=0,0,'P&amp;L'!G14/'Census Waterfall'!G12)</f>
        <v/>
      </c>
      <c r="H9" s="31">
        <f>IF('Census Waterfall'!H12=0,0,'P&amp;L'!H14/'Census Waterfall'!H12)</f>
        <v/>
      </c>
      <c r="I9" s="31">
        <f>IF('Census Waterfall'!I12=0,0,'P&amp;L'!I14/'Census Waterfall'!I12)</f>
        <v/>
      </c>
      <c r="J9" s="31">
        <f>IF('Census Waterfall'!J12=0,0,'P&amp;L'!J14/'Census Waterfall'!J12)</f>
        <v/>
      </c>
      <c r="K9" s="31">
        <f>IF('Census Waterfall'!K12=0,0,'P&amp;L'!K14/'Census Waterfall'!K12)</f>
        <v/>
      </c>
      <c r="L9" s="31">
        <f>IF('Census Waterfall'!L12=0,0,'P&amp;L'!L14/'Census Waterfall'!L12)</f>
        <v/>
      </c>
      <c r="M9" s="31">
        <f>IF('Census Waterfall'!M12=0,0,'P&amp;L'!M14/'Census Waterfall'!M12)</f>
        <v/>
      </c>
      <c r="N9" s="31">
        <f>IF('Census Waterfall'!N12=0,0,'P&amp;L'!N14/'Census Waterfall'!N12)</f>
        <v/>
      </c>
      <c r="O9" s="31">
        <f>IF('Census Waterfall'!O12=0,0,'P&amp;L'!O14/'Census Waterfall'!O12)</f>
        <v/>
      </c>
      <c r="P9" s="31">
        <f>IF('Census Waterfall'!P12=0,0,'P&amp;L'!P14/'Census Waterfall'!P12)</f>
        <v/>
      </c>
      <c r="Q9" s="31">
        <f>IF('Census Waterfall'!Q12=0,0,'P&amp;L'!Q14/'Census Waterfall'!Q12)</f>
        <v/>
      </c>
      <c r="R9" s="31">
        <f>IF('Census Waterfall'!R12=0,0,'P&amp;L'!R14/'Census Waterfall'!R12)</f>
        <v/>
      </c>
      <c r="S9" s="31">
        <f>IF('Census Waterfall'!S12=0,0,'P&amp;L'!S14/'Census Waterfall'!S12)</f>
        <v/>
      </c>
      <c r="T9" s="31">
        <f>IF('Census Waterfall'!T12=0,0,'P&amp;L'!T14/'Census Waterfall'!T12)</f>
        <v/>
      </c>
      <c r="U9" s="31">
        <f>IF('Census Waterfall'!U12=0,0,'P&amp;L'!U14/'Census Waterfall'!U12)</f>
        <v/>
      </c>
      <c r="V9" s="31">
        <f>IF('Census Waterfall'!V12=0,0,'P&amp;L'!V14/'Census Waterfall'!V12)</f>
        <v/>
      </c>
      <c r="W9" s="31">
        <f>IF('Census Waterfall'!W12=0,0,'P&amp;L'!W14/'Census Waterfall'!W12)</f>
        <v/>
      </c>
      <c r="X9" s="31">
        <f>IF('Census Waterfall'!X12=0,0,'P&amp;L'!X14/'Census Waterfall'!X12)</f>
        <v/>
      </c>
      <c r="Y9" s="31">
        <f>IF('Census Waterfall'!Y12=0,0,'P&amp;L'!Y14/'Census Waterfall'!Y12)</f>
        <v/>
      </c>
      <c r="Z9" s="31">
        <f>IF('Census Waterfall'!Z12=0,0,'P&amp;L'!Z14/'Census Waterfall'!Z12)</f>
        <v/>
      </c>
      <c r="AA9" s="31">
        <f>IF('Census Waterfall'!AA12=0,0,'P&amp;L'!AA14/'Census Waterfall'!AA12)</f>
        <v/>
      </c>
      <c r="AB9" s="31">
        <f>IF('Census Waterfall'!AB12=0,0,'P&amp;L'!AB14/'Census Waterfall'!AB12)</f>
        <v/>
      </c>
      <c r="AC9" s="31">
        <f>IF('Census Waterfall'!AC12=0,0,'P&amp;L'!AC14/'Census Waterfall'!AC12)</f>
        <v/>
      </c>
      <c r="AD9" s="31">
        <f>IF('Census Waterfall'!AD12=0,0,'P&amp;L'!AD14/'Census Waterfall'!AD12)</f>
        <v/>
      </c>
      <c r="AE9" s="31">
        <f>IF('Census Waterfall'!AE12=0,0,'P&amp;L'!AE14/'Census Waterfall'!AE12)</f>
        <v/>
      </c>
      <c r="AF9" s="31">
        <f>IF('Census Waterfall'!AF12=0,0,'P&amp;L'!AF14/'Census Waterfall'!AF12)</f>
        <v/>
      </c>
      <c r="AG9" s="31">
        <f>IF('Census Waterfall'!AG12=0,0,'P&amp;L'!AG14/'Census Waterfall'!AG12)</f>
        <v/>
      </c>
      <c r="AH9" s="31">
        <f>IF('Census Waterfall'!AH12=0,0,'P&amp;L'!AH14/'Census Waterfall'!AH12)</f>
        <v/>
      </c>
      <c r="AI9" s="31">
        <f>IF('Census Waterfall'!AI12=0,0,'P&amp;L'!AI14/'Census Waterfall'!AI12)</f>
        <v/>
      </c>
      <c r="AJ9" s="31">
        <f>IF('Census Waterfall'!AJ12=0,0,'P&amp;L'!AJ14/'Census Waterfall'!AJ12)</f>
        <v/>
      </c>
      <c r="AK9" s="31">
        <f>IF('Census Waterfall'!AK12=0,0,'P&amp;L'!AK14/'Census Waterfall'!AK12)</f>
        <v/>
      </c>
      <c r="AL9" s="31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1">
        <f>IF('Census Waterfall'!C12=0,0,'P&amp;L'!C15/'Census Waterfall'!C12)</f>
        <v/>
      </c>
      <c r="D10" s="31">
        <f>IF('Census Waterfall'!D12=0,0,'P&amp;L'!D15/'Census Waterfall'!D12)</f>
        <v/>
      </c>
      <c r="E10" s="31">
        <f>IF('Census Waterfall'!E12=0,0,'P&amp;L'!E15/'Census Waterfall'!E12)</f>
        <v/>
      </c>
      <c r="F10" s="31">
        <f>IF('Census Waterfall'!F12=0,0,'P&amp;L'!F15/'Census Waterfall'!F12)</f>
        <v/>
      </c>
      <c r="G10" s="31">
        <f>IF('Census Waterfall'!G12=0,0,'P&amp;L'!G15/'Census Waterfall'!G12)</f>
        <v/>
      </c>
      <c r="H10" s="31">
        <f>IF('Census Waterfall'!H12=0,0,'P&amp;L'!H15/'Census Waterfall'!H12)</f>
        <v/>
      </c>
      <c r="I10" s="31">
        <f>IF('Census Waterfall'!I12=0,0,'P&amp;L'!I15/'Census Waterfall'!I12)</f>
        <v/>
      </c>
      <c r="J10" s="31">
        <f>IF('Census Waterfall'!J12=0,0,'P&amp;L'!J15/'Census Waterfall'!J12)</f>
        <v/>
      </c>
      <c r="K10" s="31">
        <f>IF('Census Waterfall'!K12=0,0,'P&amp;L'!K15/'Census Waterfall'!K12)</f>
        <v/>
      </c>
      <c r="L10" s="31">
        <f>IF('Census Waterfall'!L12=0,0,'P&amp;L'!L15/'Census Waterfall'!L12)</f>
        <v/>
      </c>
      <c r="M10" s="31">
        <f>IF('Census Waterfall'!M12=0,0,'P&amp;L'!M15/'Census Waterfall'!M12)</f>
        <v/>
      </c>
      <c r="N10" s="31">
        <f>IF('Census Waterfall'!N12=0,0,'P&amp;L'!N15/'Census Waterfall'!N12)</f>
        <v/>
      </c>
      <c r="O10" s="31">
        <f>IF('Census Waterfall'!O12=0,0,'P&amp;L'!O15/'Census Waterfall'!O12)</f>
        <v/>
      </c>
      <c r="P10" s="31">
        <f>IF('Census Waterfall'!P12=0,0,'P&amp;L'!P15/'Census Waterfall'!P12)</f>
        <v/>
      </c>
      <c r="Q10" s="31">
        <f>IF('Census Waterfall'!Q12=0,0,'P&amp;L'!Q15/'Census Waterfall'!Q12)</f>
        <v/>
      </c>
      <c r="R10" s="31">
        <f>IF('Census Waterfall'!R12=0,0,'P&amp;L'!R15/'Census Waterfall'!R12)</f>
        <v/>
      </c>
      <c r="S10" s="31">
        <f>IF('Census Waterfall'!S12=0,0,'P&amp;L'!S15/'Census Waterfall'!S12)</f>
        <v/>
      </c>
      <c r="T10" s="31">
        <f>IF('Census Waterfall'!T12=0,0,'P&amp;L'!T15/'Census Waterfall'!T12)</f>
        <v/>
      </c>
      <c r="U10" s="31">
        <f>IF('Census Waterfall'!U12=0,0,'P&amp;L'!U15/'Census Waterfall'!U12)</f>
        <v/>
      </c>
      <c r="V10" s="31">
        <f>IF('Census Waterfall'!V12=0,0,'P&amp;L'!V15/'Census Waterfall'!V12)</f>
        <v/>
      </c>
      <c r="W10" s="31">
        <f>IF('Census Waterfall'!W12=0,0,'P&amp;L'!W15/'Census Waterfall'!W12)</f>
        <v/>
      </c>
      <c r="X10" s="31">
        <f>IF('Census Waterfall'!X12=0,0,'P&amp;L'!X15/'Census Waterfall'!X12)</f>
        <v/>
      </c>
      <c r="Y10" s="31">
        <f>IF('Census Waterfall'!Y12=0,0,'P&amp;L'!Y15/'Census Waterfall'!Y12)</f>
        <v/>
      </c>
      <c r="Z10" s="31">
        <f>IF('Census Waterfall'!Z12=0,0,'P&amp;L'!Z15/'Census Waterfall'!Z12)</f>
        <v/>
      </c>
      <c r="AA10" s="31">
        <f>IF('Census Waterfall'!AA12=0,0,'P&amp;L'!AA15/'Census Waterfall'!AA12)</f>
        <v/>
      </c>
      <c r="AB10" s="31">
        <f>IF('Census Waterfall'!AB12=0,0,'P&amp;L'!AB15/'Census Waterfall'!AB12)</f>
        <v/>
      </c>
      <c r="AC10" s="31">
        <f>IF('Census Waterfall'!AC12=0,0,'P&amp;L'!AC15/'Census Waterfall'!AC12)</f>
        <v/>
      </c>
      <c r="AD10" s="31">
        <f>IF('Census Waterfall'!AD12=0,0,'P&amp;L'!AD15/'Census Waterfall'!AD12)</f>
        <v/>
      </c>
      <c r="AE10" s="31">
        <f>IF('Census Waterfall'!AE12=0,0,'P&amp;L'!AE15/'Census Waterfall'!AE12)</f>
        <v/>
      </c>
      <c r="AF10" s="31">
        <f>IF('Census Waterfall'!AF12=0,0,'P&amp;L'!AF15/'Census Waterfall'!AF12)</f>
        <v/>
      </c>
      <c r="AG10" s="31">
        <f>IF('Census Waterfall'!AG12=0,0,'P&amp;L'!AG15/'Census Waterfall'!AG12)</f>
        <v/>
      </c>
      <c r="AH10" s="31">
        <f>IF('Census Waterfall'!AH12=0,0,'P&amp;L'!AH15/'Census Waterfall'!AH12)</f>
        <v/>
      </c>
      <c r="AI10" s="31">
        <f>IF('Census Waterfall'!AI12=0,0,'P&amp;L'!AI15/'Census Waterfall'!AI12)</f>
        <v/>
      </c>
      <c r="AJ10" s="31">
        <f>IF('Census Waterfall'!AJ12=0,0,'P&amp;L'!AJ15/'Census Waterfall'!AJ12)</f>
        <v/>
      </c>
      <c r="AK10" s="31">
        <f>IF('Census Waterfall'!AK12=0,0,'P&amp;L'!AK15/'Census Waterfall'!AK12)</f>
        <v/>
      </c>
      <c r="AL10" s="31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2">
        <f>'P&amp;L'!C25</f>
        <v/>
      </c>
      <c r="D13" s="32">
        <f>'P&amp;L'!D25</f>
        <v/>
      </c>
      <c r="E13" s="32">
        <f>'P&amp;L'!E25</f>
        <v/>
      </c>
      <c r="F13" s="32">
        <f>'P&amp;L'!F25</f>
        <v/>
      </c>
      <c r="G13" s="32">
        <f>'P&amp;L'!G25</f>
        <v/>
      </c>
      <c r="H13" s="32">
        <f>'P&amp;L'!H25</f>
        <v/>
      </c>
      <c r="I13" s="32">
        <f>'P&amp;L'!I25</f>
        <v/>
      </c>
      <c r="J13" s="32">
        <f>'P&amp;L'!J25</f>
        <v/>
      </c>
      <c r="K13" s="32">
        <f>'P&amp;L'!K25</f>
        <v/>
      </c>
      <c r="L13" s="32">
        <f>'P&amp;L'!L25</f>
        <v/>
      </c>
      <c r="M13" s="32">
        <f>'P&amp;L'!M25</f>
        <v/>
      </c>
      <c r="N13" s="32">
        <f>'P&amp;L'!N25</f>
        <v/>
      </c>
      <c r="O13" s="32">
        <f>'P&amp;L'!O25</f>
        <v/>
      </c>
      <c r="P13" s="32">
        <f>'P&amp;L'!P25</f>
        <v/>
      </c>
      <c r="Q13" s="32">
        <f>'P&amp;L'!Q25</f>
        <v/>
      </c>
      <c r="R13" s="32">
        <f>'P&amp;L'!R25</f>
        <v/>
      </c>
      <c r="S13" s="32">
        <f>'P&amp;L'!S25</f>
        <v/>
      </c>
      <c r="T13" s="32">
        <f>'P&amp;L'!T25</f>
        <v/>
      </c>
      <c r="U13" s="32">
        <f>'P&amp;L'!U25</f>
        <v/>
      </c>
      <c r="V13" s="32">
        <f>'P&amp;L'!V25</f>
        <v/>
      </c>
      <c r="W13" s="32">
        <f>'P&amp;L'!W25</f>
        <v/>
      </c>
      <c r="X13" s="32">
        <f>'P&amp;L'!X25</f>
        <v/>
      </c>
      <c r="Y13" s="32">
        <f>'P&amp;L'!Y25</f>
        <v/>
      </c>
      <c r="Z13" s="32">
        <f>'P&amp;L'!Z25</f>
        <v/>
      </c>
      <c r="AA13" s="32">
        <f>'P&amp;L'!AA25</f>
        <v/>
      </c>
      <c r="AB13" s="32">
        <f>'P&amp;L'!AB25</f>
        <v/>
      </c>
      <c r="AC13" s="32">
        <f>'P&amp;L'!AC25</f>
        <v/>
      </c>
      <c r="AD13" s="32">
        <f>'P&amp;L'!AD25</f>
        <v/>
      </c>
      <c r="AE13" s="32">
        <f>'P&amp;L'!AE25</f>
        <v/>
      </c>
      <c r="AF13" s="32">
        <f>'P&amp;L'!AF25</f>
        <v/>
      </c>
      <c r="AG13" s="32">
        <f>'P&amp;L'!AG25</f>
        <v/>
      </c>
      <c r="AH13" s="32">
        <f>'P&amp;L'!AH25</f>
        <v/>
      </c>
      <c r="AI13" s="32">
        <f>'P&amp;L'!AI25</f>
        <v/>
      </c>
      <c r="AJ13" s="32">
        <f>'P&amp;L'!AJ25</f>
        <v/>
      </c>
      <c r="AK13" s="32">
        <f>'P&amp;L'!AK25</f>
        <v/>
      </c>
      <c r="AL13" s="32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Runway'!C46</f>
        <v/>
      </c>
      <c r="D15" s="29">
        <f>'Cash Flow &amp; Runway'!D46</f>
        <v/>
      </c>
      <c r="E15" s="29">
        <f>'Cash Flow &amp; Runway'!E46</f>
        <v/>
      </c>
      <c r="F15" s="29">
        <f>'Cash Flow &amp; Runway'!F46</f>
        <v/>
      </c>
      <c r="G15" s="29">
        <f>'Cash Flow &amp; Runway'!G46</f>
        <v/>
      </c>
      <c r="H15" s="29">
        <f>'Cash Flow &amp; Runway'!H46</f>
        <v/>
      </c>
      <c r="I15" s="29">
        <f>'Cash Flow &amp; Runway'!I46</f>
        <v/>
      </c>
      <c r="J15" s="29">
        <f>'Cash Flow &amp; Runway'!J46</f>
        <v/>
      </c>
      <c r="K15" s="29">
        <f>'Cash Flow &amp; Runway'!K46</f>
        <v/>
      </c>
      <c r="L15" s="29">
        <f>'Cash Flow &amp; Runway'!L46</f>
        <v/>
      </c>
      <c r="M15" s="29">
        <f>'Cash Flow &amp; Runway'!M46</f>
        <v/>
      </c>
      <c r="N15" s="29">
        <f>'Cash Flow &amp; Runway'!N46</f>
        <v/>
      </c>
      <c r="O15" s="29">
        <f>'Cash Flow &amp; Runway'!O46</f>
        <v/>
      </c>
      <c r="P15" s="29">
        <f>'Cash Flow &amp; Runway'!P46</f>
        <v/>
      </c>
      <c r="Q15" s="29">
        <f>'Cash Flow &amp; Runway'!Q46</f>
        <v/>
      </c>
      <c r="R15" s="29">
        <f>'Cash Flow &amp; Runway'!R46</f>
        <v/>
      </c>
      <c r="S15" s="29">
        <f>'Cash Flow &amp; Runway'!S46</f>
        <v/>
      </c>
      <c r="T15" s="29">
        <f>'Cash Flow &amp; Runway'!T46</f>
        <v/>
      </c>
      <c r="U15" s="29">
        <f>'Cash Flow &amp; Runway'!U46</f>
        <v/>
      </c>
      <c r="V15" s="29">
        <f>'Cash Flow &amp; Runway'!V46</f>
        <v/>
      </c>
      <c r="W15" s="29">
        <f>'Cash Flow &amp; Runway'!W46</f>
        <v/>
      </c>
      <c r="X15" s="29">
        <f>'Cash Flow &amp; Runway'!X46</f>
        <v/>
      </c>
      <c r="Y15" s="29">
        <f>'Cash Flow &amp; Runway'!Y46</f>
        <v/>
      </c>
      <c r="Z15" s="29">
        <f>'Cash Flow &amp; Runway'!Z46</f>
        <v/>
      </c>
      <c r="AA15" s="29">
        <f>'Cash Flow &amp; Runway'!AA46</f>
        <v/>
      </c>
      <c r="AB15" s="29">
        <f>'Cash Flow &amp; Runway'!AB46</f>
        <v/>
      </c>
      <c r="AC15" s="29">
        <f>'Cash Flow &amp; Runway'!AC46</f>
        <v/>
      </c>
      <c r="AD15" s="29">
        <f>'Cash Flow &amp; Runway'!AD46</f>
        <v/>
      </c>
      <c r="AE15" s="29">
        <f>'Cash Flow &amp; Runway'!AE46</f>
        <v/>
      </c>
      <c r="AF15" s="29">
        <f>'Cash Flow &amp; Runway'!AF46</f>
        <v/>
      </c>
      <c r="AG15" s="29">
        <f>'Cash Flow &amp; Runway'!AG46</f>
        <v/>
      </c>
      <c r="AH15" s="29">
        <f>'Cash Flow &amp; Runway'!AH46</f>
        <v/>
      </c>
      <c r="AI15" s="29">
        <f>'Cash Flow &amp; Runway'!AI46</f>
        <v/>
      </c>
      <c r="AJ15" s="29">
        <f>'Cash Flow &amp; Runway'!AJ46</f>
        <v/>
      </c>
      <c r="AK15" s="29">
        <f>'Cash Flow &amp; Runway'!AK46</f>
        <v/>
      </c>
      <c r="AL15" s="29">
        <f>'Cash Flow &amp; Runway'!AL46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Runway'!C45</f>
        <v/>
      </c>
      <c r="D19" s="22">
        <f>'Cash Flow &amp; Runway'!D45</f>
        <v/>
      </c>
      <c r="E19" s="22">
        <f>'Cash Flow &amp; Runway'!E45</f>
        <v/>
      </c>
      <c r="F19" s="22">
        <f>'Cash Flow &amp; Runway'!F45</f>
        <v/>
      </c>
      <c r="G19" s="22">
        <f>'Cash Flow &amp; Runway'!G45</f>
        <v/>
      </c>
      <c r="H19" s="22">
        <f>'Cash Flow &amp; Runway'!H45</f>
        <v/>
      </c>
      <c r="I19" s="22">
        <f>'Cash Flow &amp; Runway'!I45</f>
        <v/>
      </c>
      <c r="J19" s="22">
        <f>'Cash Flow &amp; Runway'!J45</f>
        <v/>
      </c>
      <c r="K19" s="22">
        <f>'Cash Flow &amp; Runway'!K45</f>
        <v/>
      </c>
      <c r="L19" s="22">
        <f>'Cash Flow &amp; Runway'!L45</f>
        <v/>
      </c>
      <c r="M19" s="22">
        <f>'Cash Flow &amp; Runway'!M45</f>
        <v/>
      </c>
      <c r="N19" s="22">
        <f>'Cash Flow &amp; Runway'!N45</f>
        <v/>
      </c>
      <c r="O19" s="22">
        <f>'Cash Flow &amp; Runway'!O45</f>
        <v/>
      </c>
      <c r="P19" s="22">
        <f>'Cash Flow &amp; Runway'!P45</f>
        <v/>
      </c>
      <c r="Q19" s="22">
        <f>'Cash Flow &amp; Runway'!Q45</f>
        <v/>
      </c>
      <c r="R19" s="22">
        <f>'Cash Flow &amp; Runway'!R45</f>
        <v/>
      </c>
      <c r="S19" s="22">
        <f>'Cash Flow &amp; Runway'!S45</f>
        <v/>
      </c>
      <c r="T19" s="22">
        <f>'Cash Flow &amp; Runway'!T45</f>
        <v/>
      </c>
      <c r="U19" s="22">
        <f>'Cash Flow &amp; Runway'!U45</f>
        <v/>
      </c>
      <c r="V19" s="22">
        <f>'Cash Flow &amp; Runway'!V45</f>
        <v/>
      </c>
      <c r="W19" s="22">
        <f>'Cash Flow &amp; Runway'!W45</f>
        <v/>
      </c>
      <c r="X19" s="22">
        <f>'Cash Flow &amp; Runway'!X45</f>
        <v/>
      </c>
      <c r="Y19" s="22">
        <f>'Cash Flow &amp; Runway'!Y45</f>
        <v/>
      </c>
      <c r="Z19" s="22">
        <f>'Cash Flow &amp; Runway'!Z45</f>
        <v/>
      </c>
      <c r="AA19" s="22">
        <f>'Cash Flow &amp; Runway'!AA45</f>
        <v/>
      </c>
      <c r="AB19" s="22">
        <f>'Cash Flow &amp; Runway'!AB45</f>
        <v/>
      </c>
      <c r="AC19" s="22">
        <f>'Cash Flow &amp; Runway'!AC45</f>
        <v/>
      </c>
      <c r="AD19" s="22">
        <f>'Cash Flow &amp; Runway'!AD45</f>
        <v/>
      </c>
      <c r="AE19" s="22">
        <f>'Cash Flow &amp; Runway'!AE45</f>
        <v/>
      </c>
      <c r="AF19" s="22">
        <f>'Cash Flow &amp; Runway'!AF45</f>
        <v/>
      </c>
      <c r="AG19" s="22">
        <f>'Cash Flow &amp; Runway'!AG45</f>
        <v/>
      </c>
      <c r="AH19" s="22">
        <f>'Cash Flow &amp; Runway'!AH45</f>
        <v/>
      </c>
      <c r="AI19" s="22">
        <f>'Cash Flow &amp; Runway'!AI45</f>
        <v/>
      </c>
      <c r="AJ19" s="22">
        <f>'Cash Flow &amp; Runway'!AJ45</f>
        <v/>
      </c>
      <c r="AK19" s="22">
        <f>'Cash Flow &amp; Runway'!AK45</f>
        <v/>
      </c>
      <c r="AL19" s="22">
        <f>'Cash Flow &amp; Runway'!AL45</f>
        <v/>
      </c>
    </row>
    <row r="20">
      <c r="A20" s="4" t="inlineStr">
        <is>
          <t>Revolver balance</t>
        </is>
      </c>
      <c r="C20" s="22">
        <f>'Cash Flow &amp; Runway'!C44</f>
        <v/>
      </c>
      <c r="D20" s="22">
        <f>'Cash Flow &amp; Runway'!D44</f>
        <v/>
      </c>
      <c r="E20" s="22">
        <f>'Cash Flow &amp; Runway'!E44</f>
        <v/>
      </c>
      <c r="F20" s="22">
        <f>'Cash Flow &amp; Runway'!F44</f>
        <v/>
      </c>
      <c r="G20" s="22">
        <f>'Cash Flow &amp; Runway'!G44</f>
        <v/>
      </c>
      <c r="H20" s="22">
        <f>'Cash Flow &amp; Runway'!H44</f>
        <v/>
      </c>
      <c r="I20" s="22">
        <f>'Cash Flow &amp; Runway'!I44</f>
        <v/>
      </c>
      <c r="J20" s="22">
        <f>'Cash Flow &amp; Runway'!J44</f>
        <v/>
      </c>
      <c r="K20" s="22">
        <f>'Cash Flow &amp; Runway'!K44</f>
        <v/>
      </c>
      <c r="L20" s="22">
        <f>'Cash Flow &amp; Runway'!L44</f>
        <v/>
      </c>
      <c r="M20" s="22">
        <f>'Cash Flow &amp; Runway'!M44</f>
        <v/>
      </c>
      <c r="N20" s="22">
        <f>'Cash Flow &amp; Runway'!N44</f>
        <v/>
      </c>
      <c r="O20" s="22">
        <f>'Cash Flow &amp; Runway'!O44</f>
        <v/>
      </c>
      <c r="P20" s="22">
        <f>'Cash Flow &amp; Runway'!P44</f>
        <v/>
      </c>
      <c r="Q20" s="22">
        <f>'Cash Flow &amp; Runway'!Q44</f>
        <v/>
      </c>
      <c r="R20" s="22">
        <f>'Cash Flow &amp; Runway'!R44</f>
        <v/>
      </c>
      <c r="S20" s="22">
        <f>'Cash Flow &amp; Runway'!S44</f>
        <v/>
      </c>
      <c r="T20" s="22">
        <f>'Cash Flow &amp; Runway'!T44</f>
        <v/>
      </c>
      <c r="U20" s="22">
        <f>'Cash Flow &amp; Runway'!U44</f>
        <v/>
      </c>
      <c r="V20" s="22">
        <f>'Cash Flow &amp; Runway'!V44</f>
        <v/>
      </c>
      <c r="W20" s="22">
        <f>'Cash Flow &amp; Runway'!W44</f>
        <v/>
      </c>
      <c r="X20" s="22">
        <f>'Cash Flow &amp; Runway'!X44</f>
        <v/>
      </c>
      <c r="Y20" s="22">
        <f>'Cash Flow &amp; Runway'!Y44</f>
        <v/>
      </c>
      <c r="Z20" s="22">
        <f>'Cash Flow &amp; Runway'!Z44</f>
        <v/>
      </c>
      <c r="AA20" s="22">
        <f>'Cash Flow &amp; Runway'!AA44</f>
        <v/>
      </c>
      <c r="AB20" s="22">
        <f>'Cash Flow &amp; Runway'!AB44</f>
        <v/>
      </c>
      <c r="AC20" s="22">
        <f>'Cash Flow &amp; Runway'!AC44</f>
        <v/>
      </c>
      <c r="AD20" s="22">
        <f>'Cash Flow &amp; Runway'!AD44</f>
        <v/>
      </c>
      <c r="AE20" s="22">
        <f>'Cash Flow &amp; Runway'!AE44</f>
        <v/>
      </c>
      <c r="AF20" s="22">
        <f>'Cash Flow &amp; Runway'!AF44</f>
        <v/>
      </c>
      <c r="AG20" s="22">
        <f>'Cash Flow &amp; Runway'!AG44</f>
        <v/>
      </c>
      <c r="AH20" s="22">
        <f>'Cash Flow &amp; Runway'!AH44</f>
        <v/>
      </c>
      <c r="AI20" s="22">
        <f>'Cash Flow &amp; Runway'!AI44</f>
        <v/>
      </c>
      <c r="AJ20" s="22">
        <f>'Cash Flow &amp; Runway'!AJ44</f>
        <v/>
      </c>
      <c r="AK20" s="22">
        <f>'Cash Flow &amp; Runway'!AK44</f>
        <v/>
      </c>
      <c r="AL20" s="22">
        <f>'Cash Flow &amp; Runway'!AL44</f>
        <v/>
      </c>
    </row>
    <row r="21">
      <c r="A21" s="10" t="inlineStr">
        <is>
          <t>TOTAL LIQUIDITY (cash + undrawn revolver)</t>
        </is>
      </c>
      <c r="C21" s="23">
        <f>'Cash Flow &amp; Runway'!C45+'Control Tower'!$B$124-'Cash Flow &amp; Runway'!C44</f>
        <v/>
      </c>
      <c r="D21" s="23">
        <f>'Cash Flow &amp; Runway'!D45+'Control Tower'!$B$124-'Cash Flow &amp; Runway'!D44</f>
        <v/>
      </c>
      <c r="E21" s="23">
        <f>'Cash Flow &amp; Runway'!E45+'Control Tower'!$B$124-'Cash Flow &amp; Runway'!E44</f>
        <v/>
      </c>
      <c r="F21" s="23">
        <f>'Cash Flow &amp; Runway'!F45+'Control Tower'!$B$124-'Cash Flow &amp; Runway'!F44</f>
        <v/>
      </c>
      <c r="G21" s="23">
        <f>'Cash Flow &amp; Runway'!G45+'Control Tower'!$B$124-'Cash Flow &amp; Runway'!G44</f>
        <v/>
      </c>
      <c r="H21" s="23">
        <f>'Cash Flow &amp; Runway'!H45+'Control Tower'!$B$124-'Cash Flow &amp; Runway'!H44</f>
        <v/>
      </c>
      <c r="I21" s="23">
        <f>'Cash Flow &amp; Runway'!I45+'Control Tower'!$B$124-'Cash Flow &amp; Runway'!I44</f>
        <v/>
      </c>
      <c r="J21" s="23">
        <f>'Cash Flow &amp; Runway'!J45+'Control Tower'!$B$124-'Cash Flow &amp; Runway'!J44</f>
        <v/>
      </c>
      <c r="K21" s="23">
        <f>'Cash Flow &amp; Runway'!K45+'Control Tower'!$B$124-'Cash Flow &amp; Runway'!K44</f>
        <v/>
      </c>
      <c r="L21" s="23">
        <f>'Cash Flow &amp; Runway'!L45+'Control Tower'!$B$124-'Cash Flow &amp; Runway'!L44</f>
        <v/>
      </c>
      <c r="M21" s="23">
        <f>'Cash Flow &amp; Runway'!M45+'Control Tower'!$B$124-'Cash Flow &amp; Runway'!M44</f>
        <v/>
      </c>
      <c r="N21" s="23">
        <f>'Cash Flow &amp; Runway'!N45+'Control Tower'!$B$124-'Cash Flow &amp; Runway'!N44</f>
        <v/>
      </c>
      <c r="O21" s="23">
        <f>'Cash Flow &amp; Runway'!O45+'Control Tower'!$B$124-'Cash Flow &amp; Runway'!O44</f>
        <v/>
      </c>
      <c r="P21" s="23">
        <f>'Cash Flow &amp; Runway'!P45+'Control Tower'!$B$124-'Cash Flow &amp; Runway'!P44</f>
        <v/>
      </c>
      <c r="Q21" s="23">
        <f>'Cash Flow &amp; Runway'!Q45+'Control Tower'!$B$124-'Cash Flow &amp; Runway'!Q44</f>
        <v/>
      </c>
      <c r="R21" s="23">
        <f>'Cash Flow &amp; Runway'!R45+'Control Tower'!$B$124-'Cash Flow &amp; Runway'!R44</f>
        <v/>
      </c>
      <c r="S21" s="23">
        <f>'Cash Flow &amp; Runway'!S45+'Control Tower'!$B$124-'Cash Flow &amp; Runway'!S44</f>
        <v/>
      </c>
      <c r="T21" s="23">
        <f>'Cash Flow &amp; Runway'!T45+'Control Tower'!$B$124-'Cash Flow &amp; Runway'!T44</f>
        <v/>
      </c>
      <c r="U21" s="23">
        <f>'Cash Flow &amp; Runway'!U45+'Control Tower'!$B$124-'Cash Flow &amp; Runway'!U44</f>
        <v/>
      </c>
      <c r="V21" s="23">
        <f>'Cash Flow &amp; Runway'!V45+'Control Tower'!$B$124-'Cash Flow &amp; Runway'!V44</f>
        <v/>
      </c>
      <c r="W21" s="23">
        <f>'Cash Flow &amp; Runway'!W45+'Control Tower'!$B$124-'Cash Flow &amp; Runway'!W44</f>
        <v/>
      </c>
      <c r="X21" s="23">
        <f>'Cash Flow &amp; Runway'!X45+'Control Tower'!$B$124-'Cash Flow &amp; Runway'!X44</f>
        <v/>
      </c>
      <c r="Y21" s="23">
        <f>'Cash Flow &amp; Runway'!Y45+'Control Tower'!$B$124-'Cash Flow &amp; Runway'!Y44</f>
        <v/>
      </c>
      <c r="Z21" s="23">
        <f>'Cash Flow &amp; Runway'!Z45+'Control Tower'!$B$124-'Cash Flow &amp; Runway'!Z44</f>
        <v/>
      </c>
      <c r="AA21" s="23">
        <f>'Cash Flow &amp; Runway'!AA45+'Control Tower'!$B$124-'Cash Flow &amp; Runway'!AA44</f>
        <v/>
      </c>
      <c r="AB21" s="23">
        <f>'Cash Flow &amp; Runway'!AB45+'Control Tower'!$B$124-'Cash Flow &amp; Runway'!AB44</f>
        <v/>
      </c>
      <c r="AC21" s="23">
        <f>'Cash Flow &amp; Runway'!AC45+'Control Tower'!$B$124-'Cash Flow &amp; Runway'!AC44</f>
        <v/>
      </c>
      <c r="AD21" s="23">
        <f>'Cash Flow &amp; Runway'!AD45+'Control Tower'!$B$124-'Cash Flow &amp; Runway'!AD44</f>
        <v/>
      </c>
      <c r="AE21" s="23">
        <f>'Cash Flow &amp; Runway'!AE45+'Control Tower'!$B$124-'Cash Flow &amp; Runway'!AE44</f>
        <v/>
      </c>
      <c r="AF21" s="23">
        <f>'Cash Flow &amp; Runway'!AF45+'Control Tower'!$B$124-'Cash Flow &amp; Runway'!AF44</f>
        <v/>
      </c>
      <c r="AG21" s="23">
        <f>'Cash Flow &amp; Runway'!AG45+'Control Tower'!$B$124-'Cash Flow &amp; Runway'!AG44</f>
        <v/>
      </c>
      <c r="AH21" s="23">
        <f>'Cash Flow &amp; Runway'!AH45+'Control Tower'!$B$124-'Cash Flow &amp; Runway'!AH44</f>
        <v/>
      </c>
      <c r="AI21" s="23">
        <f>'Cash Flow &amp; Runway'!AI45+'Control Tower'!$B$124-'Cash Flow &amp; Runway'!AI44</f>
        <v/>
      </c>
      <c r="AJ21" s="23">
        <f>'Cash Flow &amp; Runway'!AJ45+'Control Tower'!$B$124-'Cash Flow &amp; Runway'!AJ44</f>
        <v/>
      </c>
      <c r="AK21" s="23">
        <f>'Cash Flow &amp; Runway'!AK45+'Control Tower'!$B$124-'Cash Flow &amp; Runway'!AK44</f>
        <v/>
      </c>
      <c r="AL21" s="23">
        <f>'Cash Flow &amp; Runway'!AL45+'Control Tower'!$B$124-'Cash Flow &amp; Runway'!AL44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Runway'!C45/('Staffing'!C39+'Operating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Runway'!D45/('Staffing'!D39+'Operating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Runway'!E45/('Staffing'!E39+'Operating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Runway'!F45/('Staffing'!F39+'Operating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Runway'!G45/('Staffing'!G39+'Operating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Runway'!H45/('Staffing'!H39+'Operating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Runway'!I45/('Staffing'!I39+'Operating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Runway'!J45/('Staffing'!J39+'Operating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Runway'!K45/('Staffing'!K39+'Operating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Runway'!L45/('Staffing'!L39+'Operating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Runway'!M45/('Staffing'!M39+'Operating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Runway'!N45/('Staffing'!N39+'Operating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Runway'!O45/('Staffing'!O39+'Operating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Runway'!P45/('Staffing'!P39+'Operating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Runway'!Q45/('Staffing'!Q39+'Operating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Runway'!R45/('Staffing'!R39+'Operating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Runway'!S45/('Staffing'!S39+'Operating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Runway'!T45/('Staffing'!T39+'Operating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Runway'!U45/('Staffing'!U39+'Operating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Runway'!V45/('Staffing'!V39+'Operating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Runway'!W45/('Staffing'!W39+'Operating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Runway'!X45/('Staffing'!X39+'Operating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Runway'!Y45/('Staffing'!Y39+'Operating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Runway'!Z45/('Staffing'!Z39+'Operating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Runway'!AA45/('Staffing'!AA39+'Operating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Runway'!AB45/('Staffing'!AB39+'Operating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Runway'!AC45/('Staffing'!AC39+'Operating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Runway'!AD45/('Staffing'!AD39+'Operating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Runway'!AE45/('Staffing'!AE39+'Operating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Runway'!AF45/('Staffing'!AF39+'Operating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Runway'!AG45/('Staffing'!AG39+'Operating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Runway'!AH45/('Staffing'!AH39+'Operating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Runway'!AI45/('Staffing'!AI39+'Operating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Runway'!AJ45/('Staffing'!AJ39+'Operating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Runway'!AK45/('Staffing'!AK39+'Operating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Runway'!AL45/('Staffing'!AL39+'Operating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Tower'!$B$127*(1+'Control Tower'!$B$48)^0-SUM('P&amp;L'!C10:N10)*'Control Tower'!$B$45/MAX(1,SUM('Census Waterfall'!C7:N7))</f>
        <v/>
      </c>
      <c r="O24" s="23">
        <f>'Control Tower'!$B$127*(1+'Control Tower'!$B$48)^1-SUM('P&amp;L'!D10:O10)*'Control Tower'!$B$45/MAX(1,SUM('Census Waterfall'!D7:O7))</f>
        <v/>
      </c>
      <c r="P24" s="23">
        <f>'Control Tower'!$B$127*(1+'Control Tower'!$B$48)^1-SUM('P&amp;L'!E10:P10)*'Control Tower'!$B$45/MAX(1,SUM('Census Waterfall'!E7:P7))</f>
        <v/>
      </c>
      <c r="Q24" s="23">
        <f>'Control Tower'!$B$127*(1+'Control Tower'!$B$48)^1-SUM('P&amp;L'!F10:Q10)*'Control Tower'!$B$45/MAX(1,SUM('Census Waterfall'!F7:Q7))</f>
        <v/>
      </c>
      <c r="R24" s="23">
        <f>'Control Tower'!$B$127*(1+'Control Tower'!$B$48)^1-SUM('P&amp;L'!G10:R10)*'Control Tower'!$B$45/MAX(1,SUM('Census Waterfall'!G7:R7))</f>
        <v/>
      </c>
      <c r="S24" s="23">
        <f>'Control Tower'!$B$127*(1+'Control Tower'!$B$48)^1-SUM('P&amp;L'!H10:S10)*'Control Tower'!$B$45/MAX(1,SUM('Census Waterfall'!H7:S7))</f>
        <v/>
      </c>
      <c r="T24" s="23">
        <f>'Control Tower'!$B$127*(1+'Control Tower'!$B$48)^1-SUM('P&amp;L'!I10:T10)*'Control Tower'!$B$45/MAX(1,SUM('Census Waterfall'!I7:T7))</f>
        <v/>
      </c>
      <c r="U24" s="23">
        <f>'Control Tower'!$B$127*(1+'Control Tower'!$B$48)^1-SUM('P&amp;L'!J10:U10)*'Control Tower'!$B$45/MAX(1,SUM('Census Waterfall'!J7:U7))</f>
        <v/>
      </c>
      <c r="V24" s="23">
        <f>'Control Tower'!$B$127*(1+'Control Tower'!$B$48)^1-SUM('P&amp;L'!K10:V10)*'Control Tower'!$B$45/MAX(1,SUM('Census Waterfall'!K7:V7))</f>
        <v/>
      </c>
      <c r="W24" s="23">
        <f>'Control Tower'!$B$127*(1+'Control Tower'!$B$48)^1-SUM('P&amp;L'!L10:W10)*'Control Tower'!$B$45/MAX(1,SUM('Census Waterfall'!L7:W7))</f>
        <v/>
      </c>
      <c r="X24" s="23">
        <f>'Control Tower'!$B$127*(1+'Control Tower'!$B$48)^1-SUM('P&amp;L'!M10:X10)*'Control Tower'!$B$45/MAX(1,SUM('Census Waterfall'!M7:X7))</f>
        <v/>
      </c>
      <c r="Y24" s="23">
        <f>'Control Tower'!$B$127*(1+'Control Tower'!$B$48)^1-SUM('P&amp;L'!N10:Y10)*'Control Tower'!$B$45/MAX(1,SUM('Census Waterfall'!N7:Y7))</f>
        <v/>
      </c>
      <c r="Z24" s="23">
        <f>'Control Tower'!$B$127*(1+'Control Tower'!$B$48)^1-SUM('P&amp;L'!O10:Z10)*'Control Tower'!$B$45/MAX(1,SUM('Census Waterfall'!O7:Z7))</f>
        <v/>
      </c>
      <c r="AA24" s="23">
        <f>'Control Tower'!$B$127*(1+'Control Tower'!$B$48)^2-SUM('P&amp;L'!P10:AA10)*'Control Tower'!$B$45/MAX(1,SUM('Census Waterfall'!P7:AA7))</f>
        <v/>
      </c>
      <c r="AB24" s="23">
        <f>'Control Tower'!$B$127*(1+'Control Tower'!$B$48)^2-SUM('P&amp;L'!Q10:AB10)*'Control Tower'!$B$45/MAX(1,SUM('Census Waterfall'!Q7:AB7))</f>
        <v/>
      </c>
      <c r="AC24" s="23">
        <f>'Control Tower'!$B$127*(1+'Control Tower'!$B$48)^2-SUM('P&amp;L'!R10:AC10)*'Control Tower'!$B$45/MAX(1,SUM('Census Waterfall'!R7:AC7))</f>
        <v/>
      </c>
      <c r="AD24" s="23">
        <f>'Control Tower'!$B$127*(1+'Control Tower'!$B$48)^2-SUM('P&amp;L'!S10:AD10)*'Control Tower'!$B$45/MAX(1,SUM('Census Waterfall'!S7:AD7))</f>
        <v/>
      </c>
      <c r="AE24" s="23">
        <f>'Control Tower'!$B$127*(1+'Control Tower'!$B$48)^2-SUM('P&amp;L'!T10:AE10)*'Control Tower'!$B$45/MAX(1,SUM('Census Waterfall'!T7:AE7))</f>
        <v/>
      </c>
      <c r="AF24" s="23">
        <f>'Control Tower'!$B$127*(1+'Control Tower'!$B$48)^2-SUM('P&amp;L'!U10:AF10)*'Control Tower'!$B$45/MAX(1,SUM('Census Waterfall'!U7:AF7))</f>
        <v/>
      </c>
      <c r="AG24" s="23">
        <f>'Control Tower'!$B$127*(1+'Control Tower'!$B$48)^2-SUM('P&amp;L'!V10:AG10)*'Control Tower'!$B$45/MAX(1,SUM('Census Waterfall'!V7:AG7))</f>
        <v/>
      </c>
      <c r="AH24" s="23">
        <f>'Control Tower'!$B$127*(1+'Control Tower'!$B$48)^2-SUM('P&amp;L'!W10:AH10)*'Control Tower'!$B$45/MAX(1,SUM('Census Waterfall'!W7:AH7))</f>
        <v/>
      </c>
      <c r="AI24" s="23">
        <f>'Control Tower'!$B$127*(1+'Control Tower'!$B$48)^2-SUM('P&amp;L'!X10:AI10)*'Control Tower'!$B$45/MAX(1,SUM('Census Waterfall'!X7:AI7))</f>
        <v/>
      </c>
      <c r="AJ24" s="23">
        <f>'Control Tower'!$B$127*(1+'Control Tower'!$B$48)^2-SUM('P&amp;L'!Y10:AJ10)*'Control Tower'!$B$45/MAX(1,SUM('Census Waterfall'!Y7:AJ7))</f>
        <v/>
      </c>
      <c r="AK24" s="23">
        <f>'Control Tower'!$B$127*(1+'Control Tower'!$B$48)^2-SUM('P&amp;L'!Z10:AK10)*'Control Tower'!$B$45/MAX(1,SUM('Census Waterfall'!Z7:AK7))</f>
        <v/>
      </c>
      <c r="AL24" s="23">
        <f>'Control Tower'!$B$127*(1+'Control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'Checks'!B13</f>
        <v/>
      </c>
    </row>
  </sheetData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N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rollup; GLOBAL DSCR is the operative SBA test (per audit).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Net patient revenue</t>
        </is>
      </c>
      <c r="B5" s="23">
        <f>SUM('P&amp;L'!C10:N10)</f>
        <v/>
      </c>
      <c r="C5" s="23">
        <f>SUM('P&amp;L'!O10:Z10)</f>
        <v/>
      </c>
      <c r="D5" s="23">
        <f>SUM('P&amp;L'!AA10:AL10)</f>
        <v/>
      </c>
    </row>
    <row r="6">
      <c r="A6" s="10" t="inlineStr">
        <is>
          <t>EBITDA</t>
        </is>
      </c>
      <c r="B6" s="23">
        <f>SUM('P&amp;L'!C24:N24)</f>
        <v/>
      </c>
      <c r="C6" s="23">
        <f>SUM('P&amp;L'!O24:Z24)</f>
        <v/>
      </c>
      <c r="D6" s="23">
        <f>SUM('P&amp;L'!AA24:AL24)</f>
        <v/>
      </c>
    </row>
    <row r="7">
      <c r="A7" s="4" t="inlineStr">
        <is>
          <t>Net income</t>
        </is>
      </c>
      <c r="B7" s="22">
        <f>SUM('Cash Flow &amp; Runway'!C31:N31)</f>
        <v/>
      </c>
      <c r="C7" s="22">
        <f>SUM('Cash Flow &amp; Runway'!O31:Z31)</f>
        <v/>
      </c>
      <c r="D7" s="22">
        <f>SUM('Cash Flow &amp; Runway'!AA31:AL31)</f>
        <v/>
      </c>
    </row>
    <row r="8">
      <c r="A8" s="4" t="inlineStr">
        <is>
          <t>Debt service (P&amp;I, all notes)</t>
        </is>
      </c>
      <c r="B8" s="22">
        <f>SUM('Cash Flow &amp; Runway'!C19:N19)+SUM('Cash Flow &amp; Runway'!C22:N22)+SUM('Cash Flow &amp; Runway'!C25:N25)+SUM('Cash Flow &amp; Runway'!C14:N14)+SUM('Cash Flow &amp; Runway'!C15:N15)</f>
        <v/>
      </c>
      <c r="C8" s="22">
        <f>SUM('Cash Flow &amp; Runway'!O19:Z19)+SUM('Cash Flow &amp; Runway'!O22:Z22)+SUM('Cash Flow &amp; Runway'!O25:Z25)+SUM('Cash Flow &amp; Runway'!O14:Z14)+SUM('Cash Flow &amp; Runway'!O15:Z15)</f>
        <v/>
      </c>
      <c r="D8" s="22">
        <f>SUM('Cash Flow &amp; Runway'!AA19:AL19)+SUM('Cash Flow &amp; Runway'!AA22:AL22)+SUM('Cash Flow &amp; Runway'!AA25:AL25)+SUM('Cash Flow &amp; Runway'!AA14:AL14)+SUM('Cash Flow &amp; Runway'!AA15:AL15)</f>
        <v/>
      </c>
    </row>
    <row r="9">
      <c r="A9" s="10" t="inlineStr">
        <is>
          <t>DSCR (per year)</t>
        </is>
      </c>
      <c r="B9" s="33">
        <f>IF(B8=0,"-",B6/B8)</f>
        <v/>
      </c>
      <c r="C9" s="33">
        <f>IF(C8=0,"-",C6/C8)</f>
        <v/>
      </c>
      <c r="D9" s="33">
        <f>IF(D8=0,"-",D6/D8)</f>
        <v/>
      </c>
    </row>
    <row r="11">
      <c r="A11" s="10" t="inlineStr">
        <is>
          <t>GLOBAL 3-YEAR DSCR (operative SBA test)</t>
        </is>
      </c>
      <c r="B11" s="34">
        <f>SUM(B6:D6)/SUM(B8:D8)</f>
        <v/>
      </c>
    </row>
    <row r="12">
      <c r="A12" s="10" t="inlineStr">
        <is>
          <t>Minimum cash across 36 months</t>
        </is>
      </c>
      <c r="B12" s="23">
        <f>'Cash Flow &amp; Runway'!B47</f>
        <v/>
      </c>
    </row>
    <row r="14">
      <c r="A14" s="6" t="inlineStr">
        <is>
          <t>Note: Y1 DSCR is structurally thin for a hospice startup (license maturation + Medicare payment cycle). Per the audit: lead with Global DSCR; do not force Y1 to 1.25x.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538135"/>
    <outlinePr summaryBelow="1" summaryRight="1"/>
    <pageSetUpPr/>
  </sheetPr>
  <dimension ref="A1:N2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Runway'!C45</f>
        <v/>
      </c>
      <c r="D21" s="27">
        <f>'Cash Flow &amp; Runway'!D45</f>
        <v/>
      </c>
      <c r="E21" s="27">
        <f>'Cash Flow &amp; Runway'!E45</f>
        <v/>
      </c>
      <c r="F21" s="27">
        <f>'Cash Flow &amp; Runway'!F45</f>
        <v/>
      </c>
      <c r="G21" s="27">
        <f>'Cash Flow &amp; Runway'!G45</f>
        <v/>
      </c>
      <c r="H21" s="27">
        <f>'Cash Flow &amp; Runway'!H45</f>
        <v/>
      </c>
      <c r="I21" s="27">
        <f>'Cash Flow &amp; Runway'!I45</f>
        <v/>
      </c>
      <c r="J21" s="27">
        <f>'Cash Flow &amp; Runway'!J45</f>
        <v/>
      </c>
      <c r="K21" s="27">
        <f>'Cash Flow &amp; Runway'!K45</f>
        <v/>
      </c>
      <c r="L21" s="27">
        <f>'Cash Flow &amp; Runway'!L45</f>
        <v/>
      </c>
      <c r="M21" s="27">
        <f>'Cash Flow &amp; Runway'!M45</f>
        <v/>
      </c>
      <c r="N21" s="27">
        <f>'Cash Flow &amp; Runway'!N45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2026-07-06T17:32:23Z</dcterms:created>
  <dcterms:modified xmlns:dcterms="http://purl.org/dc/terms/" xmlns:xsi="http://www.w3.org/2001/XMLSchema-instance" xsi:type="dcterms:W3CDTF">2026-07-06T17:32:23Z</dcterms:modified>
</cp:coreProperties>
</file>