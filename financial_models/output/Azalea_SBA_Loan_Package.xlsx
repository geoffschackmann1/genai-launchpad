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license_cost">Inputs!$B$101</definedName>
    <definedName name="license_rate">Inputs!$B$102</definedName>
    <definedName name="license_term">Inputs!$B$103</definedName>
    <definedName name="license_amort_yrs">Inputs!$B$104</definedName>
    <definedName name="su_enroll">Inputs!$B$107</definedName>
    <definedName name="su_license">Inputs!$B$108</definedName>
    <definedName name="su_emr">Inputs!$B$109</definedName>
    <definedName name="su_supplies">Inputs!$B$110</definedName>
    <definedName name="su_legal">Inputs!$B$111</definedName>
    <definedName name="su_conting">Inputs!$B$112</definedName>
    <definedName name="ar_days">Inputs!$B$115</definedName>
    <definedName name="ap_days">Inputs!$B$116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1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2" authorId="0" shapeId="0">
      <text>
        <t>Seller financing on the license acquisition.</t>
      </text>
    </comment>
    <comment ref="B103" authorId="0" shapeId="0">
      <text>
        <t>Monthly P+I amortization.</t>
      </text>
    </comment>
    <comment ref="B104" authorId="0" shapeId="0">
      <text>
        <t>GAAP intangible amortization — non-cash, below EBITDA. No effect on DSCR.</t>
      </text>
    </comment>
    <comment ref="B107" authorId="0" shapeId="0">
      <text>
        <t>Preserves Hickory's existing Medicare number; no fresh enrollment delay.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FLAG / CONFIRM: go-forward assumption, not in Paloma actuals.</t>
      </text>
    </comment>
    <comment ref="B115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6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1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1">
      <c r="A101" s="4" t="inlineStr">
        <is>
          <t>Hickory Medicare license — acquisition cost ($)</t>
        </is>
      </c>
      <c r="B101" s="9" t="n">
        <v>300000</v>
      </c>
    </row>
    <row r="102">
      <c r="A102" s="4" t="inlineStr">
        <is>
          <t>License note interest rate (APR)</t>
        </is>
      </c>
      <c r="B102" s="7" t="n">
        <v>0.06</v>
      </c>
    </row>
    <row r="103">
      <c r="A103" s="4" t="inlineStr">
        <is>
          <t>License note term (months)</t>
        </is>
      </c>
      <c r="B103" s="17" t="n">
        <v>36</v>
      </c>
    </row>
    <row r="104">
      <c r="A104" s="4" t="inlineStr">
        <is>
          <t>License intangible amortization life (yrs)</t>
        </is>
      </c>
      <c r="B104" s="17" t="n">
        <v>15</v>
      </c>
    </row>
    <row r="106">
      <c r="A106" s="3" t="inlineStr">
        <is>
          <t>H2.  STARTUP ONE-TIME USES (Sources &amp; Uses)</t>
        </is>
      </c>
    </row>
    <row r="107">
      <c r="A107" s="4" t="inlineStr">
        <is>
          <t>CHOW filing / 855A change-of-ownership</t>
        </is>
      </c>
      <c r="B107" s="9" t="n">
        <v>3000</v>
      </c>
    </row>
    <row r="108">
      <c r="A108" s="4" t="inlineStr">
        <is>
          <t>TX state licensure</t>
        </is>
      </c>
      <c r="B108" s="9" t="n">
        <v>5000</v>
      </c>
    </row>
    <row r="109">
      <c r="A109" s="4" t="inlineStr">
        <is>
          <t>EMR implementation / setup</t>
        </is>
      </c>
      <c r="B109" s="9" t="n">
        <v>10000</v>
      </c>
    </row>
    <row r="110">
      <c r="A110" s="4" t="inlineStr">
        <is>
          <t>Initial medical-supply stock</t>
        </is>
      </c>
      <c r="B110" s="9" t="n">
        <v>10000</v>
      </c>
    </row>
    <row r="111">
      <c r="A111" s="4" t="inlineStr">
        <is>
          <t>Legal / entity formation</t>
        </is>
      </c>
      <c r="B111" s="9" t="n">
        <v>15000</v>
      </c>
    </row>
    <row r="112">
      <c r="A112" s="4" t="inlineStr">
        <is>
          <t>Contingency</t>
        </is>
      </c>
      <c r="B112" s="9" t="n">
        <v>20000</v>
      </c>
    </row>
    <row r="114">
      <c r="A114" s="3" t="inlineStr">
        <is>
          <t>I.  WORKING CAPITAL</t>
        </is>
      </c>
    </row>
    <row r="115">
      <c r="A115" s="4" t="inlineStr">
        <is>
          <t>Accounts-receivable days (Medicare RAP-to-final lag)</t>
        </is>
      </c>
      <c r="B115" s="17" t="n">
        <v>45</v>
      </c>
    </row>
    <row r="116">
      <c r="A116" s="4" t="inlineStr">
        <is>
          <t>Accounts-payable days</t>
        </is>
      </c>
      <c r="B116" s="17" t="n">
        <v>30</v>
      </c>
    </row>
    <row r="118">
      <c r="A118" s="3" t="inlineStr">
        <is>
          <t>DERIVED CAPITAL HELPERS</t>
        </is>
      </c>
    </row>
    <row r="119">
      <c r="A119" s="12" t="inlineStr">
        <is>
          <t>Total startup one-time uses</t>
        </is>
      </c>
      <c r="B119" s="23">
        <f>SUM(B107:B112)</f>
        <v/>
      </c>
    </row>
    <row r="120">
      <c r="A120" s="12" t="inlineStr">
        <is>
          <t>Opening cash = equity + loan - startup - capex</t>
        </is>
      </c>
      <c r="B120" s="23">
        <f>Inputs!$B$94+Inputs!$B$91-Inputs!$B$119-Inputs!$B$98</f>
        <v/>
      </c>
    </row>
    <row r="121">
      <c r="A121" s="4" t="inlineStr">
        <is>
          <t>Monthly D&amp;A (capex+startup over 5 yr, license over 15 yr)</t>
        </is>
      </c>
      <c r="B121" s="24">
        <f>(Inputs!$B$98+Inputs!$B$119)/Inputs!$B$99/12+Inputs!$B$101/Inputs!$B$104/12</f>
        <v/>
      </c>
    </row>
  </sheetData>
  <mergeCells count="18">
    <mergeCell ref="A2:V2"/>
    <mergeCell ref="A52:V52"/>
    <mergeCell ref="A90:V90"/>
    <mergeCell ref="A71:V71"/>
    <mergeCell ref="A63:V63"/>
    <mergeCell ref="A44:V44"/>
    <mergeCell ref="A66:V66"/>
    <mergeCell ref="A1:V1"/>
    <mergeCell ref="A23:V23"/>
    <mergeCell ref="A118:V118"/>
    <mergeCell ref="A59:V59"/>
    <mergeCell ref="A87:V87"/>
    <mergeCell ref="A106:V106"/>
    <mergeCell ref="A114:V114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Hickory CHOW acquisition + working capital ·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Inputs!$B$91</f>
        <v/>
      </c>
      <c r="C5" s="4" t="inlineStr">
        <is>
          <t>Hickory Medicare license (CHOW)</t>
        </is>
      </c>
      <c r="D5" s="25">
        <f>Inputs!$B$101</f>
        <v/>
      </c>
    </row>
    <row r="6">
      <c r="A6" s="4" t="inlineStr">
        <is>
          <t>Hickory license seller note</t>
        </is>
      </c>
      <c r="B6" s="25">
        <f>Inputs!$B$101</f>
        <v/>
      </c>
      <c r="C6" s="4" t="inlineStr">
        <is>
          <t>CHOW filing / 855A change-of-ownership</t>
        </is>
      </c>
      <c r="D6" s="25">
        <f>Inputs!$B$107</f>
        <v/>
      </c>
    </row>
    <row r="7">
      <c r="A7" s="4" t="inlineStr">
        <is>
          <t>Owner equity injection</t>
        </is>
      </c>
      <c r="B7" s="25">
        <f>Inputs!$B$94</f>
        <v/>
      </c>
      <c r="C7" s="4" t="inlineStr">
        <is>
          <t>TX state licensure</t>
        </is>
      </c>
      <c r="D7" s="25">
        <f>Inputs!$B$108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Inputs!$B$109</f>
        <v/>
      </c>
    </row>
    <row r="9">
      <c r="C9" s="4" t="inlineStr">
        <is>
          <t>Initial medical-supply stock</t>
        </is>
      </c>
      <c r="D9" s="25">
        <f>Inputs!$B$110</f>
        <v/>
      </c>
    </row>
    <row r="10">
      <c r="C10" s="4" t="inlineStr">
        <is>
          <t>Legal / entity formation</t>
        </is>
      </c>
      <c r="D10" s="25">
        <f>Inputs!$B$111</f>
        <v/>
      </c>
    </row>
    <row r="11">
      <c r="C11" s="4" t="inlineStr">
        <is>
          <t>Contingency</t>
        </is>
      </c>
      <c r="D11" s="25">
        <f>Inputs!$B$112</f>
        <v/>
      </c>
    </row>
    <row r="12">
      <c r="C12" s="4" t="inlineStr">
        <is>
          <t>Startup equipment (capex)</t>
        </is>
      </c>
      <c r="D12" s="25">
        <f>Inputs!$B$98</f>
        <v/>
      </c>
    </row>
    <row r="13">
      <c r="C13" s="4" t="inlineStr">
        <is>
          <t>Working-capital reserve (opening cash)</t>
        </is>
      </c>
      <c r="D13" s="25">
        <f>Inputs!$B$120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—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—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Budget'!C23:N23)/SUM('Debt Schedule'!C27:N27)</f>
        <v/>
      </c>
      <c r="D9" s="33">
        <f>SUM('Operating Budget'!O23:R23)/SUM('Debt Schedule'!O27:R27)</f>
        <v/>
      </c>
      <c r="E9" s="33">
        <f>SUM('Operating Budget'!S23:V23)/SUM('Debt Schedule'!S27:V27)</f>
        <v/>
      </c>
    </row>
    <row r="10">
      <c r="A10" s="20" t="inlineStr">
        <is>
          <t>Net income</t>
        </is>
      </c>
      <c r="C10" s="25">
        <f>SUM('Operating Budget'!C33:N33)</f>
        <v/>
      </c>
      <c r="D10" s="25">
        <f>SUM('Operating Budget'!O33:R33)</f>
        <v/>
      </c>
      <c r="E10" s="25">
        <f>SUM('Operating Budget'!S33:V33)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—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Payroll'!O22:R22))*B10</f>
        <v/>
      </c>
      <c r="C13" s="24">
        <f>-(SUM('Operating Budget'!O13:R13)+SUM('Operating Budget'!O21:R21)+SUM('Staffing &amp; Payroll'!O22:R22))*C10</f>
        <v/>
      </c>
      <c r="D13" s="24">
        <f>-(SUM('Operating Budget'!O13:R13)+SUM('Operating Budget'!O21:R21)+SUM('Staffing &amp; Payroll'!O22:R22))*D10</f>
        <v/>
      </c>
      <c r="E13" s="24">
        <f>-(SUM('Operating Budget'!O13:R13)+SUM('Operating Budget'!O21:R21)+SUM('Staffing &amp; Payroll'!O22:R22))*E10</f>
        <v/>
      </c>
      <c r="F13" s="24">
        <f>-(SUM('Operating Budget'!O13:R13)+SUM('Operating Budget'!O21:R21)+SUM('Staffing &amp; Payroll'!O22:R22))*F10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Payroll'!O22:R22))-SUM('Operating Budget'!O23:R23))*B11</f>
        <v/>
      </c>
      <c r="C14" s="24">
        <f>-(SUM('Operating Budget'!O6:R6)-(SUM('Operating Budget'!O13:R13)+SUM('Operating Budget'!O21:R21)+SUM('Staffing &amp; Payroll'!O22:R22))-SUM('Operating Budget'!O23:R23))*C11</f>
        <v/>
      </c>
      <c r="D14" s="24">
        <f>-(SUM('Operating Budget'!O6:R6)-(SUM('Operating Budget'!O13:R13)+SUM('Operating Budget'!O21:R21)+SUM('Staffing &amp; Payroll'!O22:R22))-SUM('Operating Budget'!O23:R23))*D11</f>
        <v/>
      </c>
      <c r="E14" s="24">
        <f>-(SUM('Operating Budget'!O6:R6)-(SUM('Operating Budget'!O13:R13)+SUM('Operating Budget'!O21:R21)+SUM('Staffing &amp; Payroll'!O22:R22))-SUM('Operating Budget'!O23:R23))*E11</f>
        <v/>
      </c>
      <c r="F14" s="24">
        <f>-(SUM('Operating Budget'!O6:R6)-(SUM('Operating Budget'!O13:R13)+SUM('Operating Budget'!O21:R21)+SUM('Staffing &amp; Payroll'!O22:R22))-SUM('Operating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Inputs!$B$19</f>
        <v/>
      </c>
    </row>
    <row r="6">
      <c r="A6" s="4" t="inlineStr">
        <is>
          <t>Blended NET rate ($/PD)</t>
        </is>
      </c>
      <c r="B6" s="39">
        <f>Inputs!$B$20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Inputs!C$32</f>
        <v/>
      </c>
      <c r="D10" s="43">
        <f>Inputs!D$32</f>
        <v/>
      </c>
      <c r="E10" s="43">
        <f>Inputs!E$32</f>
        <v/>
      </c>
      <c r="F10" s="43">
        <f>Inputs!F$32</f>
        <v/>
      </c>
      <c r="G10" s="43">
        <f>Inputs!G$32</f>
        <v/>
      </c>
      <c r="H10" s="43">
        <f>Inputs!H$32</f>
        <v/>
      </c>
      <c r="I10" s="43">
        <f>Inputs!I$32</f>
        <v/>
      </c>
      <c r="J10" s="43">
        <f>Inputs!J$32</f>
        <v/>
      </c>
      <c r="K10" s="43">
        <f>Inputs!K$32</f>
        <v/>
      </c>
      <c r="L10" s="43">
        <f>Inputs!L$32</f>
        <v/>
      </c>
      <c r="M10" s="43">
        <f>Inputs!M$32</f>
        <v/>
      </c>
      <c r="N10" s="43">
        <f>Inputs!N$32</f>
        <v/>
      </c>
      <c r="O10" s="43">
        <f>Inputs!O$32</f>
        <v/>
      </c>
      <c r="P10" s="43">
        <f>Inputs!P$32</f>
        <v/>
      </c>
      <c r="Q10" s="43">
        <f>Inputs!Q$32</f>
        <v/>
      </c>
      <c r="R10" s="43">
        <f>Inputs!R$32</f>
        <v/>
      </c>
      <c r="S10" s="43">
        <f>Inputs!S$32</f>
        <v/>
      </c>
      <c r="T10" s="43">
        <f>Inputs!T$32</f>
        <v/>
      </c>
      <c r="U10" s="43">
        <f>Inputs!U$32</f>
        <v/>
      </c>
      <c r="V10" s="43">
        <f>Inputs!V$32</f>
        <v/>
      </c>
    </row>
    <row r="11">
      <c r="A11" s="20" t="inlineStr">
        <is>
          <t>Days in period</t>
        </is>
      </c>
      <c r="C11" s="43">
        <f>Inputs!$B$24*1</f>
        <v/>
      </c>
      <c r="D11" s="43">
        <f>Inputs!$B$24*1</f>
        <v/>
      </c>
      <c r="E11" s="43">
        <f>Inputs!$B$24*1</f>
        <v/>
      </c>
      <c r="F11" s="43">
        <f>Inputs!$B$24*1</f>
        <v/>
      </c>
      <c r="G11" s="43">
        <f>Inputs!$B$24*1</f>
        <v/>
      </c>
      <c r="H11" s="43">
        <f>Inputs!$B$24*1</f>
        <v/>
      </c>
      <c r="I11" s="43">
        <f>Inputs!$B$24*1</f>
        <v/>
      </c>
      <c r="J11" s="43">
        <f>Inputs!$B$24*1</f>
        <v/>
      </c>
      <c r="K11" s="43">
        <f>Inputs!$B$24*1</f>
        <v/>
      </c>
      <c r="L11" s="43">
        <f>Inputs!$B$24*1</f>
        <v/>
      </c>
      <c r="M11" s="43">
        <f>Inputs!$B$24*1</f>
        <v/>
      </c>
      <c r="N11" s="43">
        <f>Inputs!$B$24*1</f>
        <v/>
      </c>
      <c r="O11" s="43">
        <f>Inputs!$B$24*3</f>
        <v/>
      </c>
      <c r="P11" s="43">
        <f>Inputs!$B$24*3</f>
        <v/>
      </c>
      <c r="Q11" s="43">
        <f>Inputs!$B$24*3</f>
        <v/>
      </c>
      <c r="R11" s="43">
        <f>Inputs!$B$24*3</f>
        <v/>
      </c>
      <c r="S11" s="43">
        <f>Inputs!$B$24*3</f>
        <v/>
      </c>
      <c r="T11" s="43">
        <f>Inputs!$B$24*3</f>
        <v/>
      </c>
      <c r="U11" s="43">
        <f>Inputs!$B$24*3</f>
        <v/>
      </c>
      <c r="V11" s="43">
        <f>Inputs!$B$24*3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6" t="inlineStr">
        <is>
          <t>NET REVENUE</t>
        </is>
      </c>
      <c r="C16" s="45">
        <f>C13*(1-Inputs!$B$10-Inputs!$B$11)</f>
        <v/>
      </c>
      <c r="D16" s="45">
        <f>D13*(1-Inputs!$B$10-Inputs!$B$11)</f>
        <v/>
      </c>
      <c r="E16" s="45">
        <f>E13*(1-Inputs!$B$10-Inputs!$B$11)</f>
        <v/>
      </c>
      <c r="F16" s="45">
        <f>F13*(1-Inputs!$B$10-Inputs!$B$11)</f>
        <v/>
      </c>
      <c r="G16" s="45">
        <f>G13*(1-Inputs!$B$10-Inputs!$B$11)</f>
        <v/>
      </c>
      <c r="H16" s="45">
        <f>H13*(1-Inputs!$B$10-Inputs!$B$11)</f>
        <v/>
      </c>
      <c r="I16" s="45">
        <f>I13*(1-Inputs!$B$10-Inputs!$B$11)</f>
        <v/>
      </c>
      <c r="J16" s="45">
        <f>J13*(1-Inputs!$B$10-Inputs!$B$11)</f>
        <v/>
      </c>
      <c r="K16" s="45">
        <f>K13*(1-Inputs!$B$10-Inputs!$B$11)</f>
        <v/>
      </c>
      <c r="L16" s="45">
        <f>L13*(1-Inputs!$B$10-Inputs!$B$11)</f>
        <v/>
      </c>
      <c r="M16" s="45">
        <f>M13*(1-Inputs!$B$10-Inputs!$B$11)</f>
        <v/>
      </c>
      <c r="N16" s="45">
        <f>N13*(1-Inputs!$B$10-Inputs!$B$11)</f>
        <v/>
      </c>
      <c r="O16" s="45">
        <f>O13*(1-Inputs!$B$10-Inputs!$B$11)</f>
        <v/>
      </c>
      <c r="P16" s="45">
        <f>P13*(1-Inputs!$B$10-Inputs!$B$11)</f>
        <v/>
      </c>
      <c r="Q16" s="45">
        <f>Q13*(1-Inputs!$B$10-Inputs!$B$11)</f>
        <v/>
      </c>
      <c r="R16" s="45">
        <f>R13*(1-Inputs!$B$10-Inputs!$B$11)</f>
        <v/>
      </c>
      <c r="S16" s="45">
        <f>S13*(1-Inputs!$B$10-Inputs!$B$11)</f>
        <v/>
      </c>
      <c r="T16" s="45">
        <f>T13*(1-Inputs!$B$10-Inputs!$B$11)</f>
        <v/>
      </c>
      <c r="U16" s="45">
        <f>U13*(1-Inputs!$B$10-Inputs!$B$11)</f>
        <v/>
      </c>
      <c r="V16" s="45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6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6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6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6" t="inlineStr">
        <is>
          <t>TOTAL DIRECT-CARE LABOR (COGS)</t>
        </is>
      </c>
      <c r="C37" s="45">
        <f>C14+C22+C23+C32+C34</f>
        <v/>
      </c>
      <c r="D37" s="45">
        <f>D14+D22+D23+D32+D34</f>
        <v/>
      </c>
      <c r="E37" s="45">
        <f>E14+E22+E23+E32+E34</f>
        <v/>
      </c>
      <c r="F37" s="45">
        <f>F14+F22+F23+F32+F34</f>
        <v/>
      </c>
      <c r="G37" s="45">
        <f>G14+G22+G23+G32+G34</f>
        <v/>
      </c>
      <c r="H37" s="45">
        <f>H14+H22+H23+H32+H34</f>
        <v/>
      </c>
      <c r="I37" s="45">
        <f>I14+I22+I23+I32+I34</f>
        <v/>
      </c>
      <c r="J37" s="45">
        <f>J14+J22+J23+J32+J34</f>
        <v/>
      </c>
      <c r="K37" s="45">
        <f>K14+K22+K23+K32+K34</f>
        <v/>
      </c>
      <c r="L37" s="45">
        <f>L14+L22+L23+L32+L34</f>
        <v/>
      </c>
      <c r="M37" s="45">
        <f>M14+M22+M23+M32+M34</f>
        <v/>
      </c>
      <c r="N37" s="45">
        <f>N14+N22+N23+N32+N34</f>
        <v/>
      </c>
      <c r="O37" s="45">
        <f>O14+O22+O23+O32+O34</f>
        <v/>
      </c>
      <c r="P37" s="45">
        <f>P14+P22+P23+P32+P34</f>
        <v/>
      </c>
      <c r="Q37" s="45">
        <f>Q14+Q22+Q23+Q32+Q34</f>
        <v/>
      </c>
      <c r="R37" s="45">
        <f>R14+R22+R23+R32+R34</f>
        <v/>
      </c>
      <c r="S37" s="45">
        <f>S14+S22+S23+S32+S34</f>
        <v/>
      </c>
      <c r="T37" s="45">
        <f>T14+T22+T23+T32+T34</f>
        <v/>
      </c>
      <c r="U37" s="45">
        <f>U14+U22+U23+U32+U34</f>
        <v/>
      </c>
      <c r="V37" s="45">
        <f>V14+V22+V23+V32+V34</f>
        <v/>
      </c>
    </row>
    <row r="38">
      <c r="A38" s="26" t="inlineStr">
        <is>
          <t>TOTAL INDIRECT LABOR (SG&amp;A)</t>
        </is>
      </c>
      <c r="C38" s="45">
        <f>C26+C27+C33+C35</f>
        <v/>
      </c>
      <c r="D38" s="45">
        <f>D26+D27+D33+D35</f>
        <v/>
      </c>
      <c r="E38" s="45">
        <f>E26+E27+E33+E35</f>
        <v/>
      </c>
      <c r="F38" s="45">
        <f>F26+F27+F33+F35</f>
        <v/>
      </c>
      <c r="G38" s="45">
        <f>G26+G27+G33+G35</f>
        <v/>
      </c>
      <c r="H38" s="45">
        <f>H26+H27+H33+H35</f>
        <v/>
      </c>
      <c r="I38" s="45">
        <f>I26+I27+I33+I35</f>
        <v/>
      </c>
      <c r="J38" s="45">
        <f>J26+J27+J33+J35</f>
        <v/>
      </c>
      <c r="K38" s="45">
        <f>K26+K27+K33+K35</f>
        <v/>
      </c>
      <c r="L38" s="45">
        <f>L26+L27+L33+L35</f>
        <v/>
      </c>
      <c r="M38" s="45">
        <f>M26+M27+M33+M35</f>
        <v/>
      </c>
      <c r="N38" s="45">
        <f>N26+N27+N33+N35</f>
        <v/>
      </c>
      <c r="O38" s="45">
        <f>O26+O27+O33+O35</f>
        <v/>
      </c>
      <c r="P38" s="45">
        <f>P26+P27+P33+P35</f>
        <v/>
      </c>
      <c r="Q38" s="45">
        <f>Q26+Q27+Q33+Q35</f>
        <v/>
      </c>
      <c r="R38" s="45">
        <f>R26+R27+R33+R35</f>
        <v/>
      </c>
      <c r="S38" s="45">
        <f>S26+S27+S33+S35</f>
        <v/>
      </c>
      <c r="T38" s="45">
        <f>T26+T27+T33+T35</f>
        <v/>
      </c>
      <c r="U38" s="45">
        <f>U26+U27+U33+U35</f>
        <v/>
      </c>
      <c r="V38" s="45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Model'!C16</f>
        <v/>
      </c>
      <c r="D6" s="31">
        <f>'Revenue Model'!D16</f>
        <v/>
      </c>
      <c r="E6" s="31">
        <f>'Revenue Model'!E16</f>
        <v/>
      </c>
      <c r="F6" s="31">
        <f>'Revenue Model'!F16</f>
        <v/>
      </c>
      <c r="G6" s="31">
        <f>'Revenue Model'!G16</f>
        <v/>
      </c>
      <c r="H6" s="31">
        <f>'Revenue Model'!H16</f>
        <v/>
      </c>
      <c r="I6" s="31">
        <f>'Revenue Model'!I16</f>
        <v/>
      </c>
      <c r="J6" s="31">
        <f>'Revenue Model'!J16</f>
        <v/>
      </c>
      <c r="K6" s="31">
        <f>'Revenue Model'!K16</f>
        <v/>
      </c>
      <c r="L6" s="31">
        <f>'Revenue Model'!L16</f>
        <v/>
      </c>
      <c r="M6" s="31">
        <f>'Revenue Model'!M16</f>
        <v/>
      </c>
      <c r="N6" s="31">
        <f>'Revenue Model'!N16</f>
        <v/>
      </c>
      <c r="O6" s="31">
        <f>'Revenue Model'!O16</f>
        <v/>
      </c>
      <c r="P6" s="31">
        <f>'Revenue Model'!P16</f>
        <v/>
      </c>
      <c r="Q6" s="31">
        <f>'Revenue Model'!Q16</f>
        <v/>
      </c>
      <c r="R6" s="31">
        <f>'Revenue Model'!R16</f>
        <v/>
      </c>
      <c r="S6" s="31">
        <f>'Revenue Model'!S16</f>
        <v/>
      </c>
      <c r="T6" s="31">
        <f>'Revenue Model'!T16</f>
        <v/>
      </c>
      <c r="U6" s="31">
        <f>'Revenue Model'!U16</f>
        <v/>
      </c>
      <c r="V6" s="31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Payroll'!C37</f>
        <v/>
      </c>
      <c r="D9" s="25">
        <f>'Staffing &amp; Payroll'!D37</f>
        <v/>
      </c>
      <c r="E9" s="25">
        <f>'Staffing &amp; Payroll'!E37</f>
        <v/>
      </c>
      <c r="F9" s="25">
        <f>'Staffing &amp; Payroll'!F37</f>
        <v/>
      </c>
      <c r="G9" s="25">
        <f>'Staffing &amp; Payroll'!G37</f>
        <v/>
      </c>
      <c r="H9" s="25">
        <f>'Staffing &amp; Payroll'!H37</f>
        <v/>
      </c>
      <c r="I9" s="25">
        <f>'Staffing &amp; Payroll'!I37</f>
        <v/>
      </c>
      <c r="J9" s="25">
        <f>'Staffing &amp; Payroll'!J37</f>
        <v/>
      </c>
      <c r="K9" s="25">
        <f>'Staffing &amp; Payroll'!K37</f>
        <v/>
      </c>
      <c r="L9" s="25">
        <f>'Staffing &amp; Payroll'!L37</f>
        <v/>
      </c>
      <c r="M9" s="25">
        <f>'Staffing &amp; Payroll'!M37</f>
        <v/>
      </c>
      <c r="N9" s="25">
        <f>'Staffing &amp; Payroll'!N37</f>
        <v/>
      </c>
      <c r="O9" s="25">
        <f>'Staffing &amp; Payroll'!O37</f>
        <v/>
      </c>
      <c r="P9" s="25">
        <f>'Staffing &amp; Payroll'!P37</f>
        <v/>
      </c>
      <c r="Q9" s="25">
        <f>'Staffing &amp; Payroll'!Q37</f>
        <v/>
      </c>
      <c r="R9" s="25">
        <f>'Staffing &amp; Payroll'!R37</f>
        <v/>
      </c>
      <c r="S9" s="25">
        <f>'Staffing &amp; Payroll'!S37</f>
        <v/>
      </c>
      <c r="T9" s="25">
        <f>'Staffing &amp; Payroll'!T37</f>
        <v/>
      </c>
      <c r="U9" s="25">
        <f>'Staffing &amp; Payroll'!U37</f>
        <v/>
      </c>
      <c r="V9" s="25">
        <f>'Staffing &amp; Payroll'!V37</f>
        <v/>
      </c>
    </row>
    <row r="10">
      <c r="A10" s="4" t="inlineStr">
        <is>
          <t>Medical supplies</t>
        </is>
      </c>
      <c r="C10" s="25">
        <f>'Revenue Model'!C12*Inputs!$B$67</f>
        <v/>
      </c>
      <c r="D10" s="25">
        <f>'Revenue Model'!D12*Inputs!$B$67</f>
        <v/>
      </c>
      <c r="E10" s="25">
        <f>'Revenue Model'!E12*Inputs!$B$67</f>
        <v/>
      </c>
      <c r="F10" s="25">
        <f>'Revenue Model'!F12*Inputs!$B$67</f>
        <v/>
      </c>
      <c r="G10" s="25">
        <f>'Revenue Model'!G12*Inputs!$B$67</f>
        <v/>
      </c>
      <c r="H10" s="25">
        <f>'Revenue Model'!H12*Inputs!$B$67</f>
        <v/>
      </c>
      <c r="I10" s="25">
        <f>'Revenue Model'!I12*Inputs!$B$67</f>
        <v/>
      </c>
      <c r="J10" s="25">
        <f>'Revenue Model'!J12*Inputs!$B$67</f>
        <v/>
      </c>
      <c r="K10" s="25">
        <f>'Revenue Model'!K12*Inputs!$B$67</f>
        <v/>
      </c>
      <c r="L10" s="25">
        <f>'Revenue Model'!L12*Inputs!$B$67</f>
        <v/>
      </c>
      <c r="M10" s="25">
        <f>'Revenue Model'!M12*Inputs!$B$67</f>
        <v/>
      </c>
      <c r="N10" s="25">
        <f>'Revenue Model'!N12*Inputs!$B$67</f>
        <v/>
      </c>
      <c r="O10" s="25">
        <f>'Revenue Model'!O12*Inputs!$B$67</f>
        <v/>
      </c>
      <c r="P10" s="25">
        <f>'Revenue Model'!P12*Inputs!$B$67</f>
        <v/>
      </c>
      <c r="Q10" s="25">
        <f>'Revenue Model'!Q12*Inputs!$B$67</f>
        <v/>
      </c>
      <c r="R10" s="25">
        <f>'Revenue Model'!R12*Inputs!$B$67</f>
        <v/>
      </c>
      <c r="S10" s="25">
        <f>'Revenue Model'!S12*Inputs!$B$67</f>
        <v/>
      </c>
      <c r="T10" s="25">
        <f>'Revenue Model'!T12*Inputs!$B$67</f>
        <v/>
      </c>
      <c r="U10" s="25">
        <f>'Revenue Model'!U12*Inputs!$B$67</f>
        <v/>
      </c>
      <c r="V10" s="25">
        <f>'Revenue Model'!V12*Inputs!$B$67</f>
        <v/>
      </c>
    </row>
    <row r="11">
      <c r="A11" s="4" t="inlineStr">
        <is>
          <t>DME</t>
        </is>
      </c>
      <c r="C11" s="25">
        <f>'Revenue Model'!C12*Inputs!$B$68</f>
        <v/>
      </c>
      <c r="D11" s="25">
        <f>'Revenue Model'!D12*Inputs!$B$68</f>
        <v/>
      </c>
      <c r="E11" s="25">
        <f>'Revenue Model'!E12*Inputs!$B$68</f>
        <v/>
      </c>
      <c r="F11" s="25">
        <f>'Revenue Model'!F12*Inputs!$B$68</f>
        <v/>
      </c>
      <c r="G11" s="25">
        <f>'Revenue Model'!G12*Inputs!$B$68</f>
        <v/>
      </c>
      <c r="H11" s="25">
        <f>'Revenue Model'!H12*Inputs!$B$68</f>
        <v/>
      </c>
      <c r="I11" s="25">
        <f>'Revenue Model'!I12*Inputs!$B$68</f>
        <v/>
      </c>
      <c r="J11" s="25">
        <f>'Revenue Model'!J12*Inputs!$B$68</f>
        <v/>
      </c>
      <c r="K11" s="25">
        <f>'Revenue Model'!K12*Inputs!$B$68</f>
        <v/>
      </c>
      <c r="L11" s="25">
        <f>'Revenue Model'!L12*Inputs!$B$68</f>
        <v/>
      </c>
      <c r="M11" s="25">
        <f>'Revenue Model'!M12*Inputs!$B$68</f>
        <v/>
      </c>
      <c r="N11" s="25">
        <f>'Revenue Model'!N12*Inputs!$B$68</f>
        <v/>
      </c>
      <c r="O11" s="25">
        <f>'Revenue Model'!O12*Inputs!$B$68</f>
        <v/>
      </c>
      <c r="P11" s="25">
        <f>'Revenue Model'!P12*Inputs!$B$68</f>
        <v/>
      </c>
      <c r="Q11" s="25">
        <f>'Revenue Model'!Q12*Inputs!$B$68</f>
        <v/>
      </c>
      <c r="R11" s="25">
        <f>'Revenue Model'!R12*Inputs!$B$68</f>
        <v/>
      </c>
      <c r="S11" s="25">
        <f>'Revenue Model'!S12*Inputs!$B$68</f>
        <v/>
      </c>
      <c r="T11" s="25">
        <f>'Revenue Model'!T12*Inputs!$B$68</f>
        <v/>
      </c>
      <c r="U11" s="25">
        <f>'Revenue Model'!U12*Inputs!$B$68</f>
        <v/>
      </c>
      <c r="V11" s="25">
        <f>'Revenue Model'!V12*Inputs!$B$68</f>
        <v/>
      </c>
    </row>
    <row r="12">
      <c r="A12" s="4" t="inlineStr">
        <is>
          <t>Pharmacy</t>
        </is>
      </c>
      <c r="C12" s="25">
        <f>'Revenue Model'!C12*Inputs!$B$69</f>
        <v/>
      </c>
      <c r="D12" s="25">
        <f>'Revenue Model'!D12*Inputs!$B$69</f>
        <v/>
      </c>
      <c r="E12" s="25">
        <f>'Revenue Model'!E12*Inputs!$B$69</f>
        <v/>
      </c>
      <c r="F12" s="25">
        <f>'Revenue Model'!F12*Inputs!$B$69</f>
        <v/>
      </c>
      <c r="G12" s="25">
        <f>'Revenue Model'!G12*Inputs!$B$69</f>
        <v/>
      </c>
      <c r="H12" s="25">
        <f>'Revenue Model'!H12*Inputs!$B$69</f>
        <v/>
      </c>
      <c r="I12" s="25">
        <f>'Revenue Model'!I12*Inputs!$B$69</f>
        <v/>
      </c>
      <c r="J12" s="25">
        <f>'Revenue Model'!J12*Inputs!$B$69</f>
        <v/>
      </c>
      <c r="K12" s="25">
        <f>'Revenue Model'!K12*Inputs!$B$69</f>
        <v/>
      </c>
      <c r="L12" s="25">
        <f>'Revenue Model'!L12*Inputs!$B$69</f>
        <v/>
      </c>
      <c r="M12" s="25">
        <f>'Revenue Model'!M12*Inputs!$B$69</f>
        <v/>
      </c>
      <c r="N12" s="25">
        <f>'Revenue Model'!N12*Inputs!$B$69</f>
        <v/>
      </c>
      <c r="O12" s="25">
        <f>'Revenue Model'!O12*Inputs!$B$69</f>
        <v/>
      </c>
      <c r="P12" s="25">
        <f>'Revenue Model'!P12*Inputs!$B$69</f>
        <v/>
      </c>
      <c r="Q12" s="25">
        <f>'Revenue Model'!Q12*Inputs!$B$69</f>
        <v/>
      </c>
      <c r="R12" s="25">
        <f>'Revenue Model'!R12*Inputs!$B$69</f>
        <v/>
      </c>
      <c r="S12" s="25">
        <f>'Revenue Model'!S12*Inputs!$B$69</f>
        <v/>
      </c>
      <c r="T12" s="25">
        <f>'Revenue Model'!T12*Inputs!$B$69</f>
        <v/>
      </c>
      <c r="U12" s="25">
        <f>'Revenue Model'!U12*Inputs!$B$69</f>
        <v/>
      </c>
      <c r="V12" s="25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Payroll'!C38</f>
        <v/>
      </c>
      <c r="D19" s="25">
        <f>'Staffing &amp; Payroll'!D38</f>
        <v/>
      </c>
      <c r="E19" s="25">
        <f>'Staffing &amp; Payroll'!E38</f>
        <v/>
      </c>
      <c r="F19" s="25">
        <f>'Staffing &amp; Payroll'!F38</f>
        <v/>
      </c>
      <c r="G19" s="25">
        <f>'Staffing &amp; Payroll'!G38</f>
        <v/>
      </c>
      <c r="H19" s="25">
        <f>'Staffing &amp; Payroll'!H38</f>
        <v/>
      </c>
      <c r="I19" s="25">
        <f>'Staffing &amp; Payroll'!I38</f>
        <v/>
      </c>
      <c r="J19" s="25">
        <f>'Staffing &amp; Payroll'!J38</f>
        <v/>
      </c>
      <c r="K19" s="25">
        <f>'Staffing &amp; Payroll'!K38</f>
        <v/>
      </c>
      <c r="L19" s="25">
        <f>'Staffing &amp; Payroll'!L38</f>
        <v/>
      </c>
      <c r="M19" s="25">
        <f>'Staffing &amp; Payroll'!M38</f>
        <v/>
      </c>
      <c r="N19" s="25">
        <f>'Staffing &amp; Payroll'!N38</f>
        <v/>
      </c>
      <c r="O19" s="25">
        <f>'Staffing &amp; Payroll'!O38</f>
        <v/>
      </c>
      <c r="P19" s="25">
        <f>'Staffing &amp; Payroll'!P38</f>
        <v/>
      </c>
      <c r="Q19" s="25">
        <f>'Staffing &amp; Payroll'!Q38</f>
        <v/>
      </c>
      <c r="R19" s="25">
        <f>'Staffing &amp; Payroll'!R38</f>
        <v/>
      </c>
      <c r="S19" s="25">
        <f>'Staffing &amp; Payroll'!S38</f>
        <v/>
      </c>
      <c r="T19" s="25">
        <f>'Staffing &amp; Payroll'!T38</f>
        <v/>
      </c>
      <c r="U19" s="25">
        <f>'Staffing &amp; Payroll'!U38</f>
        <v/>
      </c>
      <c r="V19" s="25">
        <f>'Staffing &amp; Payroll'!V38</f>
        <v/>
      </c>
    </row>
    <row r="20">
      <c r="A20" s="4" t="inlineStr">
        <is>
          <t>Fixed G&amp;A (utilities, EMR, billing, rent, mktg…)</t>
        </is>
      </c>
      <c r="C20" s="25">
        <f>SUM(Inputs!$B$72:$B$85)*1</f>
        <v/>
      </c>
      <c r="D20" s="25">
        <f>SUM(Inputs!$B$72:$B$85)*1</f>
        <v/>
      </c>
      <c r="E20" s="25">
        <f>SUM(Inputs!$B$72:$B$85)*1</f>
        <v/>
      </c>
      <c r="F20" s="25">
        <f>SUM(Inputs!$B$72:$B$85)*1</f>
        <v/>
      </c>
      <c r="G20" s="25">
        <f>SUM(Inputs!$B$72:$B$85)*1</f>
        <v/>
      </c>
      <c r="H20" s="25">
        <f>SUM(Inputs!$B$72:$B$85)*1</f>
        <v/>
      </c>
      <c r="I20" s="25">
        <f>SUM(Inputs!$B$72:$B$85)*1</f>
        <v/>
      </c>
      <c r="J20" s="25">
        <f>SUM(Inputs!$B$72:$B$85)*1</f>
        <v/>
      </c>
      <c r="K20" s="25">
        <f>SUM(Inputs!$B$72:$B$85)*1</f>
        <v/>
      </c>
      <c r="L20" s="25">
        <f>SUM(Inputs!$B$72:$B$85)*1</f>
        <v/>
      </c>
      <c r="M20" s="25">
        <f>SUM(Inputs!$B$72:$B$85)*1</f>
        <v/>
      </c>
      <c r="N20" s="25">
        <f>SUM(Inputs!$B$72:$B$85)*1</f>
        <v/>
      </c>
      <c r="O20" s="25">
        <f>SUM(Inputs!$B$72:$B$85)*3</f>
        <v/>
      </c>
      <c r="P20" s="25">
        <f>SUM(Inputs!$B$72:$B$85)*3</f>
        <v/>
      </c>
      <c r="Q20" s="25">
        <f>SUM(Inputs!$B$72:$B$85)*3</f>
        <v/>
      </c>
      <c r="R20" s="25">
        <f>SUM(Inputs!$B$72:$B$85)*3</f>
        <v/>
      </c>
      <c r="S20" s="25">
        <f>SUM(Inputs!$B$72:$B$85)*3</f>
        <v/>
      </c>
      <c r="T20" s="25">
        <f>SUM(Inputs!$B$72:$B$85)*3</f>
        <v/>
      </c>
      <c r="U20" s="25">
        <f>SUM(Inputs!$B$72:$B$85)*3</f>
        <v/>
      </c>
      <c r="V20" s="25">
        <f>SUM(Inputs!$B$72:$B$85)*3</f>
        <v/>
      </c>
    </row>
    <row r="21">
      <c r="A21" s="4" t="inlineStr">
        <is>
          <t>QR payment fee (% of gross)</t>
        </is>
      </c>
      <c r="C21" s="25">
        <f>'Revenue Model'!C13*Inputs!$B$88</f>
        <v/>
      </c>
      <c r="D21" s="25">
        <f>'Revenue Model'!D13*Inputs!$B$88</f>
        <v/>
      </c>
      <c r="E21" s="25">
        <f>'Revenue Model'!E13*Inputs!$B$88</f>
        <v/>
      </c>
      <c r="F21" s="25">
        <f>'Revenue Model'!F13*Inputs!$B$88</f>
        <v/>
      </c>
      <c r="G21" s="25">
        <f>'Revenue Model'!G13*Inputs!$B$88</f>
        <v/>
      </c>
      <c r="H21" s="25">
        <f>'Revenue Model'!H13*Inputs!$B$88</f>
        <v/>
      </c>
      <c r="I21" s="25">
        <f>'Revenue Model'!I13*Inputs!$B$88</f>
        <v/>
      </c>
      <c r="J21" s="25">
        <f>'Revenue Model'!J13*Inputs!$B$88</f>
        <v/>
      </c>
      <c r="K21" s="25">
        <f>'Revenue Model'!K13*Inputs!$B$88</f>
        <v/>
      </c>
      <c r="L21" s="25">
        <f>'Revenue Model'!L13*Inputs!$B$88</f>
        <v/>
      </c>
      <c r="M21" s="25">
        <f>'Revenue Model'!M13*Inputs!$B$88</f>
        <v/>
      </c>
      <c r="N21" s="25">
        <f>'Revenue Model'!N13*Inputs!$B$88</f>
        <v/>
      </c>
      <c r="O21" s="25">
        <f>'Revenue Model'!O13*Inputs!$B$88</f>
        <v/>
      </c>
      <c r="P21" s="25">
        <f>'Revenue Model'!P13*Inputs!$B$88</f>
        <v/>
      </c>
      <c r="Q21" s="25">
        <f>'Revenue Model'!Q13*Inputs!$B$88</f>
        <v/>
      </c>
      <c r="R21" s="25">
        <f>'Revenue Model'!R13*Inputs!$B$88</f>
        <v/>
      </c>
      <c r="S21" s="25">
        <f>'Revenue Model'!S13*Inputs!$B$88</f>
        <v/>
      </c>
      <c r="T21" s="25">
        <f>'Revenue Model'!T13*Inputs!$B$88</f>
        <v/>
      </c>
      <c r="U21" s="25">
        <f>'Revenue Model'!U13*Inputs!$B$88</f>
        <v/>
      </c>
      <c r="V21" s="25">
        <f>'Revenue Model'!V13*Inputs!$B$88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Inputs!$B$121*1</f>
        <v/>
      </c>
      <c r="D27" s="25">
        <f>Inputs!$B$121*1</f>
        <v/>
      </c>
      <c r="E27" s="25">
        <f>Inputs!$B$121*1</f>
        <v/>
      </c>
      <c r="F27" s="25">
        <f>Inputs!$B$121*1</f>
        <v/>
      </c>
      <c r="G27" s="25">
        <f>Inputs!$B$121*1</f>
        <v/>
      </c>
      <c r="H27" s="25">
        <f>Inputs!$B$121*1</f>
        <v/>
      </c>
      <c r="I27" s="25">
        <f>Inputs!$B$121*1</f>
        <v/>
      </c>
      <c r="J27" s="25">
        <f>Inputs!$B$121*1</f>
        <v/>
      </c>
      <c r="K27" s="25">
        <f>Inputs!$B$121*1</f>
        <v/>
      </c>
      <c r="L27" s="25">
        <f>Inputs!$B$121*1</f>
        <v/>
      </c>
      <c r="M27" s="25">
        <f>Inputs!$B$121*1</f>
        <v/>
      </c>
      <c r="N27" s="25">
        <f>Inputs!$B$121*1</f>
        <v/>
      </c>
      <c r="O27" s="25">
        <f>Inputs!$B$121*3</f>
        <v/>
      </c>
      <c r="P27" s="25">
        <f>Inputs!$B$121*3</f>
        <v/>
      </c>
      <c r="Q27" s="25">
        <f>Inputs!$B$121*3</f>
        <v/>
      </c>
      <c r="R27" s="25">
        <f>Inputs!$B$121*3</f>
        <v/>
      </c>
      <c r="S27" s="25">
        <f>Inputs!$B$121*3</f>
        <v/>
      </c>
      <c r="T27" s="25">
        <f>Inputs!$B$121*3</f>
        <v/>
      </c>
      <c r="U27" s="25">
        <f>Inputs!$B$121*3</f>
        <v/>
      </c>
      <c r="V27" s="25">
        <f>Inputs!$B$121*3</f>
        <v/>
      </c>
    </row>
    <row r="28">
      <c r="A28" s="4" t="inlineStr">
        <is>
          <t>Interest — SBA loan</t>
        </is>
      </c>
      <c r="C28" s="25">
        <f>'Debt Schedule'!C13</f>
        <v/>
      </c>
      <c r="D28" s="25">
        <f>'Debt Schedule'!D13</f>
        <v/>
      </c>
      <c r="E28" s="25">
        <f>'Debt Schedule'!E13</f>
        <v/>
      </c>
      <c r="F28" s="25">
        <f>'Debt Schedule'!F13</f>
        <v/>
      </c>
      <c r="G28" s="25">
        <f>'Debt Schedule'!G13</f>
        <v/>
      </c>
      <c r="H28" s="25">
        <f>'Debt Schedule'!H13</f>
        <v/>
      </c>
      <c r="I28" s="25">
        <f>'Debt Schedule'!I13</f>
        <v/>
      </c>
      <c r="J28" s="25">
        <f>'Debt Schedule'!J13</f>
        <v/>
      </c>
      <c r="K28" s="25">
        <f>'Debt Schedule'!K13</f>
        <v/>
      </c>
      <c r="L28" s="25">
        <f>'Debt Schedule'!L13</f>
        <v/>
      </c>
      <c r="M28" s="25">
        <f>'Debt Schedule'!M13</f>
        <v/>
      </c>
      <c r="N28" s="25">
        <f>'Debt Schedule'!N13</f>
        <v/>
      </c>
      <c r="O28" s="25">
        <f>'Debt Schedule'!O13</f>
        <v/>
      </c>
      <c r="P28" s="25">
        <f>'Debt Schedule'!P13</f>
        <v/>
      </c>
      <c r="Q28" s="25">
        <f>'Debt Schedule'!Q13</f>
        <v/>
      </c>
      <c r="R28" s="25">
        <f>'Debt Schedule'!R13</f>
        <v/>
      </c>
      <c r="S28" s="25">
        <f>'Debt Schedule'!S13</f>
        <v/>
      </c>
      <c r="T28" s="25">
        <f>'Debt Schedule'!T13</f>
        <v/>
      </c>
      <c r="U28" s="25">
        <f>'Debt Schedule'!U13</f>
        <v/>
      </c>
      <c r="V28" s="25">
        <f>'Debt Schedule'!V13</f>
        <v/>
      </c>
    </row>
    <row r="29">
      <c r="A29" s="4" t="inlineStr">
        <is>
          <t>Interest — Hickory license note</t>
        </is>
      </c>
      <c r="C29" s="25">
        <f>'Debt Schedule'!C21</f>
        <v/>
      </c>
      <c r="D29" s="25">
        <f>'Debt Schedule'!D21</f>
        <v/>
      </c>
      <c r="E29" s="25">
        <f>'Debt Schedule'!E21</f>
        <v/>
      </c>
      <c r="F29" s="25">
        <f>'Debt Schedule'!F21</f>
        <v/>
      </c>
      <c r="G29" s="25">
        <f>'Debt Schedule'!G21</f>
        <v/>
      </c>
      <c r="H29" s="25">
        <f>'Debt Schedule'!H21</f>
        <v/>
      </c>
      <c r="I29" s="25">
        <f>'Debt Schedule'!I21</f>
        <v/>
      </c>
      <c r="J29" s="25">
        <f>'Debt Schedule'!J21</f>
        <v/>
      </c>
      <c r="K29" s="25">
        <f>'Debt Schedule'!K21</f>
        <v/>
      </c>
      <c r="L29" s="25">
        <f>'Debt Schedule'!L21</f>
        <v/>
      </c>
      <c r="M29" s="25">
        <f>'Debt Schedule'!M21</f>
        <v/>
      </c>
      <c r="N29" s="25">
        <f>'Debt Schedule'!N21</f>
        <v/>
      </c>
      <c r="O29" s="25">
        <f>'Debt Schedule'!O21</f>
        <v/>
      </c>
      <c r="P29" s="25">
        <f>'Debt Schedule'!P21</f>
        <v/>
      </c>
      <c r="Q29" s="25">
        <f>'Debt Schedule'!Q21</f>
        <v/>
      </c>
      <c r="R29" s="25">
        <f>'Debt Schedule'!R21</f>
        <v/>
      </c>
      <c r="S29" s="25">
        <f>'Debt Schedule'!S21</f>
        <v/>
      </c>
      <c r="T29" s="25">
        <f>'Debt Schedule'!T21</f>
        <v/>
      </c>
      <c r="U29" s="25">
        <f>'Debt Schedule'!U21</f>
        <v/>
      </c>
      <c r="V29" s="25">
        <f>'Debt Schedule'!V21</f>
        <v/>
      </c>
    </row>
    <row r="30">
      <c r="A30" s="4" t="inlineStr">
        <is>
          <t>Interest — working-capital line</t>
        </is>
      </c>
      <c r="C30" s="25">
        <f>'Cash Flow &amp; BS'!C16</f>
        <v/>
      </c>
      <c r="D30" s="25">
        <f>'Cash Flow &amp; BS'!D16</f>
        <v/>
      </c>
      <c r="E30" s="25">
        <f>'Cash Flow &amp; BS'!E16</f>
        <v/>
      </c>
      <c r="F30" s="25">
        <f>'Cash Flow &amp; BS'!F16</f>
        <v/>
      </c>
      <c r="G30" s="25">
        <f>'Cash Flow &amp; BS'!G16</f>
        <v/>
      </c>
      <c r="H30" s="25">
        <f>'Cash Flow &amp; BS'!H16</f>
        <v/>
      </c>
      <c r="I30" s="25">
        <f>'Cash Flow &amp; BS'!I16</f>
        <v/>
      </c>
      <c r="J30" s="25">
        <f>'Cash Flow &amp; BS'!J16</f>
        <v/>
      </c>
      <c r="K30" s="25">
        <f>'Cash Flow &amp; BS'!K16</f>
        <v/>
      </c>
      <c r="L30" s="25">
        <f>'Cash Flow &amp; BS'!L16</f>
        <v/>
      </c>
      <c r="M30" s="25">
        <f>'Cash Flow &amp; BS'!M16</f>
        <v/>
      </c>
      <c r="N30" s="25">
        <f>'Cash Flow &amp; BS'!N16</f>
        <v/>
      </c>
      <c r="O30" s="25">
        <f>'Cash Flow &amp; BS'!O16</f>
        <v/>
      </c>
      <c r="P30" s="25">
        <f>'Cash Flow &amp; BS'!P16</f>
        <v/>
      </c>
      <c r="Q30" s="25">
        <f>'Cash Flow &amp; BS'!Q16</f>
        <v/>
      </c>
      <c r="R30" s="25">
        <f>'Cash Flow &amp; BS'!R16</f>
        <v/>
      </c>
      <c r="S30" s="25">
        <f>'Cash Flow &amp; BS'!S16</f>
        <v/>
      </c>
      <c r="T30" s="25">
        <f>'Cash Flow &amp; BS'!T16</f>
        <v/>
      </c>
      <c r="U30" s="25">
        <f>'Cash Flow &amp; BS'!U16</f>
        <v/>
      </c>
      <c r="V30" s="25">
        <f>'Cash Flow &amp; BS'!V16</f>
        <v/>
      </c>
    </row>
    <row r="31">
      <c r="A31" s="26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IF(C31&gt;0,C6*Inputs!$B$100,0)</f>
        <v/>
      </c>
      <c r="D32" s="24">
        <f>IF(D31&gt;0,D6*Inputs!$B$100,0)</f>
        <v/>
      </c>
      <c r="E32" s="24">
        <f>IF(E31&gt;0,E6*Inputs!$B$100,0)</f>
        <v/>
      </c>
      <c r="F32" s="24">
        <f>IF(F31&gt;0,F6*Inputs!$B$100,0)</f>
        <v/>
      </c>
      <c r="G32" s="24">
        <f>IF(G31&gt;0,G6*Inputs!$B$100,0)</f>
        <v/>
      </c>
      <c r="H32" s="24">
        <f>IF(H31&gt;0,H6*Inputs!$B$100,0)</f>
        <v/>
      </c>
      <c r="I32" s="24">
        <f>IF(I31&gt;0,I6*Inputs!$B$100,0)</f>
        <v/>
      </c>
      <c r="J32" s="24">
        <f>IF(J31&gt;0,J6*Inputs!$B$100,0)</f>
        <v/>
      </c>
      <c r="K32" s="24">
        <f>IF(K31&gt;0,K6*Inputs!$B$100,0)</f>
        <v/>
      </c>
      <c r="L32" s="24">
        <f>IF(L31&gt;0,L6*Inputs!$B$100,0)</f>
        <v/>
      </c>
      <c r="M32" s="24">
        <f>IF(M31&gt;0,M6*Inputs!$B$100,0)</f>
        <v/>
      </c>
      <c r="N32" s="24">
        <f>IF(N31&gt;0,N6*Inputs!$B$100,0)</f>
        <v/>
      </c>
      <c r="O32" s="24">
        <f>IF(O31&gt;0,O6*Inputs!$B$100,0)</f>
        <v/>
      </c>
      <c r="P32" s="24">
        <f>IF(P31&gt;0,P6*Inputs!$B$100,0)</f>
        <v/>
      </c>
      <c r="Q32" s="24">
        <f>IF(Q31&gt;0,Q6*Inputs!$B$100,0)</f>
        <v/>
      </c>
      <c r="R32" s="24">
        <f>IF(R31&gt;0,R6*Inputs!$B$100,0)</f>
        <v/>
      </c>
      <c r="S32" s="24">
        <f>IF(S31&gt;0,S6*Inputs!$B$100,0)</f>
        <v/>
      </c>
      <c r="T32" s="24">
        <f>IF(T31&gt;0,T6*Inputs!$B$100,0)</f>
        <v/>
      </c>
      <c r="U32" s="24">
        <f>IF(U31&gt;0,U6*Inputs!$B$100,0)</f>
        <v/>
      </c>
      <c r="V32" s="24">
        <f>IF(V31&gt;0,V6*Inputs!$B$100,0)</f>
        <v/>
      </c>
    </row>
    <row r="33">
      <c r="A33" s="26" t="inlineStr">
        <is>
          <t>NET INCOME</t>
        </is>
      </c>
      <c r="C33" s="45">
        <f>C31-C32</f>
        <v/>
      </c>
      <c r="D33" s="45">
        <f>D31-D32</f>
        <v/>
      </c>
      <c r="E33" s="45">
        <f>E31-E32</f>
        <v/>
      </c>
      <c r="F33" s="45">
        <f>F31-F32</f>
        <v/>
      </c>
      <c r="G33" s="45">
        <f>G31-G32</f>
        <v/>
      </c>
      <c r="H33" s="45">
        <f>H31-H32</f>
        <v/>
      </c>
      <c r="I33" s="45">
        <f>I31-I32</f>
        <v/>
      </c>
      <c r="J33" s="45">
        <f>J31-J32</f>
        <v/>
      </c>
      <c r="K33" s="45">
        <f>K31-K32</f>
        <v/>
      </c>
      <c r="L33" s="45">
        <f>L31-L32</f>
        <v/>
      </c>
      <c r="M33" s="45">
        <f>M31-M32</f>
        <v/>
      </c>
      <c r="N33" s="45">
        <f>N31-N32</f>
        <v/>
      </c>
      <c r="O33" s="45">
        <f>O31-O32</f>
        <v/>
      </c>
      <c r="P33" s="45">
        <f>P31-P32</f>
        <v/>
      </c>
      <c r="Q33" s="45">
        <f>Q31-Q32</f>
        <v/>
      </c>
      <c r="R33" s="45">
        <f>R31-R32</f>
        <v/>
      </c>
      <c r="S33" s="45">
        <f>S31-S32</f>
        <v/>
      </c>
      <c r="T33" s="45">
        <f>T31-T32</f>
        <v/>
      </c>
      <c r="U33" s="45">
        <f>U31-U32</f>
        <v/>
      </c>
      <c r="V33" s="45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Model'!C13</f>
        <v/>
      </c>
      <c r="C7" s="50">
        <f>'Revenue Model'!D13</f>
        <v/>
      </c>
      <c r="D7" s="50">
        <f>'Revenue Model'!E13</f>
        <v/>
      </c>
      <c r="E7" s="50">
        <f>'Revenue Model'!F13</f>
        <v/>
      </c>
      <c r="F7" s="50">
        <f>'Revenue Model'!G13</f>
        <v/>
      </c>
      <c r="G7" s="50">
        <f>'Revenue Model'!H13</f>
        <v/>
      </c>
      <c r="H7" s="50">
        <f>'Revenue Model'!I13</f>
        <v/>
      </c>
      <c r="I7" s="50">
        <f>'Revenue Model'!J13</f>
        <v/>
      </c>
      <c r="J7" s="50">
        <f>'Revenue Model'!K13</f>
        <v/>
      </c>
      <c r="K7" s="50">
        <f>'Revenue Model'!L13</f>
        <v/>
      </c>
      <c r="L7" s="50">
        <f>'Revenue Model'!M13</f>
        <v/>
      </c>
      <c r="M7" s="50">
        <f>'Revenue Model'!N13</f>
        <v/>
      </c>
      <c r="N7" s="51">
        <f>SUM('Revenue Model'!O13:R13)</f>
        <v/>
      </c>
      <c r="O7" s="51">
        <f>SUM('Revenue Model'!S13:V13)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Model'!C13*Inputs!$B$11</f>
        <v/>
      </c>
      <c r="C9" s="50">
        <f>'Revenue Model'!D13*Inputs!$B$11</f>
        <v/>
      </c>
      <c r="D9" s="50">
        <f>'Revenue Model'!E13*Inputs!$B$11</f>
        <v/>
      </c>
      <c r="E9" s="50">
        <f>'Revenue Model'!F13*Inputs!$B$11</f>
        <v/>
      </c>
      <c r="F9" s="50">
        <f>'Revenue Model'!G13*Inputs!$B$11</f>
        <v/>
      </c>
      <c r="G9" s="50">
        <f>'Revenue Model'!H13*Inputs!$B$11</f>
        <v/>
      </c>
      <c r="H9" s="50">
        <f>'Revenue Model'!I13*Inputs!$B$11</f>
        <v/>
      </c>
      <c r="I9" s="50">
        <f>'Revenue Model'!J13*Inputs!$B$11</f>
        <v/>
      </c>
      <c r="J9" s="50">
        <f>'Revenue Model'!K13*Inputs!$B$11</f>
        <v/>
      </c>
      <c r="K9" s="50">
        <f>'Revenue Model'!L13*Inputs!$B$11</f>
        <v/>
      </c>
      <c r="L9" s="50">
        <f>'Revenue Model'!M13*Inputs!$B$11</f>
        <v/>
      </c>
      <c r="M9" s="50">
        <f>'Revenue Model'!N13*Inputs!$B$11</f>
        <v/>
      </c>
      <c r="N9" s="51">
        <f>SUM('Revenue Model'!O13:R13)*Inputs!$B$11</f>
        <v/>
      </c>
      <c r="O9" s="51">
        <f>SUM('Revenue Model'!S13:V13)*Inputs!$B$11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Model'!C13*Inputs!$B$10</f>
        <v/>
      </c>
      <c r="C10" s="50">
        <f>'Revenue Model'!D13*Inputs!$B$10</f>
        <v/>
      </c>
      <c r="D10" s="50">
        <f>'Revenue Model'!E13*Inputs!$B$10</f>
        <v/>
      </c>
      <c r="E10" s="50">
        <f>'Revenue Model'!F13*Inputs!$B$10</f>
        <v/>
      </c>
      <c r="F10" s="50">
        <f>'Revenue Model'!G13*Inputs!$B$10</f>
        <v/>
      </c>
      <c r="G10" s="50">
        <f>'Revenue Model'!H13*Inputs!$B$10</f>
        <v/>
      </c>
      <c r="H10" s="50">
        <f>'Revenue Model'!I13*Inputs!$B$10</f>
        <v/>
      </c>
      <c r="I10" s="50">
        <f>'Revenue Model'!J13*Inputs!$B$10</f>
        <v/>
      </c>
      <c r="J10" s="50">
        <f>'Revenue Model'!K13*Inputs!$B$10</f>
        <v/>
      </c>
      <c r="K10" s="50">
        <f>'Revenue Model'!L13*Inputs!$B$10</f>
        <v/>
      </c>
      <c r="L10" s="50">
        <f>'Revenue Model'!M13*Inputs!$B$10</f>
        <v/>
      </c>
      <c r="M10" s="50">
        <f>'Revenue Model'!N13*Inputs!$B$10</f>
        <v/>
      </c>
      <c r="N10" s="51">
        <f>SUM('Revenue Model'!O13:R13)*Inputs!$B$10</f>
        <v/>
      </c>
      <c r="O10" s="51">
        <f>SUM('Revenue Model'!S13:V13)*Inputs!$B$10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Model'!C12*Inputs!$B$69</f>
        <v/>
      </c>
      <c r="C15" s="50">
        <f>'Revenue Model'!D12*Inputs!$B$69</f>
        <v/>
      </c>
      <c r="D15" s="50">
        <f>'Revenue Model'!E12*Inputs!$B$69</f>
        <v/>
      </c>
      <c r="E15" s="50">
        <f>'Revenue Model'!F12*Inputs!$B$69</f>
        <v/>
      </c>
      <c r="F15" s="50">
        <f>'Revenue Model'!G12*Inputs!$B$69</f>
        <v/>
      </c>
      <c r="G15" s="50">
        <f>'Revenue Model'!H12*Inputs!$B$69</f>
        <v/>
      </c>
      <c r="H15" s="50">
        <f>'Revenue Model'!I12*Inputs!$B$69</f>
        <v/>
      </c>
      <c r="I15" s="50">
        <f>'Revenue Model'!J12*Inputs!$B$69</f>
        <v/>
      </c>
      <c r="J15" s="50">
        <f>'Revenue Model'!K12*Inputs!$B$69</f>
        <v/>
      </c>
      <c r="K15" s="50">
        <f>'Revenue Model'!L12*Inputs!$B$69</f>
        <v/>
      </c>
      <c r="L15" s="50">
        <f>'Revenue Model'!M12*Inputs!$B$69</f>
        <v/>
      </c>
      <c r="M15" s="50">
        <f>'Revenue Model'!N12*Inputs!$B$69</f>
        <v/>
      </c>
      <c r="N15" s="51">
        <f>SUM('Revenue Model'!O12:R12)*Inputs!$B$69</f>
        <v/>
      </c>
      <c r="O15" s="51">
        <f>SUM('Revenue Model'!S12:V12)*Inputs!$B$69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Model'!C12*Inputs!$B$67</f>
        <v/>
      </c>
      <c r="C16" s="50">
        <f>'Revenue Model'!D12*Inputs!$B$67</f>
        <v/>
      </c>
      <c r="D16" s="50">
        <f>'Revenue Model'!E12*Inputs!$B$67</f>
        <v/>
      </c>
      <c r="E16" s="50">
        <f>'Revenue Model'!F12*Inputs!$B$67</f>
        <v/>
      </c>
      <c r="F16" s="50">
        <f>'Revenue Model'!G12*Inputs!$B$67</f>
        <v/>
      </c>
      <c r="G16" s="50">
        <f>'Revenue Model'!H12*Inputs!$B$67</f>
        <v/>
      </c>
      <c r="H16" s="50">
        <f>'Revenue Model'!I12*Inputs!$B$67</f>
        <v/>
      </c>
      <c r="I16" s="50">
        <f>'Revenue Model'!J12*Inputs!$B$67</f>
        <v/>
      </c>
      <c r="J16" s="50">
        <f>'Revenue Model'!K12*Inputs!$B$67</f>
        <v/>
      </c>
      <c r="K16" s="50">
        <f>'Revenue Model'!L12*Inputs!$B$67</f>
        <v/>
      </c>
      <c r="L16" s="50">
        <f>'Revenue Model'!M12*Inputs!$B$67</f>
        <v/>
      </c>
      <c r="M16" s="50">
        <f>'Revenue Model'!N12*Inputs!$B$67</f>
        <v/>
      </c>
      <c r="N16" s="51">
        <f>SUM('Revenue Model'!O12:R12)*Inputs!$B$67</f>
        <v/>
      </c>
      <c r="O16" s="51">
        <f>SUM('Revenue Model'!S12:V12)*Inputs!$B$67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Model'!C12*Inputs!$B$68</f>
        <v/>
      </c>
      <c r="C17" s="50">
        <f>'Revenue Model'!D12*Inputs!$B$68</f>
        <v/>
      </c>
      <c r="D17" s="50">
        <f>'Revenue Model'!E12*Inputs!$B$68</f>
        <v/>
      </c>
      <c r="E17" s="50">
        <f>'Revenue Model'!F12*Inputs!$B$68</f>
        <v/>
      </c>
      <c r="F17" s="50">
        <f>'Revenue Model'!G12*Inputs!$B$68</f>
        <v/>
      </c>
      <c r="G17" s="50">
        <f>'Revenue Model'!H12*Inputs!$B$68</f>
        <v/>
      </c>
      <c r="H17" s="50">
        <f>'Revenue Model'!I12*Inputs!$B$68</f>
        <v/>
      </c>
      <c r="I17" s="50">
        <f>'Revenue Model'!J12*Inputs!$B$68</f>
        <v/>
      </c>
      <c r="J17" s="50">
        <f>'Revenue Model'!K12*Inputs!$B$68</f>
        <v/>
      </c>
      <c r="K17" s="50">
        <f>'Revenue Model'!L12*Inputs!$B$68</f>
        <v/>
      </c>
      <c r="L17" s="50">
        <f>'Revenue Model'!M12*Inputs!$B$68</f>
        <v/>
      </c>
      <c r="M17" s="50">
        <f>'Revenue Model'!N12*Inputs!$B$68</f>
        <v/>
      </c>
      <c r="N17" s="51">
        <f>SUM('Revenue Model'!O12:R12)*Inputs!$B$68</f>
        <v/>
      </c>
      <c r="O17" s="51">
        <f>SUM('Revenue Model'!S12:V12)*Inputs!$B$68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Payroll'!C14+'Staffing &amp; Payroll'!C26+'Staffing &amp; Payroll'!C22+'Staffing &amp; Payroll'!C27)/2</f>
        <v/>
      </c>
      <c r="C28" s="50">
        <f>('Staffing &amp; Payroll'!D14+'Staffing &amp; Payroll'!D26+'Staffing &amp; Payroll'!D22+'Staffing &amp; Payroll'!D27)/2</f>
        <v/>
      </c>
      <c r="D28" s="50">
        <f>('Staffing &amp; Payroll'!E14+'Staffing &amp; Payroll'!E26+'Staffing &amp; Payroll'!E22+'Staffing &amp; Payroll'!E27)/2</f>
        <v/>
      </c>
      <c r="E28" s="50">
        <f>('Staffing &amp; Payroll'!F14+'Staffing &amp; Payroll'!F26+'Staffing &amp; Payroll'!F22+'Staffing &amp; Payroll'!F27)/2</f>
        <v/>
      </c>
      <c r="F28" s="50">
        <f>('Staffing &amp; Payroll'!G14+'Staffing &amp; Payroll'!G26+'Staffing &amp; Payroll'!G22+'Staffing &amp; Payroll'!G27)/2</f>
        <v/>
      </c>
      <c r="G28" s="50">
        <f>('Staffing &amp; Payroll'!H14+'Staffing &amp; Payroll'!H26+'Staffing &amp; Payroll'!H22+'Staffing &amp; Payroll'!H27)/2</f>
        <v/>
      </c>
      <c r="H28" s="50">
        <f>('Staffing &amp; Payroll'!I14+'Staffing &amp; Payroll'!I26+'Staffing &amp; Payroll'!I22+'Staffing &amp; Payroll'!I27)/2</f>
        <v/>
      </c>
      <c r="I28" s="50">
        <f>('Staffing &amp; Payroll'!J14+'Staffing &amp; Payroll'!J26+'Staffing &amp; Payroll'!J22+'Staffing &amp; Payroll'!J27)/2</f>
        <v/>
      </c>
      <c r="J28" s="50">
        <f>('Staffing &amp; Payroll'!K14+'Staffing &amp; Payroll'!K26+'Staffing &amp; Payroll'!K22+'Staffing &amp; Payroll'!K27)/2</f>
        <v/>
      </c>
      <c r="K28" s="50">
        <f>('Staffing &amp; Payroll'!L14+'Staffing &amp; Payroll'!L26+'Staffing &amp; Payroll'!L22+'Staffing &amp; Payroll'!L27)/2</f>
        <v/>
      </c>
      <c r="L28" s="50">
        <f>('Staffing &amp; Payroll'!M14+'Staffing &amp; Payroll'!M26+'Staffing &amp; Payroll'!M22+'Staffing &amp; Payroll'!M27)/2</f>
        <v/>
      </c>
      <c r="M28" s="50">
        <f>('Staffing &amp; Payroll'!N14+'Staffing &amp; Payroll'!N26+'Staffing &amp; Payroll'!N22+'Staffing &amp; Payroll'!N27)/2</f>
        <v/>
      </c>
      <c r="N28" s="51">
        <f>(SUM('Staffing &amp; Payroll'!O14:R14)+SUM('Staffing &amp; Payroll'!O26:R26)+SUM('Staffing &amp; Payroll'!O22:R22)+SUM('Staffing &amp; Payroll'!O27:R27))/2</f>
        <v/>
      </c>
      <c r="O28" s="51">
        <f>(SUM('Staffing &amp; Payroll'!S14:V14)+SUM('Staffing &amp; Payroll'!S26:V26)+SUM('Staffing &amp; Payroll'!S22:V22)+SUM('Staffing &amp; Payroll'!S27:V27))/2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Payroll'!C14+'Staffing &amp; Payroll'!C26+'Staffing &amp; Payroll'!C22+'Staffing &amp; Payroll'!C27)/2</f>
        <v/>
      </c>
      <c r="C29" s="50">
        <f>('Staffing &amp; Payroll'!D14+'Staffing &amp; Payroll'!D26+'Staffing &amp; Payroll'!D22+'Staffing &amp; Payroll'!D27)/2</f>
        <v/>
      </c>
      <c r="D29" s="50">
        <f>('Staffing &amp; Payroll'!E14+'Staffing &amp; Payroll'!E26+'Staffing &amp; Payroll'!E22+'Staffing &amp; Payroll'!E27)/2</f>
        <v/>
      </c>
      <c r="E29" s="50">
        <f>('Staffing &amp; Payroll'!F14+'Staffing &amp; Payroll'!F26+'Staffing &amp; Payroll'!F22+'Staffing &amp; Payroll'!F27)/2</f>
        <v/>
      </c>
      <c r="F29" s="50">
        <f>('Staffing &amp; Payroll'!G14+'Staffing &amp; Payroll'!G26+'Staffing &amp; Payroll'!G22+'Staffing &amp; Payroll'!G27)/2</f>
        <v/>
      </c>
      <c r="G29" s="50">
        <f>('Staffing &amp; Payroll'!H14+'Staffing &amp; Payroll'!H26+'Staffing &amp; Payroll'!H22+'Staffing &amp; Payroll'!H27)/2</f>
        <v/>
      </c>
      <c r="H29" s="50">
        <f>('Staffing &amp; Payroll'!I14+'Staffing &amp; Payroll'!I26+'Staffing &amp; Payroll'!I22+'Staffing &amp; Payroll'!I27)/2</f>
        <v/>
      </c>
      <c r="I29" s="50">
        <f>('Staffing &amp; Payroll'!J14+'Staffing &amp; Payroll'!J26+'Staffing &amp; Payroll'!J22+'Staffing &amp; Payroll'!J27)/2</f>
        <v/>
      </c>
      <c r="J29" s="50">
        <f>('Staffing &amp; Payroll'!K14+'Staffing &amp; Payroll'!K26+'Staffing &amp; Payroll'!K22+'Staffing &amp; Payroll'!K27)/2</f>
        <v/>
      </c>
      <c r="K29" s="50">
        <f>('Staffing &amp; Payroll'!L14+'Staffing &amp; Payroll'!L26+'Staffing &amp; Payroll'!L22+'Staffing &amp; Payroll'!L27)/2</f>
        <v/>
      </c>
      <c r="L29" s="50">
        <f>('Staffing &amp; Payroll'!M14+'Staffing &amp; Payroll'!M26+'Staffing &amp; Payroll'!M22+'Staffing &amp; Payroll'!M27)/2</f>
        <v/>
      </c>
      <c r="M29" s="50">
        <f>('Staffing &amp; Payroll'!N14+'Staffing &amp; Payroll'!N26+'Staffing &amp; Payroll'!N22+'Staffing &amp; Payroll'!N27)/2</f>
        <v/>
      </c>
      <c r="N29" s="51">
        <f>(SUM('Staffing &amp; Payroll'!O14:R14)+SUM('Staffing &amp; Payroll'!O26:R26)+SUM('Staffing &amp; Payroll'!O22:R22)+SUM('Staffing &amp; Payroll'!O27:R27))/2</f>
        <v/>
      </c>
      <c r="O29" s="51">
        <f>(SUM('Staffing &amp; Payroll'!S14:V14)+SUM('Staffing &amp; Payroll'!S26:V26)+SUM('Staffing &amp; Payroll'!S22:V22)+SUM('Staffing &amp; Payroll'!S27:V27))/2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Payroll'!C32+'Staffing &amp; Payroll'!C33</f>
        <v/>
      </c>
      <c r="C31" s="50">
        <f>'Staffing &amp; Payroll'!D32+'Staffing &amp; Payroll'!D33</f>
        <v/>
      </c>
      <c r="D31" s="50">
        <f>'Staffing &amp; Payroll'!E32+'Staffing &amp; Payroll'!E33</f>
        <v/>
      </c>
      <c r="E31" s="50">
        <f>'Staffing &amp; Payroll'!F32+'Staffing &amp; Payroll'!F33</f>
        <v/>
      </c>
      <c r="F31" s="50">
        <f>'Staffing &amp; Payroll'!G32+'Staffing &amp; Payroll'!G33</f>
        <v/>
      </c>
      <c r="G31" s="50">
        <f>'Staffing &amp; Payroll'!H32+'Staffing &amp; Payroll'!H33</f>
        <v/>
      </c>
      <c r="H31" s="50">
        <f>'Staffing &amp; Payroll'!I32+'Staffing &amp; Payroll'!I33</f>
        <v/>
      </c>
      <c r="I31" s="50">
        <f>'Staffing &amp; Payroll'!J32+'Staffing &amp; Payroll'!J33</f>
        <v/>
      </c>
      <c r="J31" s="50">
        <f>'Staffing &amp; Payroll'!K32+'Staffing &amp; Payroll'!K33</f>
        <v/>
      </c>
      <c r="K31" s="50">
        <f>'Staffing &amp; Payroll'!L32+'Staffing &amp; Payroll'!L33</f>
        <v/>
      </c>
      <c r="L31" s="50">
        <f>'Staffing &amp; Payroll'!M32+'Staffing &amp; Payroll'!M33</f>
        <v/>
      </c>
      <c r="M31" s="50">
        <f>'Staffing &amp; Payroll'!N32+'Staffing &amp; Payroll'!N33</f>
        <v/>
      </c>
      <c r="N31" s="51">
        <f>SUM('Staffing &amp; Payroll'!O32:R32)+SUM('Staffing &amp; Payroll'!O33:R33)</f>
        <v/>
      </c>
      <c r="O31" s="51">
        <f>SUM('Staffing &amp; Payroll'!S32:V32)+SUM('Staffing &amp; Payroll'!S33:V33)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Payroll'!C23</f>
        <v/>
      </c>
      <c r="C33" s="50">
        <f>'Staffing &amp; Payroll'!D23</f>
        <v/>
      </c>
      <c r="D33" s="50">
        <f>'Staffing &amp; Payroll'!E23</f>
        <v/>
      </c>
      <c r="E33" s="50">
        <f>'Staffing &amp; Payroll'!F23</f>
        <v/>
      </c>
      <c r="F33" s="50">
        <f>'Staffing &amp; Payroll'!G23</f>
        <v/>
      </c>
      <c r="G33" s="50">
        <f>'Staffing &amp; Payroll'!H23</f>
        <v/>
      </c>
      <c r="H33" s="50">
        <f>'Staffing &amp; Payroll'!I23</f>
        <v/>
      </c>
      <c r="I33" s="50">
        <f>'Staffing &amp; Payroll'!J23</f>
        <v/>
      </c>
      <c r="J33" s="50">
        <f>'Staffing &amp; Payroll'!K23</f>
        <v/>
      </c>
      <c r="K33" s="50">
        <f>'Staffing &amp; Payroll'!L23</f>
        <v/>
      </c>
      <c r="L33" s="50">
        <f>'Staffing &amp; Payroll'!M23</f>
        <v/>
      </c>
      <c r="M33" s="50">
        <f>'Staffing &amp; Payroll'!N23</f>
        <v/>
      </c>
      <c r="N33" s="51">
        <f>SUM('Staffing &amp; Payroll'!O23:R23)</f>
        <v/>
      </c>
      <c r="O33" s="51">
        <f>SUM('Staffing &amp; Payroll'!S23:V23)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Payroll'!C34+'Staffing &amp; Payroll'!C35</f>
        <v/>
      </c>
      <c r="C36" s="50">
        <f>'Staffing &amp; Payroll'!D34+'Staffing &amp; Payroll'!D35</f>
        <v/>
      </c>
      <c r="D36" s="50">
        <f>'Staffing &amp; Payroll'!E34+'Staffing &amp; Payroll'!E35</f>
        <v/>
      </c>
      <c r="E36" s="50">
        <f>'Staffing &amp; Payroll'!F34+'Staffing &amp; Payroll'!F35</f>
        <v/>
      </c>
      <c r="F36" s="50">
        <f>'Staffing &amp; Payroll'!G34+'Staffing &amp; Payroll'!G35</f>
        <v/>
      </c>
      <c r="G36" s="50">
        <f>'Staffing &amp; Payroll'!H34+'Staffing &amp; Payroll'!H35</f>
        <v/>
      </c>
      <c r="H36" s="50">
        <f>'Staffing &amp; Payroll'!I34+'Staffing &amp; Payroll'!I35</f>
        <v/>
      </c>
      <c r="I36" s="50">
        <f>'Staffing &amp; Payroll'!J34+'Staffing &amp; Payroll'!J35</f>
        <v/>
      </c>
      <c r="J36" s="50">
        <f>'Staffing &amp; Payroll'!K34+'Staffing &amp; Payroll'!K35</f>
        <v/>
      </c>
      <c r="K36" s="50">
        <f>'Staffing &amp; Payroll'!L34+'Staffing &amp; Payroll'!L35</f>
        <v/>
      </c>
      <c r="L36" s="50">
        <f>'Staffing &amp; Payroll'!M34+'Staffing &amp; Payroll'!M35</f>
        <v/>
      </c>
      <c r="M36" s="50">
        <f>'Staffing &amp; Payroll'!N34+'Staffing &amp; Payroll'!N35</f>
        <v/>
      </c>
      <c r="N36" s="51">
        <f>SUM('Staffing &amp; Payroll'!O34:R34)+SUM('Staffing &amp; Payroll'!O35:R35)</f>
        <v/>
      </c>
      <c r="O36" s="51">
        <f>SUM('Staffing &amp; Payroll'!S34:V34)+SUM('Staffing &amp; Payroll'!S35:V35)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Inputs!$B$83</f>
        <v/>
      </c>
      <c r="C40" s="50">
        <f>Inputs!$B$83</f>
        <v/>
      </c>
      <c r="D40" s="50">
        <f>Inputs!$B$83</f>
        <v/>
      </c>
      <c r="E40" s="50">
        <f>Inputs!$B$83</f>
        <v/>
      </c>
      <c r="F40" s="50">
        <f>Inputs!$B$83</f>
        <v/>
      </c>
      <c r="G40" s="50">
        <f>Inputs!$B$83</f>
        <v/>
      </c>
      <c r="H40" s="50">
        <f>Inputs!$B$83</f>
        <v/>
      </c>
      <c r="I40" s="50">
        <f>Inputs!$B$83</f>
        <v/>
      </c>
      <c r="J40" s="50">
        <f>Inputs!$B$83</f>
        <v/>
      </c>
      <c r="K40" s="50">
        <f>Inputs!$B$83</f>
        <v/>
      </c>
      <c r="L40" s="50">
        <f>Inputs!$B$83</f>
        <v/>
      </c>
      <c r="M40" s="50">
        <f>Inputs!$B$83</f>
        <v/>
      </c>
      <c r="N40" s="51">
        <f>Inputs!$B$83*12</f>
        <v/>
      </c>
      <c r="O40" s="51">
        <f>Inputs!$B$83*12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Inputs!$B$84</f>
        <v/>
      </c>
      <c r="C41" s="50">
        <f>Inputs!$B$84</f>
        <v/>
      </c>
      <c r="D41" s="50">
        <f>Inputs!$B$84</f>
        <v/>
      </c>
      <c r="E41" s="50">
        <f>Inputs!$B$84</f>
        <v/>
      </c>
      <c r="F41" s="50">
        <f>Inputs!$B$84</f>
        <v/>
      </c>
      <c r="G41" s="50">
        <f>Inputs!$B$84</f>
        <v/>
      </c>
      <c r="H41" s="50">
        <f>Inputs!$B$84</f>
        <v/>
      </c>
      <c r="I41" s="50">
        <f>Inputs!$B$84</f>
        <v/>
      </c>
      <c r="J41" s="50">
        <f>Inputs!$B$84</f>
        <v/>
      </c>
      <c r="K41" s="50">
        <f>Inputs!$B$84</f>
        <v/>
      </c>
      <c r="L41" s="50">
        <f>Inputs!$B$84</f>
        <v/>
      </c>
      <c r="M41" s="50">
        <f>Inputs!$B$84</f>
        <v/>
      </c>
      <c r="N41" s="51">
        <f>Inputs!$B$84*12</f>
        <v/>
      </c>
      <c r="O41" s="51">
        <f>Inputs!$B$84*12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Inputs!$B$72</f>
        <v/>
      </c>
      <c r="C42" s="50">
        <f>Inputs!$B$72</f>
        <v/>
      </c>
      <c r="D42" s="50">
        <f>Inputs!$B$72</f>
        <v/>
      </c>
      <c r="E42" s="50">
        <f>Inputs!$B$72</f>
        <v/>
      </c>
      <c r="F42" s="50">
        <f>Inputs!$B$72</f>
        <v/>
      </c>
      <c r="G42" s="50">
        <f>Inputs!$B$72</f>
        <v/>
      </c>
      <c r="H42" s="50">
        <f>Inputs!$B$72</f>
        <v/>
      </c>
      <c r="I42" s="50">
        <f>Inputs!$B$72</f>
        <v/>
      </c>
      <c r="J42" s="50">
        <f>Inputs!$B$72</f>
        <v/>
      </c>
      <c r="K42" s="50">
        <f>Inputs!$B$72</f>
        <v/>
      </c>
      <c r="L42" s="50">
        <f>Inputs!$B$72</f>
        <v/>
      </c>
      <c r="M42" s="50">
        <f>Inputs!$B$72</f>
        <v/>
      </c>
      <c r="N42" s="51">
        <f>Inputs!$B$72*12</f>
        <v/>
      </c>
      <c r="O42" s="51">
        <f>Inputs!$B$72*12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Inputs!$B$73</f>
        <v/>
      </c>
      <c r="C43" s="50">
        <f>Inputs!$B$73</f>
        <v/>
      </c>
      <c r="D43" s="50">
        <f>Inputs!$B$73</f>
        <v/>
      </c>
      <c r="E43" s="50">
        <f>Inputs!$B$73</f>
        <v/>
      </c>
      <c r="F43" s="50">
        <f>Inputs!$B$73</f>
        <v/>
      </c>
      <c r="G43" s="50">
        <f>Inputs!$B$73</f>
        <v/>
      </c>
      <c r="H43" s="50">
        <f>Inputs!$B$73</f>
        <v/>
      </c>
      <c r="I43" s="50">
        <f>Inputs!$B$73</f>
        <v/>
      </c>
      <c r="J43" s="50">
        <f>Inputs!$B$73</f>
        <v/>
      </c>
      <c r="K43" s="50">
        <f>Inputs!$B$73</f>
        <v/>
      </c>
      <c r="L43" s="50">
        <f>Inputs!$B$73</f>
        <v/>
      </c>
      <c r="M43" s="50">
        <f>Inputs!$B$73</f>
        <v/>
      </c>
      <c r="N43" s="51">
        <f>Inputs!$B$73*12</f>
        <v/>
      </c>
      <c r="O43" s="51">
        <f>Inputs!$B$73*12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Inputs!$B$74</f>
        <v/>
      </c>
      <c r="C44" s="50">
        <f>Inputs!$B$74</f>
        <v/>
      </c>
      <c r="D44" s="50">
        <f>Inputs!$B$74</f>
        <v/>
      </c>
      <c r="E44" s="50">
        <f>Inputs!$B$74</f>
        <v/>
      </c>
      <c r="F44" s="50">
        <f>Inputs!$B$74</f>
        <v/>
      </c>
      <c r="G44" s="50">
        <f>Inputs!$B$74</f>
        <v/>
      </c>
      <c r="H44" s="50">
        <f>Inputs!$B$74</f>
        <v/>
      </c>
      <c r="I44" s="50">
        <f>Inputs!$B$74</f>
        <v/>
      </c>
      <c r="J44" s="50">
        <f>Inputs!$B$74</f>
        <v/>
      </c>
      <c r="K44" s="50">
        <f>Inputs!$B$74</f>
        <v/>
      </c>
      <c r="L44" s="50">
        <f>Inputs!$B$74</f>
        <v/>
      </c>
      <c r="M44" s="50">
        <f>Inputs!$B$74</f>
        <v/>
      </c>
      <c r="N44" s="51">
        <f>Inputs!$B$74*12</f>
        <v/>
      </c>
      <c r="O44" s="51">
        <f>Inputs!$B$74*12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Inputs!$B$75</f>
        <v/>
      </c>
      <c r="C45" s="50">
        <f>Inputs!$B$75</f>
        <v/>
      </c>
      <c r="D45" s="50">
        <f>Inputs!$B$75</f>
        <v/>
      </c>
      <c r="E45" s="50">
        <f>Inputs!$B$75</f>
        <v/>
      </c>
      <c r="F45" s="50">
        <f>Inputs!$B$75</f>
        <v/>
      </c>
      <c r="G45" s="50">
        <f>Inputs!$B$75</f>
        <v/>
      </c>
      <c r="H45" s="50">
        <f>Inputs!$B$75</f>
        <v/>
      </c>
      <c r="I45" s="50">
        <f>Inputs!$B$75</f>
        <v/>
      </c>
      <c r="J45" s="50">
        <f>Inputs!$B$75</f>
        <v/>
      </c>
      <c r="K45" s="50">
        <f>Inputs!$B$75</f>
        <v/>
      </c>
      <c r="L45" s="50">
        <f>Inputs!$B$75</f>
        <v/>
      </c>
      <c r="M45" s="50">
        <f>Inputs!$B$75</f>
        <v/>
      </c>
      <c r="N45" s="51">
        <f>Inputs!$B$75*12</f>
        <v/>
      </c>
      <c r="O45" s="51">
        <f>Inputs!$B$75*12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Inputs!$B$85</f>
        <v/>
      </c>
      <c r="C51" s="50">
        <f>Inputs!$B$85</f>
        <v/>
      </c>
      <c r="D51" s="50">
        <f>Inputs!$B$85</f>
        <v/>
      </c>
      <c r="E51" s="50">
        <f>Inputs!$B$85</f>
        <v/>
      </c>
      <c r="F51" s="50">
        <f>Inputs!$B$85</f>
        <v/>
      </c>
      <c r="G51" s="50">
        <f>Inputs!$B$85</f>
        <v/>
      </c>
      <c r="H51" s="50">
        <f>Inputs!$B$85</f>
        <v/>
      </c>
      <c r="I51" s="50">
        <f>Inputs!$B$85</f>
        <v/>
      </c>
      <c r="J51" s="50">
        <f>Inputs!$B$85</f>
        <v/>
      </c>
      <c r="K51" s="50">
        <f>Inputs!$B$85</f>
        <v/>
      </c>
      <c r="L51" s="50">
        <f>Inputs!$B$85</f>
        <v/>
      </c>
      <c r="M51" s="50">
        <f>Inputs!$B$85</f>
        <v/>
      </c>
      <c r="N51" s="51">
        <f>Inputs!$B$85*12</f>
        <v/>
      </c>
      <c r="O51" s="51">
        <f>Inputs!$B$85*12</f>
        <v/>
      </c>
      <c r="P51" s="52">
        <f>SUM(B51:M51)+N51+O51</f>
        <v/>
      </c>
    </row>
    <row r="52">
      <c r="A52" s="54" t="inlineStr">
        <is>
          <t>BCBP Billing Fee</t>
        </is>
      </c>
      <c r="B52" s="50">
        <f>Inputs!$B$76</f>
        <v/>
      </c>
      <c r="C52" s="50">
        <f>Inputs!$B$76</f>
        <v/>
      </c>
      <c r="D52" s="50">
        <f>Inputs!$B$76</f>
        <v/>
      </c>
      <c r="E52" s="50">
        <f>Inputs!$B$76</f>
        <v/>
      </c>
      <c r="F52" s="50">
        <f>Inputs!$B$76</f>
        <v/>
      </c>
      <c r="G52" s="50">
        <f>Inputs!$B$76</f>
        <v/>
      </c>
      <c r="H52" s="50">
        <f>Inputs!$B$76</f>
        <v/>
      </c>
      <c r="I52" s="50">
        <f>Inputs!$B$76</f>
        <v/>
      </c>
      <c r="J52" s="50">
        <f>Inputs!$B$76</f>
        <v/>
      </c>
      <c r="K52" s="50">
        <f>Inputs!$B$76</f>
        <v/>
      </c>
      <c r="L52" s="50">
        <f>Inputs!$B$76</f>
        <v/>
      </c>
      <c r="M52" s="50">
        <f>Inputs!$B$76</f>
        <v/>
      </c>
      <c r="N52" s="51">
        <f>Inputs!$B$76*12</f>
        <v/>
      </c>
      <c r="O52" s="51">
        <f>Inputs!$B$76*12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Inputs!$B$77</f>
        <v/>
      </c>
      <c r="C53" s="50">
        <f>Inputs!$B$77</f>
        <v/>
      </c>
      <c r="D53" s="50">
        <f>Inputs!$B$77</f>
        <v/>
      </c>
      <c r="E53" s="50">
        <f>Inputs!$B$77</f>
        <v/>
      </c>
      <c r="F53" s="50">
        <f>Inputs!$B$77</f>
        <v/>
      </c>
      <c r="G53" s="50">
        <f>Inputs!$B$77</f>
        <v/>
      </c>
      <c r="H53" s="50">
        <f>Inputs!$B$77</f>
        <v/>
      </c>
      <c r="I53" s="50">
        <f>Inputs!$B$77</f>
        <v/>
      </c>
      <c r="J53" s="50">
        <f>Inputs!$B$77</f>
        <v/>
      </c>
      <c r="K53" s="50">
        <f>Inputs!$B$77</f>
        <v/>
      </c>
      <c r="L53" s="50">
        <f>Inputs!$B$77</f>
        <v/>
      </c>
      <c r="M53" s="50">
        <f>Inputs!$B$77</f>
        <v/>
      </c>
      <c r="N53" s="51">
        <f>Inputs!$B$77*12</f>
        <v/>
      </c>
      <c r="O53" s="51">
        <f>Inputs!$B$77*12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Inputs!$B$78</f>
        <v/>
      </c>
      <c r="C55" s="50">
        <f>Inputs!$B$78</f>
        <v/>
      </c>
      <c r="D55" s="50">
        <f>Inputs!$B$78</f>
        <v/>
      </c>
      <c r="E55" s="50">
        <f>Inputs!$B$78</f>
        <v/>
      </c>
      <c r="F55" s="50">
        <f>Inputs!$B$78</f>
        <v/>
      </c>
      <c r="G55" s="50">
        <f>Inputs!$B$78</f>
        <v/>
      </c>
      <c r="H55" s="50">
        <f>Inputs!$B$78</f>
        <v/>
      </c>
      <c r="I55" s="50">
        <f>Inputs!$B$78</f>
        <v/>
      </c>
      <c r="J55" s="50">
        <f>Inputs!$B$78</f>
        <v/>
      </c>
      <c r="K55" s="50">
        <f>Inputs!$B$78</f>
        <v/>
      </c>
      <c r="L55" s="50">
        <f>Inputs!$B$78</f>
        <v/>
      </c>
      <c r="M55" s="50">
        <f>Inputs!$B$78</f>
        <v/>
      </c>
      <c r="N55" s="51">
        <f>Inputs!$B$78*12</f>
        <v/>
      </c>
      <c r="O55" s="51">
        <f>Inputs!$B$78*12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Inputs!$B$80</f>
        <v/>
      </c>
      <c r="C57" s="50">
        <f>Inputs!$B$80</f>
        <v/>
      </c>
      <c r="D57" s="50">
        <f>Inputs!$B$80</f>
        <v/>
      </c>
      <c r="E57" s="50">
        <f>Inputs!$B$80</f>
        <v/>
      </c>
      <c r="F57" s="50">
        <f>Inputs!$B$80</f>
        <v/>
      </c>
      <c r="G57" s="50">
        <f>Inputs!$B$80</f>
        <v/>
      </c>
      <c r="H57" s="50">
        <f>Inputs!$B$80</f>
        <v/>
      </c>
      <c r="I57" s="50">
        <f>Inputs!$B$80</f>
        <v/>
      </c>
      <c r="J57" s="50">
        <f>Inputs!$B$80</f>
        <v/>
      </c>
      <c r="K57" s="50">
        <f>Inputs!$B$80</f>
        <v/>
      </c>
      <c r="L57" s="50">
        <f>Inputs!$B$80</f>
        <v/>
      </c>
      <c r="M57" s="50">
        <f>Inputs!$B$80</f>
        <v/>
      </c>
      <c r="N57" s="51">
        <f>Inputs!$B$80*12</f>
        <v/>
      </c>
      <c r="O57" s="51">
        <f>Inputs!$B$80*12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Model'!C13*Inputs!$B$88</f>
        <v/>
      </c>
      <c r="C58" s="50">
        <f>'Revenue Model'!D13*Inputs!$B$88</f>
        <v/>
      </c>
      <c r="D58" s="50">
        <f>'Revenue Model'!E13*Inputs!$B$88</f>
        <v/>
      </c>
      <c r="E58" s="50">
        <f>'Revenue Model'!F13*Inputs!$B$88</f>
        <v/>
      </c>
      <c r="F58" s="50">
        <f>'Revenue Model'!G13*Inputs!$B$88</f>
        <v/>
      </c>
      <c r="G58" s="50">
        <f>'Revenue Model'!H13*Inputs!$B$88</f>
        <v/>
      </c>
      <c r="H58" s="50">
        <f>'Revenue Model'!I13*Inputs!$B$88</f>
        <v/>
      </c>
      <c r="I58" s="50">
        <f>'Revenue Model'!J13*Inputs!$B$88</f>
        <v/>
      </c>
      <c r="J58" s="50">
        <f>'Revenue Model'!K13*Inputs!$B$88</f>
        <v/>
      </c>
      <c r="K58" s="50">
        <f>'Revenue Model'!L13*Inputs!$B$88</f>
        <v/>
      </c>
      <c r="L58" s="50">
        <f>'Revenue Model'!M13*Inputs!$B$88</f>
        <v/>
      </c>
      <c r="M58" s="50">
        <f>'Revenue Model'!N13*Inputs!$B$88</f>
        <v/>
      </c>
      <c r="N58" s="51">
        <f>SUM('Revenue Model'!O13:R13)*Inputs!$B$88</f>
        <v/>
      </c>
      <c r="O58" s="51">
        <f>SUM('Revenue Model'!S13:V13)*Inputs!$B$88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Inputs!$B$81</f>
        <v/>
      </c>
      <c r="C59" s="50">
        <f>Inputs!$B$81</f>
        <v/>
      </c>
      <c r="D59" s="50">
        <f>Inputs!$B$81</f>
        <v/>
      </c>
      <c r="E59" s="50">
        <f>Inputs!$B$81</f>
        <v/>
      </c>
      <c r="F59" s="50">
        <f>Inputs!$B$81</f>
        <v/>
      </c>
      <c r="G59" s="50">
        <f>Inputs!$B$81</f>
        <v/>
      </c>
      <c r="H59" s="50">
        <f>Inputs!$B$81</f>
        <v/>
      </c>
      <c r="I59" s="50">
        <f>Inputs!$B$81</f>
        <v/>
      </c>
      <c r="J59" s="50">
        <f>Inputs!$B$81</f>
        <v/>
      </c>
      <c r="K59" s="50">
        <f>Inputs!$B$81</f>
        <v/>
      </c>
      <c r="L59" s="50">
        <f>Inputs!$B$81</f>
        <v/>
      </c>
      <c r="M59" s="50">
        <f>Inputs!$B$81</f>
        <v/>
      </c>
      <c r="N59" s="51">
        <f>Inputs!$B$81*12</f>
        <v/>
      </c>
      <c r="O59" s="51">
        <f>Inputs!$B$81*12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Inputs!$B$79</f>
        <v/>
      </c>
      <c r="C60" s="50">
        <f>Inputs!$B$79</f>
        <v/>
      </c>
      <c r="D60" s="50">
        <f>Inputs!$B$79</f>
        <v/>
      </c>
      <c r="E60" s="50">
        <f>Inputs!$B$79</f>
        <v/>
      </c>
      <c r="F60" s="50">
        <f>Inputs!$B$79</f>
        <v/>
      </c>
      <c r="G60" s="50">
        <f>Inputs!$B$79</f>
        <v/>
      </c>
      <c r="H60" s="50">
        <f>Inputs!$B$79</f>
        <v/>
      </c>
      <c r="I60" s="50">
        <f>Inputs!$B$79</f>
        <v/>
      </c>
      <c r="J60" s="50">
        <f>Inputs!$B$79</f>
        <v/>
      </c>
      <c r="K60" s="50">
        <f>Inputs!$B$79</f>
        <v/>
      </c>
      <c r="L60" s="50">
        <f>Inputs!$B$79</f>
        <v/>
      </c>
      <c r="M60" s="50">
        <f>Inputs!$B$79</f>
        <v/>
      </c>
      <c r="N60" s="51">
        <f>Inputs!$B$79*12</f>
        <v/>
      </c>
      <c r="O60" s="51">
        <f>Inputs!$B$79*12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Inputs!$B$82</f>
        <v/>
      </c>
      <c r="C62" s="50">
        <f>Inputs!$B$82</f>
        <v/>
      </c>
      <c r="D62" s="50">
        <f>Inputs!$B$82</f>
        <v/>
      </c>
      <c r="E62" s="50">
        <f>Inputs!$B$82</f>
        <v/>
      </c>
      <c r="F62" s="50">
        <f>Inputs!$B$82</f>
        <v/>
      </c>
      <c r="G62" s="50">
        <f>Inputs!$B$82</f>
        <v/>
      </c>
      <c r="H62" s="50">
        <f>Inputs!$B$82</f>
        <v/>
      </c>
      <c r="I62" s="50">
        <f>Inputs!$B$82</f>
        <v/>
      </c>
      <c r="J62" s="50">
        <f>Inputs!$B$82</f>
        <v/>
      </c>
      <c r="K62" s="50">
        <f>Inputs!$B$82</f>
        <v/>
      </c>
      <c r="L62" s="50">
        <f>Inputs!$B$82</f>
        <v/>
      </c>
      <c r="M62" s="50">
        <f>Inputs!$B$82</f>
        <v/>
      </c>
      <c r="N62" s="51">
        <f>Inputs!$B$82*12</f>
        <v/>
      </c>
      <c r="O62" s="51">
        <f>Inputs!$B$82*12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PMT(Inputs!$B$92/12,Inputs!$B$93,-Inputs!$B$91)</f>
        <v/>
      </c>
    </row>
    <row r="6">
      <c r="A6" s="4" t="inlineStr">
        <is>
          <t>License note monthly payment (PMT)</t>
        </is>
      </c>
      <c r="B6" s="24">
        <f>PMT(Inputs!$B$102/12,Inputs!$B$103,-Inputs!$B$101)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Inputs!$B$91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C11*Inputs!$B$92/12*1</f>
        <v/>
      </c>
      <c r="D13" s="24">
        <f>D11*Inputs!$B$92/12*1</f>
        <v/>
      </c>
      <c r="E13" s="24">
        <f>E11*Inputs!$B$92/12*1</f>
        <v/>
      </c>
      <c r="F13" s="24">
        <f>F11*Inputs!$B$92/12*1</f>
        <v/>
      </c>
      <c r="G13" s="24">
        <f>G11*Inputs!$B$92/12*1</f>
        <v/>
      </c>
      <c r="H13" s="24">
        <f>H11*Inputs!$B$92/12*1</f>
        <v/>
      </c>
      <c r="I13" s="24">
        <f>I11*Inputs!$B$92/12*1</f>
        <v/>
      </c>
      <c r="J13" s="24">
        <f>J11*Inputs!$B$92/12*1</f>
        <v/>
      </c>
      <c r="K13" s="24">
        <f>K11*Inputs!$B$92/12*1</f>
        <v/>
      </c>
      <c r="L13" s="24">
        <f>L11*Inputs!$B$92/12*1</f>
        <v/>
      </c>
      <c r="M13" s="24">
        <f>M11*Inputs!$B$92/12*1</f>
        <v/>
      </c>
      <c r="N13" s="24">
        <f>N11*Inputs!$B$92/12*1</f>
        <v/>
      </c>
      <c r="O13" s="24">
        <f>O11*Inputs!$B$92/12*3</f>
        <v/>
      </c>
      <c r="P13" s="24">
        <f>P11*Inputs!$B$92/12*3</f>
        <v/>
      </c>
      <c r="Q13" s="24">
        <f>Q11*Inputs!$B$92/12*3</f>
        <v/>
      </c>
      <c r="R13" s="24">
        <f>R11*Inputs!$B$92/12*3</f>
        <v/>
      </c>
      <c r="S13" s="24">
        <f>S11*Inputs!$B$92/12*3</f>
        <v/>
      </c>
      <c r="T13" s="24">
        <f>T11*Inputs!$B$92/12*3</f>
        <v/>
      </c>
      <c r="U13" s="24">
        <f>U11*Inputs!$B$92/12*3</f>
        <v/>
      </c>
      <c r="V13" s="24">
        <f>V11*Inputs!$B$92/12*3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5">
        <f>Inputs!$B$101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MAX(0,C18*(1+Inputs!$B$102/12)^1-'Debt Schedule'!$B$6*((1+Inputs!$B$102/12)^1-1)/(Inputs!$B$102/12))</f>
        <v/>
      </c>
      <c r="D19" s="24">
        <f>MAX(0,D18*(1+Inputs!$B$102/12)^1-'Debt Schedule'!$B$6*((1+Inputs!$B$102/12)^1-1)/(Inputs!$B$102/12))</f>
        <v/>
      </c>
      <c r="E19" s="24">
        <f>MAX(0,E18*(1+Inputs!$B$102/12)^1-'Debt Schedule'!$B$6*((1+Inputs!$B$102/12)^1-1)/(Inputs!$B$102/12))</f>
        <v/>
      </c>
      <c r="F19" s="24">
        <f>MAX(0,F18*(1+Inputs!$B$102/12)^1-'Debt Schedule'!$B$6*((1+Inputs!$B$102/12)^1-1)/(Inputs!$B$102/12))</f>
        <v/>
      </c>
      <c r="G19" s="24">
        <f>MAX(0,G18*(1+Inputs!$B$102/12)^1-'Debt Schedule'!$B$6*((1+Inputs!$B$102/12)^1-1)/(Inputs!$B$102/12))</f>
        <v/>
      </c>
      <c r="H19" s="24">
        <f>MAX(0,H18*(1+Inputs!$B$102/12)^1-'Debt Schedule'!$B$6*((1+Inputs!$B$102/12)^1-1)/(Inputs!$B$102/12))</f>
        <v/>
      </c>
      <c r="I19" s="24">
        <f>MAX(0,I18*(1+Inputs!$B$102/12)^1-'Debt Schedule'!$B$6*((1+Inputs!$B$102/12)^1-1)/(Inputs!$B$102/12))</f>
        <v/>
      </c>
      <c r="J19" s="24">
        <f>MAX(0,J18*(1+Inputs!$B$102/12)^1-'Debt Schedule'!$B$6*((1+Inputs!$B$102/12)^1-1)/(Inputs!$B$102/12))</f>
        <v/>
      </c>
      <c r="K19" s="24">
        <f>MAX(0,K18*(1+Inputs!$B$102/12)^1-'Debt Schedule'!$B$6*((1+Inputs!$B$102/12)^1-1)/(Inputs!$B$102/12))</f>
        <v/>
      </c>
      <c r="L19" s="24">
        <f>MAX(0,L18*(1+Inputs!$B$102/12)^1-'Debt Schedule'!$B$6*((1+Inputs!$B$102/12)^1-1)/(Inputs!$B$102/12))</f>
        <v/>
      </c>
      <c r="M19" s="24">
        <f>MAX(0,M18*(1+Inputs!$B$102/12)^1-'Debt Schedule'!$B$6*((1+Inputs!$B$102/12)^1-1)/(Inputs!$B$102/12))</f>
        <v/>
      </c>
      <c r="N19" s="24">
        <f>MAX(0,N18*(1+Inputs!$B$102/12)^1-'Debt Schedule'!$B$6*((1+Inputs!$B$102/12)^1-1)/(Inputs!$B$102/12))</f>
        <v/>
      </c>
      <c r="O19" s="24">
        <f>MAX(0,O18*(1+Inputs!$B$102/12)^3-'Debt Schedule'!$B$6*((1+Inputs!$B$102/12)^3-1)/(Inputs!$B$102/12))</f>
        <v/>
      </c>
      <c r="P19" s="24">
        <f>MAX(0,P18*(1+Inputs!$B$102/12)^3-'Debt Schedule'!$B$6*((1+Inputs!$B$102/12)^3-1)/(Inputs!$B$102/12))</f>
        <v/>
      </c>
      <c r="Q19" s="24">
        <f>MAX(0,Q18*(1+Inputs!$B$102/12)^3-'Debt Schedule'!$B$6*((1+Inputs!$B$102/12)^3-1)/(Inputs!$B$102/12))</f>
        <v/>
      </c>
      <c r="R19" s="24">
        <f>MAX(0,R18*(1+Inputs!$B$102/12)^3-'Debt Schedule'!$B$6*((1+Inputs!$B$102/12)^3-1)/(Inputs!$B$102/12))</f>
        <v/>
      </c>
      <c r="S19" s="24">
        <f>MAX(0,S18*(1+Inputs!$B$102/12)^3-'Debt Schedule'!$B$6*((1+Inputs!$B$102/12)^3-1)/(Inputs!$B$102/12))</f>
        <v/>
      </c>
      <c r="T19" s="24">
        <f>MAX(0,T18*(1+Inputs!$B$102/12)^3-'Debt Schedule'!$B$6*((1+Inputs!$B$102/12)^3-1)/(Inputs!$B$102/12))</f>
        <v/>
      </c>
      <c r="U19" s="24">
        <f>MAX(0,U18*(1+Inputs!$B$102/12)^3-'Debt Schedule'!$B$6*((1+Inputs!$B$102/12)^3-1)/(Inputs!$B$102/12))</f>
        <v/>
      </c>
      <c r="V19" s="24">
        <f>MAX(0,V18*(1+Inputs!$B$102/12)^3-'Debt Schedule'!$B$6*((1+Inputs!$B$102/12)^3-1)/(Inputs!$B$102/12))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Budget'!C23</f>
        <v/>
      </c>
      <c r="D28" s="25">
        <f>'Operating Budget'!D23</f>
        <v/>
      </c>
      <c r="E28" s="25">
        <f>'Operating Budget'!E23</f>
        <v/>
      </c>
      <c r="F28" s="25">
        <f>'Operating Budget'!F23</f>
        <v/>
      </c>
      <c r="G28" s="25">
        <f>'Operating Budget'!G23</f>
        <v/>
      </c>
      <c r="H28" s="25">
        <f>'Operating Budget'!H23</f>
        <v/>
      </c>
      <c r="I28" s="25">
        <f>'Operating Budget'!I23</f>
        <v/>
      </c>
      <c r="J28" s="25">
        <f>'Operating Budget'!J23</f>
        <v/>
      </c>
      <c r="K28" s="25">
        <f>'Operating Budget'!K23</f>
        <v/>
      </c>
      <c r="L28" s="25">
        <f>'Operating Budget'!L23</f>
        <v/>
      </c>
      <c r="M28" s="25">
        <f>'Operating Budget'!M23</f>
        <v/>
      </c>
      <c r="N28" s="25">
        <f>'Operating Budget'!N23</f>
        <v/>
      </c>
      <c r="O28" s="25">
        <f>'Operating Budget'!O23</f>
        <v/>
      </c>
      <c r="P28" s="25">
        <f>'Operating Budget'!P23</f>
        <v/>
      </c>
      <c r="Q28" s="25">
        <f>'Operating Budget'!Q23</f>
        <v/>
      </c>
      <c r="R28" s="25">
        <f>'Operating Budget'!R23</f>
        <v/>
      </c>
      <c r="S28" s="25">
        <f>'Operating Budget'!S23</f>
        <v/>
      </c>
      <c r="T28" s="25">
        <f>'Operating Budget'!T23</f>
        <v/>
      </c>
      <c r="U28" s="25">
        <f>'Operating Budget'!U23</f>
        <v/>
      </c>
      <c r="V28" s="25">
        <f>'Operating Budget'!V23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Budget'!C33</f>
        <v/>
      </c>
      <c r="D7" s="25">
        <f>'Operating Budget'!D33</f>
        <v/>
      </c>
      <c r="E7" s="25">
        <f>'Operating Budget'!E33</f>
        <v/>
      </c>
      <c r="F7" s="25">
        <f>'Operating Budget'!F33</f>
        <v/>
      </c>
      <c r="G7" s="25">
        <f>'Operating Budget'!G33</f>
        <v/>
      </c>
      <c r="H7" s="25">
        <f>'Operating Budget'!H33</f>
        <v/>
      </c>
      <c r="I7" s="25">
        <f>'Operating Budget'!I33</f>
        <v/>
      </c>
      <c r="J7" s="25">
        <f>'Operating Budget'!J33</f>
        <v/>
      </c>
      <c r="K7" s="25">
        <f>'Operating Budget'!K33</f>
        <v/>
      </c>
      <c r="L7" s="25">
        <f>'Operating Budget'!L33</f>
        <v/>
      </c>
      <c r="M7" s="25">
        <f>'Operating Budget'!M33</f>
        <v/>
      </c>
      <c r="N7" s="25">
        <f>'Operating Budget'!N33</f>
        <v/>
      </c>
      <c r="O7" s="25">
        <f>'Operating Budget'!O33</f>
        <v/>
      </c>
      <c r="P7" s="25">
        <f>'Operating Budget'!P33</f>
        <v/>
      </c>
      <c r="Q7" s="25">
        <f>'Operating Budget'!Q33</f>
        <v/>
      </c>
      <c r="R7" s="25">
        <f>'Operating Budget'!R33</f>
        <v/>
      </c>
      <c r="S7" s="25">
        <f>'Operating Budget'!S33</f>
        <v/>
      </c>
      <c r="T7" s="25">
        <f>'Operating Budget'!T33</f>
        <v/>
      </c>
      <c r="U7" s="25">
        <f>'Operating Budget'!U33</f>
        <v/>
      </c>
      <c r="V7" s="25">
        <f>'Operating Budget'!V33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Model'!C16*Inputs!$B$115/'Revenue Model'!C11</f>
        <v/>
      </c>
      <c r="D9" s="25">
        <f>'Revenue Model'!D16*Inputs!$B$115/'Revenue Model'!D11</f>
        <v/>
      </c>
      <c r="E9" s="25">
        <f>'Revenue Model'!E16*Inputs!$B$115/'Revenue Model'!E11</f>
        <v/>
      </c>
      <c r="F9" s="25">
        <f>'Revenue Model'!F16*Inputs!$B$115/'Revenue Model'!F11</f>
        <v/>
      </c>
      <c r="G9" s="25">
        <f>'Revenue Model'!G16*Inputs!$B$115/'Revenue Model'!G11</f>
        <v/>
      </c>
      <c r="H9" s="25">
        <f>'Revenue Model'!H16*Inputs!$B$115/'Revenue Model'!H11</f>
        <v/>
      </c>
      <c r="I9" s="25">
        <f>'Revenue Model'!I16*Inputs!$B$115/'Revenue Model'!I11</f>
        <v/>
      </c>
      <c r="J9" s="25">
        <f>'Revenue Model'!J16*Inputs!$B$115/'Revenue Model'!J11</f>
        <v/>
      </c>
      <c r="K9" s="25">
        <f>'Revenue Model'!K16*Inputs!$B$115/'Revenue Model'!K11</f>
        <v/>
      </c>
      <c r="L9" s="25">
        <f>'Revenue Model'!L16*Inputs!$B$115/'Revenue Model'!L11</f>
        <v/>
      </c>
      <c r="M9" s="25">
        <f>'Revenue Model'!M16*Inputs!$B$115/'Revenue Model'!M11</f>
        <v/>
      </c>
      <c r="N9" s="25">
        <f>'Revenue Model'!N16*Inputs!$B$115/'Revenue Model'!N11</f>
        <v/>
      </c>
      <c r="O9" s="25">
        <f>'Revenue Model'!O16*Inputs!$B$115/'Revenue Model'!O11</f>
        <v/>
      </c>
      <c r="P9" s="25">
        <f>'Revenue Model'!P16*Inputs!$B$115/'Revenue Model'!P11</f>
        <v/>
      </c>
      <c r="Q9" s="25">
        <f>'Revenue Model'!Q16*Inputs!$B$115/'Revenue Model'!Q11</f>
        <v/>
      </c>
      <c r="R9" s="25">
        <f>'Revenue Model'!R16*Inputs!$B$115/'Revenue Model'!R11</f>
        <v/>
      </c>
      <c r="S9" s="25">
        <f>'Revenue Model'!S16*Inputs!$B$115/'Revenue Model'!S11</f>
        <v/>
      </c>
      <c r="T9" s="25">
        <f>'Revenue Model'!T16*Inputs!$B$115/'Revenue Model'!T11</f>
        <v/>
      </c>
      <c r="U9" s="25">
        <f>'Revenue Model'!U16*Inputs!$B$115/'Revenue Model'!U11</f>
        <v/>
      </c>
      <c r="V9" s="25">
        <f>'Revenue Model'!V16*Inputs!$B$115/'Revenue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Budget'!C13)*Inputs!$B$116/'Revenue Model'!C11</f>
        <v/>
      </c>
      <c r="D10" s="25">
        <f>('Operating Budget'!D20+'Operating Budget'!D21+'Operating Budget'!D13)*Inputs!$B$116/'Revenue Model'!D11</f>
        <v/>
      </c>
      <c r="E10" s="25">
        <f>('Operating Budget'!E20+'Operating Budget'!E21+'Operating Budget'!E13)*Inputs!$B$116/'Revenue Model'!E11</f>
        <v/>
      </c>
      <c r="F10" s="25">
        <f>('Operating Budget'!F20+'Operating Budget'!F21+'Operating Budget'!F13)*Inputs!$B$116/'Revenue Model'!F11</f>
        <v/>
      </c>
      <c r="G10" s="25">
        <f>('Operating Budget'!G20+'Operating Budget'!G21+'Operating Budget'!G13)*Inputs!$B$116/'Revenue Model'!G11</f>
        <v/>
      </c>
      <c r="H10" s="25">
        <f>('Operating Budget'!H20+'Operating Budget'!H21+'Operating Budget'!H13)*Inputs!$B$116/'Revenue Model'!H11</f>
        <v/>
      </c>
      <c r="I10" s="25">
        <f>('Operating Budget'!I20+'Operating Budget'!I21+'Operating Budget'!I13)*Inputs!$B$116/'Revenue Model'!I11</f>
        <v/>
      </c>
      <c r="J10" s="25">
        <f>('Operating Budget'!J20+'Operating Budget'!J21+'Operating Budget'!J13)*Inputs!$B$116/'Revenue Model'!J11</f>
        <v/>
      </c>
      <c r="K10" s="25">
        <f>('Operating Budget'!K20+'Operating Budget'!K21+'Operating Budget'!K13)*Inputs!$B$116/'Revenue Model'!K11</f>
        <v/>
      </c>
      <c r="L10" s="25">
        <f>('Operating Budget'!L20+'Operating Budget'!L21+'Operating Budget'!L13)*Inputs!$B$116/'Revenue Model'!L11</f>
        <v/>
      </c>
      <c r="M10" s="25">
        <f>('Operating Budget'!M20+'Operating Budget'!M21+'Operating Budget'!M13)*Inputs!$B$116/'Revenue Model'!M11</f>
        <v/>
      </c>
      <c r="N10" s="25">
        <f>('Operating Budget'!N20+'Operating Budget'!N21+'Operating Budget'!N13)*Inputs!$B$116/'Revenue Model'!N11</f>
        <v/>
      </c>
      <c r="O10" s="25">
        <f>('Operating Budget'!O20+'Operating Budget'!O21+'Operating Budget'!O13)*Inputs!$B$116/'Revenue Model'!O11</f>
        <v/>
      </c>
      <c r="P10" s="25">
        <f>('Operating Budget'!P20+'Operating Budget'!P21+'Operating Budget'!P13)*Inputs!$B$116/'Revenue Model'!P11</f>
        <v/>
      </c>
      <c r="Q10" s="25">
        <f>('Operating Budget'!Q20+'Operating Budget'!Q21+'Operating Budget'!Q13)*Inputs!$B$116/'Revenue Model'!Q11</f>
        <v/>
      </c>
      <c r="R10" s="25">
        <f>('Operating Budget'!R20+'Operating Budget'!R21+'Operating Budget'!R13)*Inputs!$B$116/'Revenue Model'!R11</f>
        <v/>
      </c>
      <c r="S10" s="25">
        <f>('Operating Budget'!S20+'Operating Budget'!S21+'Operating Budget'!S13)*Inputs!$B$116/'Revenue Model'!S11</f>
        <v/>
      </c>
      <c r="T10" s="25">
        <f>('Operating Budget'!T20+'Operating Budget'!T21+'Operating Budget'!T13)*Inputs!$B$116/'Revenue Model'!T11</f>
        <v/>
      </c>
      <c r="U10" s="25">
        <f>('Operating Budget'!U20+'Operating Budget'!U21+'Operating Budget'!U13)*Inputs!$B$116/'Revenue Model'!U11</f>
        <v/>
      </c>
      <c r="V10" s="25">
        <f>('Operating Budget'!V20+'Operating Budget'!V21+'Operating Budget'!V13)*Inputs!$B$116/'Revenue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−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B20*Inputs!$B$96*1/12</f>
        <v/>
      </c>
      <c r="D16" s="24">
        <f>C20*Inputs!$B$96*1/12</f>
        <v/>
      </c>
      <c r="E16" s="24">
        <f>D20*Inputs!$B$96*1/12</f>
        <v/>
      </c>
      <c r="F16" s="24">
        <f>E20*Inputs!$B$96*1/12</f>
        <v/>
      </c>
      <c r="G16" s="24">
        <f>F20*Inputs!$B$96*1/12</f>
        <v/>
      </c>
      <c r="H16" s="24">
        <f>G20*Inputs!$B$96*1/12</f>
        <v/>
      </c>
      <c r="I16" s="24">
        <f>H20*Inputs!$B$96*1/12</f>
        <v/>
      </c>
      <c r="J16" s="24">
        <f>I20*Inputs!$B$96*1/12</f>
        <v/>
      </c>
      <c r="K16" s="24">
        <f>J20*Inputs!$B$96*1/12</f>
        <v/>
      </c>
      <c r="L16" s="24">
        <f>K20*Inputs!$B$96*1/12</f>
        <v/>
      </c>
      <c r="M16" s="24">
        <f>L20*Inputs!$B$96*1/12</f>
        <v/>
      </c>
      <c r="N16" s="24">
        <f>M20*Inputs!$B$96*1/12</f>
        <v/>
      </c>
      <c r="O16" s="24">
        <f>N20*Inputs!$B$96*3/12</f>
        <v/>
      </c>
      <c r="P16" s="24">
        <f>O20*Inputs!$B$96*3/12</f>
        <v/>
      </c>
      <c r="Q16" s="24">
        <f>P20*Inputs!$B$96*3/12</f>
        <v/>
      </c>
      <c r="R16" s="24">
        <f>Q20*Inputs!$B$96*3/12</f>
        <v/>
      </c>
      <c r="S16" s="24">
        <f>R20*Inputs!$B$96*3/12</f>
        <v/>
      </c>
      <c r="T16" s="24">
        <f>S20*Inputs!$B$96*3/12</f>
        <v/>
      </c>
      <c r="U16" s="24">
        <f>T20*Inputs!$B$96*3/12</f>
        <v/>
      </c>
      <c r="V16" s="24">
        <f>U20*Inputs!$B$96*3/12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Inputs!$B$120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IF(C18&lt;Inputs!$B$97,Inputs!$B$97-C18,-MIN(B20,MAX(0,C18-Inputs!$B$97)))</f>
        <v/>
      </c>
      <c r="D19" s="24">
        <f>IF(D18&lt;Inputs!$B$97,Inputs!$B$97-D18,-MIN(C20,MAX(0,D18-Inputs!$B$97)))</f>
        <v/>
      </c>
      <c r="E19" s="24">
        <f>IF(E18&lt;Inputs!$B$97,Inputs!$B$97-E18,-MIN(D20,MAX(0,E18-Inputs!$B$97)))</f>
        <v/>
      </c>
      <c r="F19" s="24">
        <f>IF(F18&lt;Inputs!$B$97,Inputs!$B$97-F18,-MIN(E20,MAX(0,F18-Inputs!$B$97)))</f>
        <v/>
      </c>
      <c r="G19" s="24">
        <f>IF(G18&lt;Inputs!$B$97,Inputs!$B$97-G18,-MIN(F20,MAX(0,G18-Inputs!$B$97)))</f>
        <v/>
      </c>
      <c r="H19" s="24">
        <f>IF(H18&lt;Inputs!$B$97,Inputs!$B$97-H18,-MIN(G20,MAX(0,H18-Inputs!$B$97)))</f>
        <v/>
      </c>
      <c r="I19" s="24">
        <f>IF(I18&lt;Inputs!$B$97,Inputs!$B$97-I18,-MIN(H20,MAX(0,I18-Inputs!$B$97)))</f>
        <v/>
      </c>
      <c r="J19" s="24">
        <f>IF(J18&lt;Inputs!$B$97,Inputs!$B$97-J18,-MIN(I20,MAX(0,J18-Inputs!$B$97)))</f>
        <v/>
      </c>
      <c r="K19" s="24">
        <f>IF(K18&lt;Inputs!$B$97,Inputs!$B$97-K18,-MIN(J20,MAX(0,K18-Inputs!$B$97)))</f>
        <v/>
      </c>
      <c r="L19" s="24">
        <f>IF(L18&lt;Inputs!$B$97,Inputs!$B$97-L18,-MIN(K20,MAX(0,L18-Inputs!$B$97)))</f>
        <v/>
      </c>
      <c r="M19" s="24">
        <f>IF(M18&lt;Inputs!$B$97,Inputs!$B$97-M18,-MIN(L20,MAX(0,M18-Inputs!$B$97)))</f>
        <v/>
      </c>
      <c r="N19" s="24">
        <f>IF(N18&lt;Inputs!$B$97,Inputs!$B$97-N18,-MIN(M20,MAX(0,N18-Inputs!$B$97)))</f>
        <v/>
      </c>
      <c r="O19" s="24">
        <f>IF(O18&lt;Inputs!$B$97,Inputs!$B$97-O18,-MIN(N20,MAX(0,O18-Inputs!$B$97)))</f>
        <v/>
      </c>
      <c r="P19" s="24">
        <f>IF(P18&lt;Inputs!$B$97,Inputs!$B$97-P18,-MIN(O20,MAX(0,P18-Inputs!$B$97)))</f>
        <v/>
      </c>
      <c r="Q19" s="24">
        <f>IF(Q18&lt;Inputs!$B$97,Inputs!$B$97-Q18,-MIN(P20,MAX(0,Q18-Inputs!$B$97)))</f>
        <v/>
      </c>
      <c r="R19" s="24">
        <f>IF(R18&lt;Inputs!$B$97,Inputs!$B$97-R18,-MIN(Q20,MAX(0,R18-Inputs!$B$97)))</f>
        <v/>
      </c>
      <c r="S19" s="24">
        <f>IF(S18&lt;Inputs!$B$97,Inputs!$B$97-S18,-MIN(R20,MAX(0,S18-Inputs!$B$97)))</f>
        <v/>
      </c>
      <c r="T19" s="24">
        <f>IF(T18&lt;Inputs!$B$97,Inputs!$B$97-T18,-MIN(S20,MAX(0,T18-Inputs!$B$97)))</f>
        <v/>
      </c>
      <c r="U19" s="24">
        <f>IF(U18&lt;Inputs!$B$97,Inputs!$B$97-U18,-MIN(T20,MAX(0,U18-Inputs!$B$97)))</f>
        <v/>
      </c>
      <c r="V19" s="24">
        <f>IF(V18&lt;Inputs!$B$97,Inputs!$B$97-V18,-MIN(U20,MAX(0,V18-Inputs!$B$97)))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Inputs!$B$120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Inputs!$B$98</f>
        <v/>
      </c>
      <c r="C26" s="24">
        <f>MAX(0,B26-Inputs!$B$98/Inputs!$B$99/12*1)</f>
        <v/>
      </c>
      <c r="D26" s="24">
        <f>MAX(0,C26-Inputs!$B$98/Inputs!$B$99/12*1)</f>
        <v/>
      </c>
      <c r="E26" s="24">
        <f>MAX(0,D26-Inputs!$B$98/Inputs!$B$99/12*1)</f>
        <v/>
      </c>
      <c r="F26" s="24">
        <f>MAX(0,E26-Inputs!$B$98/Inputs!$B$99/12*1)</f>
        <v/>
      </c>
      <c r="G26" s="24">
        <f>MAX(0,F26-Inputs!$B$98/Inputs!$B$99/12*1)</f>
        <v/>
      </c>
      <c r="H26" s="24">
        <f>MAX(0,G26-Inputs!$B$98/Inputs!$B$99/12*1)</f>
        <v/>
      </c>
      <c r="I26" s="24">
        <f>MAX(0,H26-Inputs!$B$98/Inputs!$B$99/12*1)</f>
        <v/>
      </c>
      <c r="J26" s="24">
        <f>MAX(0,I26-Inputs!$B$98/Inputs!$B$99/12*1)</f>
        <v/>
      </c>
      <c r="K26" s="24">
        <f>MAX(0,J26-Inputs!$B$98/Inputs!$B$99/12*1)</f>
        <v/>
      </c>
      <c r="L26" s="24">
        <f>MAX(0,K26-Inputs!$B$98/Inputs!$B$99/12*1)</f>
        <v/>
      </c>
      <c r="M26" s="24">
        <f>MAX(0,L26-Inputs!$B$98/Inputs!$B$99/12*1)</f>
        <v/>
      </c>
      <c r="N26" s="24">
        <f>MAX(0,M26-Inputs!$B$98/Inputs!$B$99/12*1)</f>
        <v/>
      </c>
      <c r="O26" s="24">
        <f>MAX(0,N26-Inputs!$B$98/Inputs!$B$99/12*3)</f>
        <v/>
      </c>
      <c r="P26" s="24">
        <f>MAX(0,O26-Inputs!$B$98/Inputs!$B$99/12*3)</f>
        <v/>
      </c>
      <c r="Q26" s="24">
        <f>MAX(0,P26-Inputs!$B$98/Inputs!$B$99/12*3)</f>
        <v/>
      </c>
      <c r="R26" s="24">
        <f>MAX(0,Q26-Inputs!$B$98/Inputs!$B$99/12*3)</f>
        <v/>
      </c>
      <c r="S26" s="24">
        <f>MAX(0,R26-Inputs!$B$98/Inputs!$B$99/12*3)</f>
        <v/>
      </c>
      <c r="T26" s="24">
        <f>MAX(0,S26-Inputs!$B$98/Inputs!$B$99/12*3)</f>
        <v/>
      </c>
      <c r="U26" s="24">
        <f>MAX(0,T26-Inputs!$B$98/Inputs!$B$99/12*3)</f>
        <v/>
      </c>
      <c r="V26" s="24">
        <f>MAX(0,U26-Inputs!$B$98/Inputs!$B$99/12*3)</f>
        <v/>
      </c>
    </row>
    <row r="27">
      <c r="A27" s="4" t="inlineStr">
        <is>
          <t>Startup &amp; organizational costs, net</t>
        </is>
      </c>
      <c r="B27" s="25">
        <f>Inputs!$B$119</f>
        <v/>
      </c>
      <c r="C27" s="24">
        <f>MAX(0,B27-Inputs!$B$119/Inputs!$B$99/12*1)</f>
        <v/>
      </c>
      <c r="D27" s="24">
        <f>MAX(0,C27-Inputs!$B$119/Inputs!$B$99/12*1)</f>
        <v/>
      </c>
      <c r="E27" s="24">
        <f>MAX(0,D27-Inputs!$B$119/Inputs!$B$99/12*1)</f>
        <v/>
      </c>
      <c r="F27" s="24">
        <f>MAX(0,E27-Inputs!$B$119/Inputs!$B$99/12*1)</f>
        <v/>
      </c>
      <c r="G27" s="24">
        <f>MAX(0,F27-Inputs!$B$119/Inputs!$B$99/12*1)</f>
        <v/>
      </c>
      <c r="H27" s="24">
        <f>MAX(0,G27-Inputs!$B$119/Inputs!$B$99/12*1)</f>
        <v/>
      </c>
      <c r="I27" s="24">
        <f>MAX(0,H27-Inputs!$B$119/Inputs!$B$99/12*1)</f>
        <v/>
      </c>
      <c r="J27" s="24">
        <f>MAX(0,I27-Inputs!$B$119/Inputs!$B$99/12*1)</f>
        <v/>
      </c>
      <c r="K27" s="24">
        <f>MAX(0,J27-Inputs!$B$119/Inputs!$B$99/12*1)</f>
        <v/>
      </c>
      <c r="L27" s="24">
        <f>MAX(0,K27-Inputs!$B$119/Inputs!$B$99/12*1)</f>
        <v/>
      </c>
      <c r="M27" s="24">
        <f>MAX(0,L27-Inputs!$B$119/Inputs!$B$99/12*1)</f>
        <v/>
      </c>
      <c r="N27" s="24">
        <f>MAX(0,M27-Inputs!$B$119/Inputs!$B$99/12*1)</f>
        <v/>
      </c>
      <c r="O27" s="24">
        <f>MAX(0,N27-Inputs!$B$119/Inputs!$B$99/12*3)</f>
        <v/>
      </c>
      <c r="P27" s="24">
        <f>MAX(0,O27-Inputs!$B$119/Inputs!$B$99/12*3)</f>
        <v/>
      </c>
      <c r="Q27" s="24">
        <f>MAX(0,P27-Inputs!$B$119/Inputs!$B$99/12*3)</f>
        <v/>
      </c>
      <c r="R27" s="24">
        <f>MAX(0,Q27-Inputs!$B$119/Inputs!$B$99/12*3)</f>
        <v/>
      </c>
      <c r="S27" s="24">
        <f>MAX(0,R27-Inputs!$B$119/Inputs!$B$99/12*3)</f>
        <v/>
      </c>
      <c r="T27" s="24">
        <f>MAX(0,S27-Inputs!$B$119/Inputs!$B$99/12*3)</f>
        <v/>
      </c>
      <c r="U27" s="24">
        <f>MAX(0,T27-Inputs!$B$119/Inputs!$B$99/12*3)</f>
        <v/>
      </c>
      <c r="V27" s="24">
        <f>MAX(0,U27-Inputs!$B$119/Inputs!$B$99/12*3)</f>
        <v/>
      </c>
    </row>
    <row r="28">
      <c r="A28" s="4" t="inlineStr">
        <is>
          <t>Hickory Medicare license intangible, net</t>
        </is>
      </c>
      <c r="B28" s="25">
        <f>Inputs!$B$101</f>
        <v/>
      </c>
      <c r="C28" s="24">
        <f>MAX(0,B28-Inputs!$B$101/Inputs!$B$104/12*1)</f>
        <v/>
      </c>
      <c r="D28" s="24">
        <f>MAX(0,C28-Inputs!$B$101/Inputs!$B$104/12*1)</f>
        <v/>
      </c>
      <c r="E28" s="24">
        <f>MAX(0,D28-Inputs!$B$101/Inputs!$B$104/12*1)</f>
        <v/>
      </c>
      <c r="F28" s="24">
        <f>MAX(0,E28-Inputs!$B$101/Inputs!$B$104/12*1)</f>
        <v/>
      </c>
      <c r="G28" s="24">
        <f>MAX(0,F28-Inputs!$B$101/Inputs!$B$104/12*1)</f>
        <v/>
      </c>
      <c r="H28" s="24">
        <f>MAX(0,G28-Inputs!$B$101/Inputs!$B$104/12*1)</f>
        <v/>
      </c>
      <c r="I28" s="24">
        <f>MAX(0,H28-Inputs!$B$101/Inputs!$B$104/12*1)</f>
        <v/>
      </c>
      <c r="J28" s="24">
        <f>MAX(0,I28-Inputs!$B$101/Inputs!$B$104/12*1)</f>
        <v/>
      </c>
      <c r="K28" s="24">
        <f>MAX(0,J28-Inputs!$B$101/Inputs!$B$104/12*1)</f>
        <v/>
      </c>
      <c r="L28" s="24">
        <f>MAX(0,K28-Inputs!$B$101/Inputs!$B$104/12*1)</f>
        <v/>
      </c>
      <c r="M28" s="24">
        <f>MAX(0,L28-Inputs!$B$101/Inputs!$B$104/12*1)</f>
        <v/>
      </c>
      <c r="N28" s="24">
        <f>MAX(0,M28-Inputs!$B$101/Inputs!$B$104/12*1)</f>
        <v/>
      </c>
      <c r="O28" s="24">
        <f>MAX(0,N28-Inputs!$B$101/Inputs!$B$104/12*3)</f>
        <v/>
      </c>
      <c r="P28" s="24">
        <f>MAX(0,O28-Inputs!$B$101/Inputs!$B$104/12*3)</f>
        <v/>
      </c>
      <c r="Q28" s="24">
        <f>MAX(0,P28-Inputs!$B$101/Inputs!$B$104/12*3)</f>
        <v/>
      </c>
      <c r="R28" s="24">
        <f>MAX(0,Q28-Inputs!$B$101/Inputs!$B$104/12*3)</f>
        <v/>
      </c>
      <c r="S28" s="24">
        <f>MAX(0,R28-Inputs!$B$101/Inputs!$B$104/12*3)</f>
        <v/>
      </c>
      <c r="T28" s="24">
        <f>MAX(0,S28-Inputs!$B$101/Inputs!$B$104/12*3)</f>
        <v/>
      </c>
      <c r="U28" s="24">
        <f>MAX(0,T28-Inputs!$B$101/Inputs!$B$104/12*3)</f>
        <v/>
      </c>
      <c r="V28" s="24">
        <f>MAX(0,U28-Inputs!$B$101/Inputs!$B$104/12*3)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Inputs!$B$91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Inputs!$B$101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Inputs!$B$94</f>
        <v/>
      </c>
      <c r="C35" s="59">
        <f>Inputs!$B$94</f>
        <v/>
      </c>
      <c r="D35" s="59">
        <f>Inputs!$B$94</f>
        <v/>
      </c>
      <c r="E35" s="59">
        <f>Inputs!$B$94</f>
        <v/>
      </c>
      <c r="F35" s="59">
        <f>Inputs!$B$94</f>
        <v/>
      </c>
      <c r="G35" s="59">
        <f>Inputs!$B$94</f>
        <v/>
      </c>
      <c r="H35" s="59">
        <f>Inputs!$B$94</f>
        <v/>
      </c>
      <c r="I35" s="59">
        <f>Inputs!$B$94</f>
        <v/>
      </c>
      <c r="J35" s="59">
        <f>Inputs!$B$94</f>
        <v/>
      </c>
      <c r="K35" s="59">
        <f>Inputs!$B$94</f>
        <v/>
      </c>
      <c r="L35" s="59">
        <f>Inputs!$B$94</f>
        <v/>
      </c>
      <c r="M35" s="59">
        <f>Inputs!$B$94</f>
        <v/>
      </c>
      <c r="N35" s="59">
        <f>Inputs!$B$94</f>
        <v/>
      </c>
      <c r="O35" s="59">
        <f>Inputs!$B$94</f>
        <v/>
      </c>
      <c r="P35" s="59">
        <f>Inputs!$B$94</f>
        <v/>
      </c>
      <c r="Q35" s="59">
        <f>Inputs!$B$94</f>
        <v/>
      </c>
      <c r="R35" s="59">
        <f>Inputs!$B$94</f>
        <v/>
      </c>
      <c r="S35" s="59">
        <f>Inputs!$B$94</f>
        <v/>
      </c>
      <c r="T35" s="59">
        <f>Inputs!$B$94</f>
        <v/>
      </c>
      <c r="U35" s="59">
        <f>Inputs!$B$94</f>
        <v/>
      </c>
      <c r="V35" s="59">
        <f>Inputs!$B$94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− (L+E)  →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Model'!E13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Model'!E16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Model'!E12*Inputs!$B$69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Model'!E12*Inputs!$B$67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Model'!E12*Inputs!$B$68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Payroll'!E37+'Staffing &amp; Payroll'!E38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2026-06-02T16:45:34Z</dcterms:created>
  <dcterms:modified xsi:type="dcterms:W3CDTF">2026-06-02T16:45:34Z</dcterms:modified>
</cp:coreProperties>
</file>