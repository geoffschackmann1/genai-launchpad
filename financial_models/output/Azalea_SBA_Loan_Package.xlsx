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Sources &amp; Uses" sheetId="2" state="visible" r:id="rId2"/>
    <sheet name="Lender Summary" sheetId="3" state="visible" r:id="rId3"/>
    <sheet name="Stress Tests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tailed P&amp;L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su_enroll">Inputs!$B$103</definedName>
    <definedName name="su_accred">Inputs!$B$104</definedName>
    <definedName name="su_license">Inputs!$B$105</definedName>
    <definedName name="su_emr">Inputs!$B$106</definedName>
    <definedName name="su_supplies">Inputs!$B$107</definedName>
    <definedName name="su_legal">Inputs!$B$108</definedName>
    <definedName name="su_conting">Inputs!$B$109</definedName>
    <definedName name="ar_days">Inputs!$B$112</definedName>
    <definedName name="ap_days">Inputs!$B$113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FLAG / CONFIRM: go-forward assumption, not in Paloma actuals.</t>
      </text>
    </comment>
    <comment ref="B106" authorId="0" shapeId="0">
      <text>
        <t>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2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3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18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2">
      <c r="A102" s="3" t="inlineStr">
        <is>
          <t>H2.  STARTUP ONE-TIME USES (Sources &amp; Uses)</t>
        </is>
      </c>
    </row>
    <row r="103">
      <c r="A103" s="4" t="inlineStr">
        <is>
          <t>Medicare 855A enrollment</t>
        </is>
      </c>
      <c r="B103" s="9" t="n">
        <v>3000</v>
      </c>
    </row>
    <row r="104">
      <c r="A104" s="4" t="inlineStr">
        <is>
          <t>Accreditation (CHAP / ACHC)</t>
        </is>
      </c>
      <c r="B104" s="9" t="n">
        <v>8000</v>
      </c>
    </row>
    <row r="105">
      <c r="A105" s="4" t="inlineStr">
        <is>
          <t>TX state licensure</t>
        </is>
      </c>
      <c r="B105" s="9" t="n">
        <v>5000</v>
      </c>
    </row>
    <row r="106">
      <c r="A106" s="4" t="inlineStr">
        <is>
          <t>EMR implementation / setup</t>
        </is>
      </c>
      <c r="B106" s="9" t="n">
        <v>10000</v>
      </c>
    </row>
    <row r="107">
      <c r="A107" s="4" t="inlineStr">
        <is>
          <t>Initial medical-supply stock</t>
        </is>
      </c>
      <c r="B107" s="9" t="n">
        <v>10000</v>
      </c>
    </row>
    <row r="108">
      <c r="A108" s="4" t="inlineStr">
        <is>
          <t>Legal / entity formation</t>
        </is>
      </c>
      <c r="B108" s="9" t="n">
        <v>15000</v>
      </c>
    </row>
    <row r="109">
      <c r="A109" s="4" t="inlineStr">
        <is>
          <t>Contingency</t>
        </is>
      </c>
      <c r="B109" s="9" t="n">
        <v>20000</v>
      </c>
    </row>
    <row r="111">
      <c r="A111" s="3" t="inlineStr">
        <is>
          <t>I.  WORKING CAPITAL</t>
        </is>
      </c>
    </row>
    <row r="112">
      <c r="A112" s="4" t="inlineStr">
        <is>
          <t>Accounts-receivable days (Medicare RAP-to-final lag)</t>
        </is>
      </c>
      <c r="B112" s="17" t="n">
        <v>45</v>
      </c>
    </row>
    <row r="113">
      <c r="A113" s="4" t="inlineStr">
        <is>
          <t>Accounts-payable days</t>
        </is>
      </c>
      <c r="B113" s="17" t="n">
        <v>30</v>
      </c>
    </row>
    <row r="115">
      <c r="A115" s="3" t="inlineStr">
        <is>
          <t>DERIVED CAPITAL HELPERS</t>
        </is>
      </c>
    </row>
    <row r="116">
      <c r="A116" s="12" t="inlineStr">
        <is>
          <t>Total startup one-time uses</t>
        </is>
      </c>
      <c r="B116" s="23">
        <f>SUM(B103:B109)</f>
        <v/>
      </c>
    </row>
    <row r="117">
      <c r="A117" s="12" t="inlineStr">
        <is>
          <t>Opening cash = equity + loan - startup - capex</t>
        </is>
      </c>
      <c r="B117" s="23">
        <f>Inputs!$B$94+Inputs!$B$91-Inputs!$B$116-Inputs!$B$98</f>
        <v/>
      </c>
    </row>
    <row r="118">
      <c r="A118" s="4" t="inlineStr">
        <is>
          <t>Monthly D&amp;A (capex+startup) / life / 12</t>
        </is>
      </c>
      <c r="B118" s="24">
        <f>(Inputs!$B$98+Inputs!$B$116)/Inputs!$B$99/12</f>
        <v/>
      </c>
    </row>
  </sheetData>
  <mergeCells count="18">
    <mergeCell ref="A2:V2"/>
    <mergeCell ref="A52:V52"/>
    <mergeCell ref="A115:V115"/>
    <mergeCell ref="A90:V90"/>
    <mergeCell ref="A71:V71"/>
    <mergeCell ref="A63:V63"/>
    <mergeCell ref="A44:V44"/>
    <mergeCell ref="A66:V66"/>
    <mergeCell ref="A1:V1"/>
    <mergeCell ref="A23:V23"/>
    <mergeCell ref="A102:V102"/>
    <mergeCell ref="A111:V111"/>
    <mergeCell ref="A59:V59"/>
    <mergeCell ref="A87:V87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19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Sources &amp; Uses of Financing — startup / working-capital (NOT an acquisition: no purchase price)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Inputs!$B$91</f>
        <v/>
      </c>
      <c r="C5" s="4" t="inlineStr">
        <is>
          <t>Medicare 855A enrollment</t>
        </is>
      </c>
      <c r="D5" s="25">
        <f>Inputs!$B$103</f>
        <v/>
      </c>
    </row>
    <row r="6">
      <c r="A6" s="4" t="inlineStr">
        <is>
          <t>Owner equity injection</t>
        </is>
      </c>
      <c r="B6" s="25">
        <f>Inputs!$B$94</f>
        <v/>
      </c>
      <c r="C6" s="4" t="inlineStr">
        <is>
          <t>Accreditation (CHAP / ACHC)</t>
        </is>
      </c>
      <c r="D6" s="25">
        <f>Inputs!$B$104</f>
        <v/>
      </c>
    </row>
    <row r="7">
      <c r="A7" s="26" t="inlineStr">
        <is>
          <t>TOTAL SOURCES</t>
        </is>
      </c>
      <c r="B7" s="27">
        <f>SUM(B5:B6)</f>
        <v/>
      </c>
      <c r="C7" s="4" t="inlineStr">
        <is>
          <t>TX state licensure</t>
        </is>
      </c>
      <c r="D7" s="25">
        <f>Inputs!$B$105</f>
        <v/>
      </c>
    </row>
    <row r="8">
      <c r="C8" s="4" t="inlineStr">
        <is>
          <t>EMR implementation / setup</t>
        </is>
      </c>
      <c r="D8" s="25">
        <f>Inputs!$B$106</f>
        <v/>
      </c>
    </row>
    <row r="9">
      <c r="C9" s="4" t="inlineStr">
        <is>
          <t>Initial medical-supply stock</t>
        </is>
      </c>
      <c r="D9" s="25">
        <f>Inputs!$B$107</f>
        <v/>
      </c>
    </row>
    <row r="10">
      <c r="C10" s="4" t="inlineStr">
        <is>
          <t>Legal / entity formation</t>
        </is>
      </c>
      <c r="D10" s="25">
        <f>Inputs!$B$108</f>
        <v/>
      </c>
    </row>
    <row r="11">
      <c r="C11" s="4" t="inlineStr">
        <is>
          <t>Contingency</t>
        </is>
      </c>
      <c r="D11" s="25">
        <f>Inputs!$B$109</f>
        <v/>
      </c>
    </row>
    <row r="12">
      <c r="C12" s="4" t="inlineStr">
        <is>
          <t>Startup equipment (capex)</t>
        </is>
      </c>
      <c r="D12" s="25">
        <f>Inputs!$B$98</f>
        <v/>
      </c>
    </row>
    <row r="13">
      <c r="C13" s="4" t="inlineStr">
        <is>
          <t>Working-capital reserve (opening cash)</t>
        </is>
      </c>
      <c r="D13" s="25">
        <f>Inputs!$B$117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− Uses  → 0</t>
        </is>
      </c>
      <c r="B16" s="28">
        <f>B7-D14</f>
        <v/>
      </c>
    </row>
    <row r="18">
      <c r="A18" s="29" t="inlineStr">
        <is>
          <t>This is a startup, not a purchase: proceeds fund ramp-period working capital, initial payroll, licensure/accreditation, EMR and deposits — there is no purchase price or seller note. Startup line items are flagged inputs; confirm actual quotes.</t>
        </is>
      </c>
    </row>
    <row r="19"/>
  </sheetData>
  <mergeCells count="5">
    <mergeCell ref="A4:B4"/>
    <mergeCell ref="A1:D1"/>
    <mergeCell ref="A2:D2"/>
    <mergeCell ref="A18:D19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Lender Summary — debt-service coverage (SBA floor 1.25x) · conservative base case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Budget'!C23:N23)</f>
        <v/>
      </c>
      <c r="D6" s="31">
        <f>SUM('Operating Budget'!O23:R23)</f>
        <v/>
      </c>
      <c r="E6" s="31">
        <f>SUM('Operating Budget'!S23:V23)</f>
        <v/>
      </c>
    </row>
    <row r="7">
      <c r="A7" s="20" t="inlineStr">
        <is>
          <t xml:space="preserve">  EBITDA margin %</t>
        </is>
      </c>
      <c r="C7" s="32">
        <f>SUM('Operating Budget'!C23:N23)/SUM('Operating Budget'!C6:N6)</f>
        <v/>
      </c>
      <c r="D7" s="32">
        <f>SUM('Operating Budget'!O23:R23)/SUM('Operating Budget'!O6:R6)</f>
        <v/>
      </c>
      <c r="E7" s="32">
        <f>SUM('Operating Budget'!S23:V23)/SUM('Operating Budget'!S6:V6)</f>
        <v/>
      </c>
    </row>
    <row r="8">
      <c r="A8" s="20" t="inlineStr">
        <is>
          <t>Debt service (P+I)</t>
        </is>
      </c>
      <c r="C8" s="25">
        <f>SUM('Debt Schedule'!C15:N15)</f>
        <v/>
      </c>
      <c r="D8" s="25">
        <f>SUM('Debt Schedule'!O15:R15)</f>
        <v/>
      </c>
      <c r="E8" s="25">
        <f>SUM('Debt Schedule'!S15:V15)</f>
        <v/>
      </c>
    </row>
    <row r="9">
      <c r="A9" s="26" t="inlineStr">
        <is>
          <t>DSCR</t>
        </is>
      </c>
      <c r="C9" s="33">
        <f>SUM('Operating Budget'!C23:N23)/SUM('Debt Schedule'!C15:N15)</f>
        <v/>
      </c>
      <c r="D9" s="33">
        <f>SUM('Operating Budget'!O23:R23)/SUM('Debt Schedule'!O15:R15)</f>
        <v/>
      </c>
      <c r="E9" s="33">
        <f>SUM('Operating Budget'!S23:V23)/SUM('Debt Schedule'!S15:V15)</f>
        <v/>
      </c>
    </row>
    <row r="10">
      <c r="A10" s="20" t="inlineStr">
        <is>
          <t>Net income</t>
        </is>
      </c>
      <c r="C10" s="25">
        <f>SUM('Operating Budget'!C32:N32)</f>
        <v/>
      </c>
      <c r="D10" s="25">
        <f>SUM('Operating Budget'!O32:R32)</f>
        <v/>
      </c>
      <c r="E10" s="25">
        <f>SUM('Operating Budget'!S32:V32)</f>
        <v/>
      </c>
    </row>
    <row r="11">
      <c r="A11" s="20" t="inlineStr">
        <is>
          <t>Ending cash</t>
        </is>
      </c>
      <c r="C11" s="25">
        <f>'Cash Flow &amp; BS'!N20</f>
        <v/>
      </c>
      <c r="D11" s="25">
        <f>'Cash Flow &amp; BS'!R20</f>
        <v/>
      </c>
      <c r="E11" s="25">
        <f>'Cash Flow &amp; BS'!V20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≥ 1.25x)</t>
        </is>
      </c>
      <c r="B14" s="34">
        <f>(SUM('Operating Budget'!C23:N23)+SUM('Operating Budget'!O23:R23)+SUM('Operating Budget'!S23:V23))/(SUM('Debt Schedule'!C15:N15)+SUM('Debt Schedule'!O15:R15)+SUM('Debt Schedule'!S15:V15))</f>
        <v/>
      </c>
    </row>
    <row r="15">
      <c r="A15" s="26" t="inlineStr">
        <is>
          <t>Minimum monthly DSCR (Y1)</t>
        </is>
      </c>
      <c r="B15" s="35">
        <f>MIN('Debt Schedule'!C17:N17)</f>
        <v/>
      </c>
    </row>
    <row r="16">
      <c r="A16" s="26" t="inlineStr">
        <is>
          <t>Minimum cash balance (any period)</t>
        </is>
      </c>
      <c r="B16" s="24">
        <f>MIN('Cash Flow &amp; BS'!C20:V20)</f>
        <v/>
      </c>
    </row>
    <row r="17">
      <c r="A17" s="26" t="inlineStr">
        <is>
          <t>Peak working-capital line draw</t>
        </is>
      </c>
      <c r="B17" s="24">
        <f>MAX('Cash Flow &amp; BS'!C19:V19)</f>
        <v/>
      </c>
    </row>
    <row r="19">
      <c r="A19" s="29" t="inlineStr">
        <is>
          <t>Azalea reaches a profitable, low-risk run-rate quickly because it onboards an experienced clinical team and a pre-identified patient panel (Paloma's proven ~$118K/mo, ~22 ADC book). Revenue is modeled on accrual; if the lender requires the new-provider 855A cash-timing gap, toggle AR days / add the enrollment delay on the Inputs tab and re-size the reserve.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Stress Tests — Year-2 steady-state ·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−20%</t>
        </is>
      </c>
      <c r="D9" s="30" t="inlineStr">
        <is>
          <t>Census −35%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Budget'!O21:R21)+SUM('Staffing &amp; Payroll'!O22:R22))*B10</f>
        <v/>
      </c>
      <c r="C13" s="24">
        <f>-(SUM('Operating Budget'!O13:R13)+SUM('Operating Budget'!O21:R21)+SUM('Staffing &amp; Payroll'!O22:R22))*C10</f>
        <v/>
      </c>
      <c r="D13" s="24">
        <f>-(SUM('Operating Budget'!O13:R13)+SUM('Operating Budget'!O21:R21)+SUM('Staffing &amp; Payroll'!O22:R22))*D10</f>
        <v/>
      </c>
      <c r="E13" s="24">
        <f>-(SUM('Operating Budget'!O13:R13)+SUM('Operating Budget'!O21:R21)+SUM('Staffing &amp; Payroll'!O22:R22))*E10</f>
        <v/>
      </c>
      <c r="F13" s="24">
        <f>-(SUM('Operating Budget'!O13:R13)+SUM('Operating Budget'!O21:R21)+SUM('Staffing &amp; Payroll'!O22:R22))*F10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Budget'!O21:R21)+SUM('Staffing &amp; Payroll'!O22:R22))-SUM('Operating Budget'!O23:R23))*B11</f>
        <v/>
      </c>
      <c r="C14" s="24">
        <f>-(SUM('Operating Budget'!O6:R6)-(SUM('Operating Budget'!O13:R13)+SUM('Operating Budget'!O21:R21)+SUM('Staffing &amp; Payroll'!O22:R22))-SUM('Operating Budget'!O23:R23))*C11</f>
        <v/>
      </c>
      <c r="D14" s="24">
        <f>-(SUM('Operating Budget'!O6:R6)-(SUM('Operating Budget'!O13:R13)+SUM('Operating Budget'!O21:R21)+SUM('Staffing &amp; Payroll'!O22:R22))-SUM('Operating Budget'!O23:R23))*D11</f>
        <v/>
      </c>
      <c r="E14" s="24">
        <f>-(SUM('Operating Budget'!O6:R6)-(SUM('Operating Budget'!O13:R13)+SUM('Operating Budget'!O21:R21)+SUM('Staffing &amp; Payroll'!O22:R22))-SUM('Operating Budget'!O23:R23))*E11</f>
        <v/>
      </c>
      <c r="F14" s="24">
        <f>-(SUM('Operating Budget'!O6:R6)-(SUM('Operating Budget'!O13:R13)+SUM('Operating Budget'!O21:R21)+SUM('Staffing &amp; Payroll'!O22:R22))-SUM('Operating Budget'!O23:R23))*F11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Schedule'!O15:R15)</f>
        <v/>
      </c>
      <c r="C16" s="24">
        <f>SUM('Debt Schedule'!O15:R15)</f>
        <v/>
      </c>
      <c r="D16" s="24">
        <f>SUM('Debt Schedule'!O15:R15)</f>
        <v/>
      </c>
      <c r="E16" s="24">
        <f>SUM('Debt Schedule'!O15:R15)</f>
        <v/>
      </c>
      <c r="F16" s="24">
        <f>SUM('Debt Schedule'!O15:R15)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39">
        <f>Inputs!$B$19</f>
        <v/>
      </c>
    </row>
    <row r="6">
      <c r="A6" s="4" t="inlineStr">
        <is>
          <t>Blended NET rate ($/PD)</t>
        </is>
      </c>
      <c r="B6" s="39">
        <f>Inputs!$B$20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Inputs!C$32</f>
        <v/>
      </c>
      <c r="D10" s="43">
        <f>Inputs!D$32</f>
        <v/>
      </c>
      <c r="E10" s="43">
        <f>Inputs!E$32</f>
        <v/>
      </c>
      <c r="F10" s="43">
        <f>Inputs!F$32</f>
        <v/>
      </c>
      <c r="G10" s="43">
        <f>Inputs!G$32</f>
        <v/>
      </c>
      <c r="H10" s="43">
        <f>Inputs!H$32</f>
        <v/>
      </c>
      <c r="I10" s="43">
        <f>Inputs!I$32</f>
        <v/>
      </c>
      <c r="J10" s="43">
        <f>Inputs!J$32</f>
        <v/>
      </c>
      <c r="K10" s="43">
        <f>Inputs!K$32</f>
        <v/>
      </c>
      <c r="L10" s="43">
        <f>Inputs!L$32</f>
        <v/>
      </c>
      <c r="M10" s="43">
        <f>Inputs!M$32</f>
        <v/>
      </c>
      <c r="N10" s="43">
        <f>Inputs!N$32</f>
        <v/>
      </c>
      <c r="O10" s="43">
        <f>Inputs!O$32</f>
        <v/>
      </c>
      <c r="P10" s="43">
        <f>Inputs!P$32</f>
        <v/>
      </c>
      <c r="Q10" s="43">
        <f>Inputs!Q$32</f>
        <v/>
      </c>
      <c r="R10" s="43">
        <f>Inputs!R$32</f>
        <v/>
      </c>
      <c r="S10" s="43">
        <f>Inputs!S$32</f>
        <v/>
      </c>
      <c r="T10" s="43">
        <f>Inputs!T$32</f>
        <v/>
      </c>
      <c r="U10" s="43">
        <f>Inputs!U$32</f>
        <v/>
      </c>
      <c r="V10" s="43">
        <f>Inputs!V$32</f>
        <v/>
      </c>
    </row>
    <row r="11">
      <c r="A11" s="20" t="inlineStr">
        <is>
          <t>Days in period</t>
        </is>
      </c>
      <c r="C11" s="43">
        <f>Inputs!$B$24*1</f>
        <v/>
      </c>
      <c r="D11" s="43">
        <f>Inputs!$B$24*1</f>
        <v/>
      </c>
      <c r="E11" s="43">
        <f>Inputs!$B$24*1</f>
        <v/>
      </c>
      <c r="F11" s="43">
        <f>Inputs!$B$24*1</f>
        <v/>
      </c>
      <c r="G11" s="43">
        <f>Inputs!$B$24*1</f>
        <v/>
      </c>
      <c r="H11" s="43">
        <f>Inputs!$B$24*1</f>
        <v/>
      </c>
      <c r="I11" s="43">
        <f>Inputs!$B$24*1</f>
        <v/>
      </c>
      <c r="J11" s="43">
        <f>Inputs!$B$24*1</f>
        <v/>
      </c>
      <c r="K11" s="43">
        <f>Inputs!$B$24*1</f>
        <v/>
      </c>
      <c r="L11" s="43">
        <f>Inputs!$B$24*1</f>
        <v/>
      </c>
      <c r="M11" s="43">
        <f>Inputs!$B$24*1</f>
        <v/>
      </c>
      <c r="N11" s="43">
        <f>Inputs!$B$24*1</f>
        <v/>
      </c>
      <c r="O11" s="43">
        <f>Inputs!$B$24*3</f>
        <v/>
      </c>
      <c r="P11" s="43">
        <f>Inputs!$B$24*3</f>
        <v/>
      </c>
      <c r="Q11" s="43">
        <f>Inputs!$B$24*3</f>
        <v/>
      </c>
      <c r="R11" s="43">
        <f>Inputs!$B$24*3</f>
        <v/>
      </c>
      <c r="S11" s="43">
        <f>Inputs!$B$24*3</f>
        <v/>
      </c>
      <c r="T11" s="43">
        <f>Inputs!$B$24*3</f>
        <v/>
      </c>
      <c r="U11" s="43">
        <f>Inputs!$B$24*3</f>
        <v/>
      </c>
      <c r="V11" s="43">
        <f>Inputs!$B$24*3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26" t="inlineStr">
        <is>
          <t>NET REVENUE</t>
        </is>
      </c>
      <c r="C16" s="45">
        <f>C13*(1-Inputs!$B$10-Inputs!$B$11)</f>
        <v/>
      </c>
      <c r="D16" s="45">
        <f>D13*(1-Inputs!$B$10-Inputs!$B$11)</f>
        <v/>
      </c>
      <c r="E16" s="45">
        <f>E13*(1-Inputs!$B$10-Inputs!$B$11)</f>
        <v/>
      </c>
      <c r="F16" s="45">
        <f>F13*(1-Inputs!$B$10-Inputs!$B$11)</f>
        <v/>
      </c>
      <c r="G16" s="45">
        <f>G13*(1-Inputs!$B$10-Inputs!$B$11)</f>
        <v/>
      </c>
      <c r="H16" s="45">
        <f>H13*(1-Inputs!$B$10-Inputs!$B$11)</f>
        <v/>
      </c>
      <c r="I16" s="45">
        <f>I13*(1-Inputs!$B$10-Inputs!$B$11)</f>
        <v/>
      </c>
      <c r="J16" s="45">
        <f>J13*(1-Inputs!$B$10-Inputs!$B$11)</f>
        <v/>
      </c>
      <c r="K16" s="45">
        <f>K13*(1-Inputs!$B$10-Inputs!$B$11)</f>
        <v/>
      </c>
      <c r="L16" s="45">
        <f>L13*(1-Inputs!$B$10-Inputs!$B$11)</f>
        <v/>
      </c>
      <c r="M16" s="45">
        <f>M13*(1-Inputs!$B$10-Inputs!$B$11)</f>
        <v/>
      </c>
      <c r="N16" s="45">
        <f>N13*(1-Inputs!$B$10-Inputs!$B$11)</f>
        <v/>
      </c>
      <c r="O16" s="45">
        <f>O13*(1-Inputs!$B$10-Inputs!$B$11)</f>
        <v/>
      </c>
      <c r="P16" s="45">
        <f>P13*(1-Inputs!$B$10-Inputs!$B$11)</f>
        <v/>
      </c>
      <c r="Q16" s="45">
        <f>Q13*(1-Inputs!$B$10-Inputs!$B$11)</f>
        <v/>
      </c>
      <c r="R16" s="45">
        <f>R13*(1-Inputs!$B$10-Inputs!$B$11)</f>
        <v/>
      </c>
      <c r="S16" s="45">
        <f>S13*(1-Inputs!$B$10-Inputs!$B$11)</f>
        <v/>
      </c>
      <c r="T16" s="45">
        <f>T13*(1-Inputs!$B$10-Inputs!$B$11)</f>
        <v/>
      </c>
      <c r="U16" s="45">
        <f>U13*(1-Inputs!$B$10-Inputs!$B$11)</f>
        <v/>
      </c>
      <c r="V16" s="45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26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26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26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26" t="inlineStr">
        <is>
          <t>TOTAL DIRECT-CARE LABOR (COGS)</t>
        </is>
      </c>
      <c r="C37" s="45">
        <f>C14+C22+C23+C32+C34</f>
        <v/>
      </c>
      <c r="D37" s="45">
        <f>D14+D22+D23+D32+D34</f>
        <v/>
      </c>
      <c r="E37" s="45">
        <f>E14+E22+E23+E32+E34</f>
        <v/>
      </c>
      <c r="F37" s="45">
        <f>F14+F22+F23+F32+F34</f>
        <v/>
      </c>
      <c r="G37" s="45">
        <f>G14+G22+G23+G32+G34</f>
        <v/>
      </c>
      <c r="H37" s="45">
        <f>H14+H22+H23+H32+H34</f>
        <v/>
      </c>
      <c r="I37" s="45">
        <f>I14+I22+I23+I32+I34</f>
        <v/>
      </c>
      <c r="J37" s="45">
        <f>J14+J22+J23+J32+J34</f>
        <v/>
      </c>
      <c r="K37" s="45">
        <f>K14+K22+K23+K32+K34</f>
        <v/>
      </c>
      <c r="L37" s="45">
        <f>L14+L22+L23+L32+L34</f>
        <v/>
      </c>
      <c r="M37" s="45">
        <f>M14+M22+M23+M32+M34</f>
        <v/>
      </c>
      <c r="N37" s="45">
        <f>N14+N22+N23+N32+N34</f>
        <v/>
      </c>
      <c r="O37" s="45">
        <f>O14+O22+O23+O32+O34</f>
        <v/>
      </c>
      <c r="P37" s="45">
        <f>P14+P22+P23+P32+P34</f>
        <v/>
      </c>
      <c r="Q37" s="45">
        <f>Q14+Q22+Q23+Q32+Q34</f>
        <v/>
      </c>
      <c r="R37" s="45">
        <f>R14+R22+R23+R32+R34</f>
        <v/>
      </c>
      <c r="S37" s="45">
        <f>S14+S22+S23+S32+S34</f>
        <v/>
      </c>
      <c r="T37" s="45">
        <f>T14+T22+T23+T32+T34</f>
        <v/>
      </c>
      <c r="U37" s="45">
        <f>U14+U22+U23+U32+U34</f>
        <v/>
      </c>
      <c r="V37" s="45">
        <f>V14+V22+V23+V32+V34</f>
        <v/>
      </c>
    </row>
    <row r="38">
      <c r="A38" s="26" t="inlineStr">
        <is>
          <t>TOTAL INDIRECT LABOR (SG&amp;A)</t>
        </is>
      </c>
      <c r="C38" s="45">
        <f>C26+C27+C33+C35</f>
        <v/>
      </c>
      <c r="D38" s="45">
        <f>D26+D27+D33+D35</f>
        <v/>
      </c>
      <c r="E38" s="45">
        <f>E26+E27+E33+E35</f>
        <v/>
      </c>
      <c r="F38" s="45">
        <f>F26+F27+F33+F35</f>
        <v/>
      </c>
      <c r="G38" s="45">
        <f>G26+G27+G33+G35</f>
        <v/>
      </c>
      <c r="H38" s="45">
        <f>H26+H27+H33+H35</f>
        <v/>
      </c>
      <c r="I38" s="45">
        <f>I26+I27+I33+I35</f>
        <v/>
      </c>
      <c r="J38" s="45">
        <f>J26+J27+J33+J35</f>
        <v/>
      </c>
      <c r="K38" s="45">
        <f>K26+K27+K33+K35</f>
        <v/>
      </c>
      <c r="L38" s="45">
        <f>L26+L27+L33+L35</f>
        <v/>
      </c>
      <c r="M38" s="45">
        <f>M26+M27+M33+M35</f>
        <v/>
      </c>
      <c r="N38" s="45">
        <f>N26+N27+N33+N35</f>
        <v/>
      </c>
      <c r="O38" s="45">
        <f>O26+O27+O33+O35</f>
        <v/>
      </c>
      <c r="P38" s="45">
        <f>P26+P27+P33+P35</f>
        <v/>
      </c>
      <c r="Q38" s="45">
        <f>Q26+Q27+Q33+Q35</f>
        <v/>
      </c>
      <c r="R38" s="45">
        <f>R26+R27+R33+R35</f>
        <v/>
      </c>
      <c r="S38" s="45">
        <f>S26+S27+S33+S35</f>
        <v/>
      </c>
      <c r="T38" s="45">
        <f>T26+T27+T33+T35</f>
        <v/>
      </c>
      <c r="U38" s="45">
        <f>U26+U27+U33+U35</f>
        <v/>
      </c>
      <c r="V38" s="45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Model'!C16</f>
        <v/>
      </c>
      <c r="D6" s="31">
        <f>'Revenue Model'!D16</f>
        <v/>
      </c>
      <c r="E6" s="31">
        <f>'Revenue Model'!E16</f>
        <v/>
      </c>
      <c r="F6" s="31">
        <f>'Revenue Model'!F16</f>
        <v/>
      </c>
      <c r="G6" s="31">
        <f>'Revenue Model'!G16</f>
        <v/>
      </c>
      <c r="H6" s="31">
        <f>'Revenue Model'!H16</f>
        <v/>
      </c>
      <c r="I6" s="31">
        <f>'Revenue Model'!I16</f>
        <v/>
      </c>
      <c r="J6" s="31">
        <f>'Revenue Model'!J16</f>
        <v/>
      </c>
      <c r="K6" s="31">
        <f>'Revenue Model'!K16</f>
        <v/>
      </c>
      <c r="L6" s="31">
        <f>'Revenue Model'!L16</f>
        <v/>
      </c>
      <c r="M6" s="31">
        <f>'Revenue Model'!M16</f>
        <v/>
      </c>
      <c r="N6" s="31">
        <f>'Revenue Model'!N16</f>
        <v/>
      </c>
      <c r="O6" s="31">
        <f>'Revenue Model'!O16</f>
        <v/>
      </c>
      <c r="P6" s="31">
        <f>'Revenue Model'!P16</f>
        <v/>
      </c>
      <c r="Q6" s="31">
        <f>'Revenue Model'!Q16</f>
        <v/>
      </c>
      <c r="R6" s="31">
        <f>'Revenue Model'!R16</f>
        <v/>
      </c>
      <c r="S6" s="31">
        <f>'Revenue Model'!S16</f>
        <v/>
      </c>
      <c r="T6" s="31">
        <f>'Revenue Model'!T16</f>
        <v/>
      </c>
      <c r="U6" s="31">
        <f>'Revenue Model'!U16</f>
        <v/>
      </c>
      <c r="V6" s="31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Payroll'!C37</f>
        <v/>
      </c>
      <c r="D9" s="25">
        <f>'Staffing &amp; Payroll'!D37</f>
        <v/>
      </c>
      <c r="E9" s="25">
        <f>'Staffing &amp; Payroll'!E37</f>
        <v/>
      </c>
      <c r="F9" s="25">
        <f>'Staffing &amp; Payroll'!F37</f>
        <v/>
      </c>
      <c r="G9" s="25">
        <f>'Staffing &amp; Payroll'!G37</f>
        <v/>
      </c>
      <c r="H9" s="25">
        <f>'Staffing &amp; Payroll'!H37</f>
        <v/>
      </c>
      <c r="I9" s="25">
        <f>'Staffing &amp; Payroll'!I37</f>
        <v/>
      </c>
      <c r="J9" s="25">
        <f>'Staffing &amp; Payroll'!J37</f>
        <v/>
      </c>
      <c r="K9" s="25">
        <f>'Staffing &amp; Payroll'!K37</f>
        <v/>
      </c>
      <c r="L9" s="25">
        <f>'Staffing &amp; Payroll'!L37</f>
        <v/>
      </c>
      <c r="M9" s="25">
        <f>'Staffing &amp; Payroll'!M37</f>
        <v/>
      </c>
      <c r="N9" s="25">
        <f>'Staffing &amp; Payroll'!N37</f>
        <v/>
      </c>
      <c r="O9" s="25">
        <f>'Staffing &amp; Payroll'!O37</f>
        <v/>
      </c>
      <c r="P9" s="25">
        <f>'Staffing &amp; Payroll'!P37</f>
        <v/>
      </c>
      <c r="Q9" s="25">
        <f>'Staffing &amp; Payroll'!Q37</f>
        <v/>
      </c>
      <c r="R9" s="25">
        <f>'Staffing &amp; Payroll'!R37</f>
        <v/>
      </c>
      <c r="S9" s="25">
        <f>'Staffing &amp; Payroll'!S37</f>
        <v/>
      </c>
      <c r="T9" s="25">
        <f>'Staffing &amp; Payroll'!T37</f>
        <v/>
      </c>
      <c r="U9" s="25">
        <f>'Staffing &amp; Payroll'!U37</f>
        <v/>
      </c>
      <c r="V9" s="25">
        <f>'Staffing &amp; Payroll'!V37</f>
        <v/>
      </c>
    </row>
    <row r="10">
      <c r="A10" s="4" t="inlineStr">
        <is>
          <t>Medical supplies</t>
        </is>
      </c>
      <c r="C10" s="25">
        <f>'Revenue Model'!C12*Inputs!$B$67</f>
        <v/>
      </c>
      <c r="D10" s="25">
        <f>'Revenue Model'!D12*Inputs!$B$67</f>
        <v/>
      </c>
      <c r="E10" s="25">
        <f>'Revenue Model'!E12*Inputs!$B$67</f>
        <v/>
      </c>
      <c r="F10" s="25">
        <f>'Revenue Model'!F12*Inputs!$B$67</f>
        <v/>
      </c>
      <c r="G10" s="25">
        <f>'Revenue Model'!G12*Inputs!$B$67</f>
        <v/>
      </c>
      <c r="H10" s="25">
        <f>'Revenue Model'!H12*Inputs!$B$67</f>
        <v/>
      </c>
      <c r="I10" s="25">
        <f>'Revenue Model'!I12*Inputs!$B$67</f>
        <v/>
      </c>
      <c r="J10" s="25">
        <f>'Revenue Model'!J12*Inputs!$B$67</f>
        <v/>
      </c>
      <c r="K10" s="25">
        <f>'Revenue Model'!K12*Inputs!$B$67</f>
        <v/>
      </c>
      <c r="L10" s="25">
        <f>'Revenue Model'!L12*Inputs!$B$67</f>
        <v/>
      </c>
      <c r="M10" s="25">
        <f>'Revenue Model'!M12*Inputs!$B$67</f>
        <v/>
      </c>
      <c r="N10" s="25">
        <f>'Revenue Model'!N12*Inputs!$B$67</f>
        <v/>
      </c>
      <c r="O10" s="25">
        <f>'Revenue Model'!O12*Inputs!$B$67</f>
        <v/>
      </c>
      <c r="P10" s="25">
        <f>'Revenue Model'!P12*Inputs!$B$67</f>
        <v/>
      </c>
      <c r="Q10" s="25">
        <f>'Revenue Model'!Q12*Inputs!$B$67</f>
        <v/>
      </c>
      <c r="R10" s="25">
        <f>'Revenue Model'!R12*Inputs!$B$67</f>
        <v/>
      </c>
      <c r="S10" s="25">
        <f>'Revenue Model'!S12*Inputs!$B$67</f>
        <v/>
      </c>
      <c r="T10" s="25">
        <f>'Revenue Model'!T12*Inputs!$B$67</f>
        <v/>
      </c>
      <c r="U10" s="25">
        <f>'Revenue Model'!U12*Inputs!$B$67</f>
        <v/>
      </c>
      <c r="V10" s="25">
        <f>'Revenue Model'!V12*Inputs!$B$67</f>
        <v/>
      </c>
    </row>
    <row r="11">
      <c r="A11" s="4" t="inlineStr">
        <is>
          <t>DME</t>
        </is>
      </c>
      <c r="C11" s="25">
        <f>'Revenue Model'!C12*Inputs!$B$68</f>
        <v/>
      </c>
      <c r="D11" s="25">
        <f>'Revenue Model'!D12*Inputs!$B$68</f>
        <v/>
      </c>
      <c r="E11" s="25">
        <f>'Revenue Model'!E12*Inputs!$B$68</f>
        <v/>
      </c>
      <c r="F11" s="25">
        <f>'Revenue Model'!F12*Inputs!$B$68</f>
        <v/>
      </c>
      <c r="G11" s="25">
        <f>'Revenue Model'!G12*Inputs!$B$68</f>
        <v/>
      </c>
      <c r="H11" s="25">
        <f>'Revenue Model'!H12*Inputs!$B$68</f>
        <v/>
      </c>
      <c r="I11" s="25">
        <f>'Revenue Model'!I12*Inputs!$B$68</f>
        <v/>
      </c>
      <c r="J11" s="25">
        <f>'Revenue Model'!J12*Inputs!$B$68</f>
        <v/>
      </c>
      <c r="K11" s="25">
        <f>'Revenue Model'!K12*Inputs!$B$68</f>
        <v/>
      </c>
      <c r="L11" s="25">
        <f>'Revenue Model'!L12*Inputs!$B$68</f>
        <v/>
      </c>
      <c r="M11" s="25">
        <f>'Revenue Model'!M12*Inputs!$B$68</f>
        <v/>
      </c>
      <c r="N11" s="25">
        <f>'Revenue Model'!N12*Inputs!$B$68</f>
        <v/>
      </c>
      <c r="O11" s="25">
        <f>'Revenue Model'!O12*Inputs!$B$68</f>
        <v/>
      </c>
      <c r="P11" s="25">
        <f>'Revenue Model'!P12*Inputs!$B$68</f>
        <v/>
      </c>
      <c r="Q11" s="25">
        <f>'Revenue Model'!Q12*Inputs!$B$68</f>
        <v/>
      </c>
      <c r="R11" s="25">
        <f>'Revenue Model'!R12*Inputs!$B$68</f>
        <v/>
      </c>
      <c r="S11" s="25">
        <f>'Revenue Model'!S12*Inputs!$B$68</f>
        <v/>
      </c>
      <c r="T11" s="25">
        <f>'Revenue Model'!T12*Inputs!$B$68</f>
        <v/>
      </c>
      <c r="U11" s="25">
        <f>'Revenue Model'!U12*Inputs!$B$68</f>
        <v/>
      </c>
      <c r="V11" s="25">
        <f>'Revenue Model'!V12*Inputs!$B$68</f>
        <v/>
      </c>
    </row>
    <row r="12">
      <c r="A12" s="4" t="inlineStr">
        <is>
          <t>Pharmacy</t>
        </is>
      </c>
      <c r="C12" s="25">
        <f>'Revenue Model'!C12*Inputs!$B$69</f>
        <v/>
      </c>
      <c r="D12" s="25">
        <f>'Revenue Model'!D12*Inputs!$B$69</f>
        <v/>
      </c>
      <c r="E12" s="25">
        <f>'Revenue Model'!E12*Inputs!$B$69</f>
        <v/>
      </c>
      <c r="F12" s="25">
        <f>'Revenue Model'!F12*Inputs!$B$69</f>
        <v/>
      </c>
      <c r="G12" s="25">
        <f>'Revenue Model'!G12*Inputs!$B$69</f>
        <v/>
      </c>
      <c r="H12" s="25">
        <f>'Revenue Model'!H12*Inputs!$B$69</f>
        <v/>
      </c>
      <c r="I12" s="25">
        <f>'Revenue Model'!I12*Inputs!$B$69</f>
        <v/>
      </c>
      <c r="J12" s="25">
        <f>'Revenue Model'!J12*Inputs!$B$69</f>
        <v/>
      </c>
      <c r="K12" s="25">
        <f>'Revenue Model'!K12*Inputs!$B$69</f>
        <v/>
      </c>
      <c r="L12" s="25">
        <f>'Revenue Model'!L12*Inputs!$B$69</f>
        <v/>
      </c>
      <c r="M12" s="25">
        <f>'Revenue Model'!M12*Inputs!$B$69</f>
        <v/>
      </c>
      <c r="N12" s="25">
        <f>'Revenue Model'!N12*Inputs!$B$69</f>
        <v/>
      </c>
      <c r="O12" s="25">
        <f>'Revenue Model'!O12*Inputs!$B$69</f>
        <v/>
      </c>
      <c r="P12" s="25">
        <f>'Revenue Model'!P12*Inputs!$B$69</f>
        <v/>
      </c>
      <c r="Q12" s="25">
        <f>'Revenue Model'!Q12*Inputs!$B$69</f>
        <v/>
      </c>
      <c r="R12" s="25">
        <f>'Revenue Model'!R12*Inputs!$B$69</f>
        <v/>
      </c>
      <c r="S12" s="25">
        <f>'Revenue Model'!S12*Inputs!$B$69</f>
        <v/>
      </c>
      <c r="T12" s="25">
        <f>'Revenue Model'!T12*Inputs!$B$69</f>
        <v/>
      </c>
      <c r="U12" s="25">
        <f>'Revenue Model'!U12*Inputs!$B$69</f>
        <v/>
      </c>
      <c r="V12" s="25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Payroll'!C38</f>
        <v/>
      </c>
      <c r="D19" s="25">
        <f>'Staffing &amp; Payroll'!D38</f>
        <v/>
      </c>
      <c r="E19" s="25">
        <f>'Staffing &amp; Payroll'!E38</f>
        <v/>
      </c>
      <c r="F19" s="25">
        <f>'Staffing &amp; Payroll'!F38</f>
        <v/>
      </c>
      <c r="G19" s="25">
        <f>'Staffing &amp; Payroll'!G38</f>
        <v/>
      </c>
      <c r="H19" s="25">
        <f>'Staffing &amp; Payroll'!H38</f>
        <v/>
      </c>
      <c r="I19" s="25">
        <f>'Staffing &amp; Payroll'!I38</f>
        <v/>
      </c>
      <c r="J19" s="25">
        <f>'Staffing &amp; Payroll'!J38</f>
        <v/>
      </c>
      <c r="K19" s="25">
        <f>'Staffing &amp; Payroll'!K38</f>
        <v/>
      </c>
      <c r="L19" s="25">
        <f>'Staffing &amp; Payroll'!L38</f>
        <v/>
      </c>
      <c r="M19" s="25">
        <f>'Staffing &amp; Payroll'!M38</f>
        <v/>
      </c>
      <c r="N19" s="25">
        <f>'Staffing &amp; Payroll'!N38</f>
        <v/>
      </c>
      <c r="O19" s="25">
        <f>'Staffing &amp; Payroll'!O38</f>
        <v/>
      </c>
      <c r="P19" s="25">
        <f>'Staffing &amp; Payroll'!P38</f>
        <v/>
      </c>
      <c r="Q19" s="25">
        <f>'Staffing &amp; Payroll'!Q38</f>
        <v/>
      </c>
      <c r="R19" s="25">
        <f>'Staffing &amp; Payroll'!R38</f>
        <v/>
      </c>
      <c r="S19" s="25">
        <f>'Staffing &amp; Payroll'!S38</f>
        <v/>
      </c>
      <c r="T19" s="25">
        <f>'Staffing &amp; Payroll'!T38</f>
        <v/>
      </c>
      <c r="U19" s="25">
        <f>'Staffing &amp; Payroll'!U38</f>
        <v/>
      </c>
      <c r="V19" s="25">
        <f>'Staffing &amp; Payroll'!V38</f>
        <v/>
      </c>
    </row>
    <row r="20">
      <c r="A20" s="4" t="inlineStr">
        <is>
          <t>Fixed G&amp;A (utilities, EMR, billing, rent, mktg…)</t>
        </is>
      </c>
      <c r="C20" s="25">
        <f>SUM(Inputs!$B$72:$B$85)*1</f>
        <v/>
      </c>
      <c r="D20" s="25">
        <f>SUM(Inputs!$B$72:$B$85)*1</f>
        <v/>
      </c>
      <c r="E20" s="25">
        <f>SUM(Inputs!$B$72:$B$85)*1</f>
        <v/>
      </c>
      <c r="F20" s="25">
        <f>SUM(Inputs!$B$72:$B$85)*1</f>
        <v/>
      </c>
      <c r="G20" s="25">
        <f>SUM(Inputs!$B$72:$B$85)*1</f>
        <v/>
      </c>
      <c r="H20" s="25">
        <f>SUM(Inputs!$B$72:$B$85)*1</f>
        <v/>
      </c>
      <c r="I20" s="25">
        <f>SUM(Inputs!$B$72:$B$85)*1</f>
        <v/>
      </c>
      <c r="J20" s="25">
        <f>SUM(Inputs!$B$72:$B$85)*1</f>
        <v/>
      </c>
      <c r="K20" s="25">
        <f>SUM(Inputs!$B$72:$B$85)*1</f>
        <v/>
      </c>
      <c r="L20" s="25">
        <f>SUM(Inputs!$B$72:$B$85)*1</f>
        <v/>
      </c>
      <c r="M20" s="25">
        <f>SUM(Inputs!$B$72:$B$85)*1</f>
        <v/>
      </c>
      <c r="N20" s="25">
        <f>SUM(Inputs!$B$72:$B$85)*1</f>
        <v/>
      </c>
      <c r="O20" s="25">
        <f>SUM(Inputs!$B$72:$B$85)*3</f>
        <v/>
      </c>
      <c r="P20" s="25">
        <f>SUM(Inputs!$B$72:$B$85)*3</f>
        <v/>
      </c>
      <c r="Q20" s="25">
        <f>SUM(Inputs!$B$72:$B$85)*3</f>
        <v/>
      </c>
      <c r="R20" s="25">
        <f>SUM(Inputs!$B$72:$B$85)*3</f>
        <v/>
      </c>
      <c r="S20" s="25">
        <f>SUM(Inputs!$B$72:$B$85)*3</f>
        <v/>
      </c>
      <c r="T20" s="25">
        <f>SUM(Inputs!$B$72:$B$85)*3</f>
        <v/>
      </c>
      <c r="U20" s="25">
        <f>SUM(Inputs!$B$72:$B$85)*3</f>
        <v/>
      </c>
      <c r="V20" s="25">
        <f>SUM(Inputs!$B$72:$B$85)*3</f>
        <v/>
      </c>
    </row>
    <row r="21">
      <c r="A21" s="4" t="inlineStr">
        <is>
          <t>QR payment fee (% of gross)</t>
        </is>
      </c>
      <c r="C21" s="25">
        <f>'Revenue Model'!C13*Inputs!$B$88</f>
        <v/>
      </c>
      <c r="D21" s="25">
        <f>'Revenue Model'!D13*Inputs!$B$88</f>
        <v/>
      </c>
      <c r="E21" s="25">
        <f>'Revenue Model'!E13*Inputs!$B$88</f>
        <v/>
      </c>
      <c r="F21" s="25">
        <f>'Revenue Model'!F13*Inputs!$B$88</f>
        <v/>
      </c>
      <c r="G21" s="25">
        <f>'Revenue Model'!G13*Inputs!$B$88</f>
        <v/>
      </c>
      <c r="H21" s="25">
        <f>'Revenue Model'!H13*Inputs!$B$88</f>
        <v/>
      </c>
      <c r="I21" s="25">
        <f>'Revenue Model'!I13*Inputs!$B$88</f>
        <v/>
      </c>
      <c r="J21" s="25">
        <f>'Revenue Model'!J13*Inputs!$B$88</f>
        <v/>
      </c>
      <c r="K21" s="25">
        <f>'Revenue Model'!K13*Inputs!$B$88</f>
        <v/>
      </c>
      <c r="L21" s="25">
        <f>'Revenue Model'!L13*Inputs!$B$88</f>
        <v/>
      </c>
      <c r="M21" s="25">
        <f>'Revenue Model'!M13*Inputs!$B$88</f>
        <v/>
      </c>
      <c r="N21" s="25">
        <f>'Revenue Model'!N13*Inputs!$B$88</f>
        <v/>
      </c>
      <c r="O21" s="25">
        <f>'Revenue Model'!O13*Inputs!$B$88</f>
        <v/>
      </c>
      <c r="P21" s="25">
        <f>'Revenue Model'!P13*Inputs!$B$88</f>
        <v/>
      </c>
      <c r="Q21" s="25">
        <f>'Revenue Model'!Q13*Inputs!$B$88</f>
        <v/>
      </c>
      <c r="R21" s="25">
        <f>'Revenue Model'!R13*Inputs!$B$88</f>
        <v/>
      </c>
      <c r="S21" s="25">
        <f>'Revenue Model'!S13*Inputs!$B$88</f>
        <v/>
      </c>
      <c r="T21" s="25">
        <f>'Revenue Model'!T13*Inputs!$B$88</f>
        <v/>
      </c>
      <c r="U21" s="25">
        <f>'Revenue Model'!U13*Inputs!$B$88</f>
        <v/>
      </c>
      <c r="V21" s="25">
        <f>'Revenue Model'!V13*Inputs!$B$88</f>
        <v/>
      </c>
    </row>
    <row r="22">
      <c r="A22" s="26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6" t="inlineStr">
        <is>
          <t>EBITDA</t>
        </is>
      </c>
      <c r="C23" s="27">
        <f>C15-C22</f>
        <v/>
      </c>
      <c r="D23" s="27">
        <f>D15-D22</f>
        <v/>
      </c>
      <c r="E23" s="27">
        <f>E15-E22</f>
        <v/>
      </c>
      <c r="F23" s="27">
        <f>F15-F22</f>
        <v/>
      </c>
      <c r="G23" s="27">
        <f>G15-G22</f>
        <v/>
      </c>
      <c r="H23" s="27">
        <f>H15-H22</f>
        <v/>
      </c>
      <c r="I23" s="27">
        <f>I15-I22</f>
        <v/>
      </c>
      <c r="J23" s="27">
        <f>J15-J22</f>
        <v/>
      </c>
      <c r="K23" s="27">
        <f>K15-K22</f>
        <v/>
      </c>
      <c r="L23" s="27">
        <f>L15-L22</f>
        <v/>
      </c>
      <c r="M23" s="27">
        <f>M15-M22</f>
        <v/>
      </c>
      <c r="N23" s="27">
        <f>N15-N22</f>
        <v/>
      </c>
      <c r="O23" s="27">
        <f>O15-O22</f>
        <v/>
      </c>
      <c r="P23" s="27">
        <f>P15-P22</f>
        <v/>
      </c>
      <c r="Q23" s="27">
        <f>Q15-Q22</f>
        <v/>
      </c>
      <c r="R23" s="27">
        <f>R15-R22</f>
        <v/>
      </c>
      <c r="S23" s="27">
        <f>S15-S22</f>
        <v/>
      </c>
      <c r="T23" s="27">
        <f>T15-T22</f>
        <v/>
      </c>
      <c r="U23" s="27">
        <f>U15-U22</f>
        <v/>
      </c>
      <c r="V23" s="27">
        <f>V15-V22</f>
        <v/>
      </c>
    </row>
    <row r="24">
      <c r="A24" s="21" t="inlineStr">
        <is>
          <t>EBITDA margin %</t>
        </is>
      </c>
      <c r="C24" s="46">
        <f>IF(C6=0,0,C23/C6)</f>
        <v/>
      </c>
      <c r="D24" s="46">
        <f>IF(D6=0,0,D23/D6)</f>
        <v/>
      </c>
      <c r="E24" s="46">
        <f>IF(E6=0,0,E23/E6)</f>
        <v/>
      </c>
      <c r="F24" s="46">
        <f>IF(F6=0,0,F23/F6)</f>
        <v/>
      </c>
      <c r="G24" s="46">
        <f>IF(G6=0,0,G23/G6)</f>
        <v/>
      </c>
      <c r="H24" s="46">
        <f>IF(H6=0,0,H23/H6)</f>
        <v/>
      </c>
      <c r="I24" s="46">
        <f>IF(I6=0,0,I23/I6)</f>
        <v/>
      </c>
      <c r="J24" s="46">
        <f>IF(J6=0,0,J23/J6)</f>
        <v/>
      </c>
      <c r="K24" s="46">
        <f>IF(K6=0,0,K23/K6)</f>
        <v/>
      </c>
      <c r="L24" s="46">
        <f>IF(L6=0,0,L23/L6)</f>
        <v/>
      </c>
      <c r="M24" s="46">
        <f>IF(M6=0,0,M23/M6)</f>
        <v/>
      </c>
      <c r="N24" s="46">
        <f>IF(N6=0,0,N23/N6)</f>
        <v/>
      </c>
      <c r="O24" s="46">
        <f>IF(O6=0,0,O23/O6)</f>
        <v/>
      </c>
      <c r="P24" s="46">
        <f>IF(P6=0,0,P23/P6)</f>
        <v/>
      </c>
      <c r="Q24" s="46">
        <f>IF(Q6=0,0,Q23/Q6)</f>
        <v/>
      </c>
      <c r="R24" s="46">
        <f>IF(R6=0,0,R23/R6)</f>
        <v/>
      </c>
      <c r="S24" s="46">
        <f>IF(S6=0,0,S23/S6)</f>
        <v/>
      </c>
      <c r="T24" s="46">
        <f>IF(T6=0,0,T23/T6)</f>
        <v/>
      </c>
      <c r="U24" s="46">
        <f>IF(U6=0,0,U23/U6)</f>
        <v/>
      </c>
      <c r="V24" s="46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5">
        <f>Inputs!$B$118*1</f>
        <v/>
      </c>
      <c r="D27" s="25">
        <f>Inputs!$B$118*1</f>
        <v/>
      </c>
      <c r="E27" s="25">
        <f>Inputs!$B$118*1</f>
        <v/>
      </c>
      <c r="F27" s="25">
        <f>Inputs!$B$118*1</f>
        <v/>
      </c>
      <c r="G27" s="25">
        <f>Inputs!$B$118*1</f>
        <v/>
      </c>
      <c r="H27" s="25">
        <f>Inputs!$B$118*1</f>
        <v/>
      </c>
      <c r="I27" s="25">
        <f>Inputs!$B$118*1</f>
        <v/>
      </c>
      <c r="J27" s="25">
        <f>Inputs!$B$118*1</f>
        <v/>
      </c>
      <c r="K27" s="25">
        <f>Inputs!$B$118*1</f>
        <v/>
      </c>
      <c r="L27" s="25">
        <f>Inputs!$B$118*1</f>
        <v/>
      </c>
      <c r="M27" s="25">
        <f>Inputs!$B$118*1</f>
        <v/>
      </c>
      <c r="N27" s="25">
        <f>Inputs!$B$118*1</f>
        <v/>
      </c>
      <c r="O27" s="25">
        <f>Inputs!$B$118*3</f>
        <v/>
      </c>
      <c r="P27" s="25">
        <f>Inputs!$B$118*3</f>
        <v/>
      </c>
      <c r="Q27" s="25">
        <f>Inputs!$B$118*3</f>
        <v/>
      </c>
      <c r="R27" s="25">
        <f>Inputs!$B$118*3</f>
        <v/>
      </c>
      <c r="S27" s="25">
        <f>Inputs!$B$118*3</f>
        <v/>
      </c>
      <c r="T27" s="25">
        <f>Inputs!$B$118*3</f>
        <v/>
      </c>
      <c r="U27" s="25">
        <f>Inputs!$B$118*3</f>
        <v/>
      </c>
      <c r="V27" s="25">
        <f>Inputs!$B$118*3</f>
        <v/>
      </c>
    </row>
    <row r="28">
      <c r="A28" s="4" t="inlineStr">
        <is>
          <t>Interest — SBA loan</t>
        </is>
      </c>
      <c r="C28" s="25">
        <f>'Debt Schedule'!C11</f>
        <v/>
      </c>
      <c r="D28" s="25">
        <f>'Debt Schedule'!D11</f>
        <v/>
      </c>
      <c r="E28" s="25">
        <f>'Debt Schedule'!E11</f>
        <v/>
      </c>
      <c r="F28" s="25">
        <f>'Debt Schedule'!F11</f>
        <v/>
      </c>
      <c r="G28" s="25">
        <f>'Debt Schedule'!G11</f>
        <v/>
      </c>
      <c r="H28" s="25">
        <f>'Debt Schedule'!H11</f>
        <v/>
      </c>
      <c r="I28" s="25">
        <f>'Debt Schedule'!I11</f>
        <v/>
      </c>
      <c r="J28" s="25">
        <f>'Debt Schedule'!J11</f>
        <v/>
      </c>
      <c r="K28" s="25">
        <f>'Debt Schedule'!K11</f>
        <v/>
      </c>
      <c r="L28" s="25">
        <f>'Debt Schedule'!L11</f>
        <v/>
      </c>
      <c r="M28" s="25">
        <f>'Debt Schedule'!M11</f>
        <v/>
      </c>
      <c r="N28" s="25">
        <f>'Debt Schedule'!N11</f>
        <v/>
      </c>
      <c r="O28" s="25">
        <f>'Debt Schedule'!O11</f>
        <v/>
      </c>
      <c r="P28" s="25">
        <f>'Debt Schedule'!P11</f>
        <v/>
      </c>
      <c r="Q28" s="25">
        <f>'Debt Schedule'!Q11</f>
        <v/>
      </c>
      <c r="R28" s="25">
        <f>'Debt Schedule'!R11</f>
        <v/>
      </c>
      <c r="S28" s="25">
        <f>'Debt Schedule'!S11</f>
        <v/>
      </c>
      <c r="T28" s="25">
        <f>'Debt Schedule'!T11</f>
        <v/>
      </c>
      <c r="U28" s="25">
        <f>'Debt Schedule'!U11</f>
        <v/>
      </c>
      <c r="V28" s="25">
        <f>'Debt Schedule'!V11</f>
        <v/>
      </c>
    </row>
    <row r="29">
      <c r="A29" s="4" t="inlineStr">
        <is>
          <t>Interest — working-capital line</t>
        </is>
      </c>
      <c r="C29" s="25">
        <f>'Cash Flow &amp; BS'!C15</f>
        <v/>
      </c>
      <c r="D29" s="25">
        <f>'Cash Flow &amp; BS'!D15</f>
        <v/>
      </c>
      <c r="E29" s="25">
        <f>'Cash Flow &amp; BS'!E15</f>
        <v/>
      </c>
      <c r="F29" s="25">
        <f>'Cash Flow &amp; BS'!F15</f>
        <v/>
      </c>
      <c r="G29" s="25">
        <f>'Cash Flow &amp; BS'!G15</f>
        <v/>
      </c>
      <c r="H29" s="25">
        <f>'Cash Flow &amp; BS'!H15</f>
        <v/>
      </c>
      <c r="I29" s="25">
        <f>'Cash Flow &amp; BS'!I15</f>
        <v/>
      </c>
      <c r="J29" s="25">
        <f>'Cash Flow &amp; BS'!J15</f>
        <v/>
      </c>
      <c r="K29" s="25">
        <f>'Cash Flow &amp; BS'!K15</f>
        <v/>
      </c>
      <c r="L29" s="25">
        <f>'Cash Flow &amp; BS'!L15</f>
        <v/>
      </c>
      <c r="M29" s="25">
        <f>'Cash Flow &amp; BS'!M15</f>
        <v/>
      </c>
      <c r="N29" s="25">
        <f>'Cash Flow &amp; BS'!N15</f>
        <v/>
      </c>
      <c r="O29" s="25">
        <f>'Cash Flow &amp; BS'!O15</f>
        <v/>
      </c>
      <c r="P29" s="25">
        <f>'Cash Flow &amp; BS'!P15</f>
        <v/>
      </c>
      <c r="Q29" s="25">
        <f>'Cash Flow &amp; BS'!Q15</f>
        <v/>
      </c>
      <c r="R29" s="25">
        <f>'Cash Flow &amp; BS'!R15</f>
        <v/>
      </c>
      <c r="S29" s="25">
        <f>'Cash Flow &amp; BS'!S15</f>
        <v/>
      </c>
      <c r="T29" s="25">
        <f>'Cash Flow &amp; BS'!T15</f>
        <v/>
      </c>
      <c r="U29" s="25">
        <f>'Cash Flow &amp; BS'!U15</f>
        <v/>
      </c>
      <c r="V29" s="25">
        <f>'Cash Flow &amp; BS'!V15</f>
        <v/>
      </c>
    </row>
    <row r="30">
      <c r="A30" s="26" t="inlineStr">
        <is>
          <t>PRE-TAX INCOME</t>
        </is>
      </c>
      <c r="C30" s="23">
        <f>C23-C27-C28-C29</f>
        <v/>
      </c>
      <c r="D30" s="23">
        <f>D23-D27-D28-D29</f>
        <v/>
      </c>
      <c r="E30" s="23">
        <f>E23-E27-E28-E29</f>
        <v/>
      </c>
      <c r="F30" s="23">
        <f>F23-F27-F28-F29</f>
        <v/>
      </c>
      <c r="G30" s="23">
        <f>G23-G27-G28-G29</f>
        <v/>
      </c>
      <c r="H30" s="23">
        <f>H23-H27-H28-H29</f>
        <v/>
      </c>
      <c r="I30" s="23">
        <f>I23-I27-I28-I29</f>
        <v/>
      </c>
      <c r="J30" s="23">
        <f>J23-J27-J28-J29</f>
        <v/>
      </c>
      <c r="K30" s="23">
        <f>K23-K27-K28-K29</f>
        <v/>
      </c>
      <c r="L30" s="23">
        <f>L23-L27-L28-L29</f>
        <v/>
      </c>
      <c r="M30" s="23">
        <f>M23-M27-M28-M29</f>
        <v/>
      </c>
      <c r="N30" s="23">
        <f>N23-N27-N28-N29</f>
        <v/>
      </c>
      <c r="O30" s="23">
        <f>O23-O27-O28-O29</f>
        <v/>
      </c>
      <c r="P30" s="23">
        <f>P23-P27-P28-P29</f>
        <v/>
      </c>
      <c r="Q30" s="23">
        <f>Q23-Q27-Q28-Q29</f>
        <v/>
      </c>
      <c r="R30" s="23">
        <f>R23-R27-R28-R29</f>
        <v/>
      </c>
      <c r="S30" s="23">
        <f>S23-S27-S28-S29</f>
        <v/>
      </c>
      <c r="T30" s="23">
        <f>T23-T27-T28-T29</f>
        <v/>
      </c>
      <c r="U30" s="23">
        <f>U23-U27-U28-U29</f>
        <v/>
      </c>
      <c r="V30" s="23">
        <f>V23-V27-V28-V29</f>
        <v/>
      </c>
    </row>
    <row r="31">
      <c r="A31" s="4" t="inlineStr">
        <is>
          <t>TX franchise / margin tax</t>
        </is>
      </c>
      <c r="C31" s="24">
        <f>IF(C30&gt;0,C6*Inputs!$B$100,0)</f>
        <v/>
      </c>
      <c r="D31" s="24">
        <f>IF(D30&gt;0,D6*Inputs!$B$100,0)</f>
        <v/>
      </c>
      <c r="E31" s="24">
        <f>IF(E30&gt;0,E6*Inputs!$B$100,0)</f>
        <v/>
      </c>
      <c r="F31" s="24">
        <f>IF(F30&gt;0,F6*Inputs!$B$100,0)</f>
        <v/>
      </c>
      <c r="G31" s="24">
        <f>IF(G30&gt;0,G6*Inputs!$B$100,0)</f>
        <v/>
      </c>
      <c r="H31" s="24">
        <f>IF(H30&gt;0,H6*Inputs!$B$100,0)</f>
        <v/>
      </c>
      <c r="I31" s="24">
        <f>IF(I30&gt;0,I6*Inputs!$B$100,0)</f>
        <v/>
      </c>
      <c r="J31" s="24">
        <f>IF(J30&gt;0,J6*Inputs!$B$100,0)</f>
        <v/>
      </c>
      <c r="K31" s="24">
        <f>IF(K30&gt;0,K6*Inputs!$B$100,0)</f>
        <v/>
      </c>
      <c r="L31" s="24">
        <f>IF(L30&gt;0,L6*Inputs!$B$100,0)</f>
        <v/>
      </c>
      <c r="M31" s="24">
        <f>IF(M30&gt;0,M6*Inputs!$B$100,0)</f>
        <v/>
      </c>
      <c r="N31" s="24">
        <f>IF(N30&gt;0,N6*Inputs!$B$100,0)</f>
        <v/>
      </c>
      <c r="O31" s="24">
        <f>IF(O30&gt;0,O6*Inputs!$B$100,0)</f>
        <v/>
      </c>
      <c r="P31" s="24">
        <f>IF(P30&gt;0,P6*Inputs!$B$100,0)</f>
        <v/>
      </c>
      <c r="Q31" s="24">
        <f>IF(Q30&gt;0,Q6*Inputs!$B$100,0)</f>
        <v/>
      </c>
      <c r="R31" s="24">
        <f>IF(R30&gt;0,R6*Inputs!$B$100,0)</f>
        <v/>
      </c>
      <c r="S31" s="24">
        <f>IF(S30&gt;0,S6*Inputs!$B$100,0)</f>
        <v/>
      </c>
      <c r="T31" s="24">
        <f>IF(T30&gt;0,T6*Inputs!$B$100,0)</f>
        <v/>
      </c>
      <c r="U31" s="24">
        <f>IF(U30&gt;0,U6*Inputs!$B$100,0)</f>
        <v/>
      </c>
      <c r="V31" s="24">
        <f>IF(V30&gt;0,V6*Inputs!$B$100,0)</f>
        <v/>
      </c>
    </row>
    <row r="32">
      <c r="A32" s="26" t="inlineStr">
        <is>
          <t>NET INCOME</t>
        </is>
      </c>
      <c r="C32" s="45">
        <f>C30-C31</f>
        <v/>
      </c>
      <c r="D32" s="45">
        <f>D30-D31</f>
        <v/>
      </c>
      <c r="E32" s="45">
        <f>E30-E31</f>
        <v/>
      </c>
      <c r="F32" s="45">
        <f>F30-F31</f>
        <v/>
      </c>
      <c r="G32" s="45">
        <f>G30-G31</f>
        <v/>
      </c>
      <c r="H32" s="45">
        <f>H30-H31</f>
        <v/>
      </c>
      <c r="I32" s="45">
        <f>I30-I31</f>
        <v/>
      </c>
      <c r="J32" s="45">
        <f>J30-J31</f>
        <v/>
      </c>
      <c r="K32" s="45">
        <f>K30-K31</f>
        <v/>
      </c>
      <c r="L32" s="45">
        <f>L30-L31</f>
        <v/>
      </c>
      <c r="M32" s="45">
        <f>M30-M31</f>
        <v/>
      </c>
      <c r="N32" s="45">
        <f>N30-N31</f>
        <v/>
      </c>
      <c r="O32" s="45">
        <f>O30-O31</f>
        <v/>
      </c>
      <c r="P32" s="45">
        <f>P30-P31</f>
        <v/>
      </c>
      <c r="Q32" s="45">
        <f>Q30-Q31</f>
        <v/>
      </c>
      <c r="R32" s="45">
        <f>R30-R31</f>
        <v/>
      </c>
      <c r="S32" s="45">
        <f>S30-S31</f>
        <v/>
      </c>
      <c r="T32" s="45">
        <f>T30-T31</f>
        <v/>
      </c>
      <c r="U32" s="45">
        <f>U30-U31</f>
        <v/>
      </c>
      <c r="V32" s="45">
        <f>V30-V31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—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Model'!C13</f>
        <v/>
      </c>
      <c r="C7" s="50">
        <f>'Revenue Model'!D13</f>
        <v/>
      </c>
      <c r="D7" s="50">
        <f>'Revenue Model'!E13</f>
        <v/>
      </c>
      <c r="E7" s="50">
        <f>'Revenue Model'!F13</f>
        <v/>
      </c>
      <c r="F7" s="50">
        <f>'Revenue Model'!G13</f>
        <v/>
      </c>
      <c r="G7" s="50">
        <f>'Revenue Model'!H13</f>
        <v/>
      </c>
      <c r="H7" s="50">
        <f>'Revenue Model'!I13</f>
        <v/>
      </c>
      <c r="I7" s="50">
        <f>'Revenue Model'!J13</f>
        <v/>
      </c>
      <c r="J7" s="50">
        <f>'Revenue Model'!K13</f>
        <v/>
      </c>
      <c r="K7" s="50">
        <f>'Revenue Model'!L13</f>
        <v/>
      </c>
      <c r="L7" s="50">
        <f>'Revenue Model'!M13</f>
        <v/>
      </c>
      <c r="M7" s="50">
        <f>'Revenue Model'!N13</f>
        <v/>
      </c>
      <c r="N7" s="51">
        <f>SUM('Revenue Model'!O13:R13)</f>
        <v/>
      </c>
      <c r="O7" s="51">
        <f>SUM('Revenue Model'!S13:V13)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Model'!C13*Inputs!$B$11</f>
        <v/>
      </c>
      <c r="C9" s="50">
        <f>'Revenue Model'!D13*Inputs!$B$11</f>
        <v/>
      </c>
      <c r="D9" s="50">
        <f>'Revenue Model'!E13*Inputs!$B$11</f>
        <v/>
      </c>
      <c r="E9" s="50">
        <f>'Revenue Model'!F13*Inputs!$B$11</f>
        <v/>
      </c>
      <c r="F9" s="50">
        <f>'Revenue Model'!G13*Inputs!$B$11</f>
        <v/>
      </c>
      <c r="G9" s="50">
        <f>'Revenue Model'!H13*Inputs!$B$11</f>
        <v/>
      </c>
      <c r="H9" s="50">
        <f>'Revenue Model'!I13*Inputs!$B$11</f>
        <v/>
      </c>
      <c r="I9" s="50">
        <f>'Revenue Model'!J13*Inputs!$B$11</f>
        <v/>
      </c>
      <c r="J9" s="50">
        <f>'Revenue Model'!K13*Inputs!$B$11</f>
        <v/>
      </c>
      <c r="K9" s="50">
        <f>'Revenue Model'!L13*Inputs!$B$11</f>
        <v/>
      </c>
      <c r="L9" s="50">
        <f>'Revenue Model'!M13*Inputs!$B$11</f>
        <v/>
      </c>
      <c r="M9" s="50">
        <f>'Revenue Model'!N13*Inputs!$B$11</f>
        <v/>
      </c>
      <c r="N9" s="51">
        <f>SUM('Revenue Model'!O13:R13)*Inputs!$B$11</f>
        <v/>
      </c>
      <c r="O9" s="51">
        <f>SUM('Revenue Model'!S13:V13)*Inputs!$B$11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Model'!C13*Inputs!$B$10</f>
        <v/>
      </c>
      <c r="C10" s="50">
        <f>'Revenue Model'!D13*Inputs!$B$10</f>
        <v/>
      </c>
      <c r="D10" s="50">
        <f>'Revenue Model'!E13*Inputs!$B$10</f>
        <v/>
      </c>
      <c r="E10" s="50">
        <f>'Revenue Model'!F13*Inputs!$B$10</f>
        <v/>
      </c>
      <c r="F10" s="50">
        <f>'Revenue Model'!G13*Inputs!$B$10</f>
        <v/>
      </c>
      <c r="G10" s="50">
        <f>'Revenue Model'!H13*Inputs!$B$10</f>
        <v/>
      </c>
      <c r="H10" s="50">
        <f>'Revenue Model'!I13*Inputs!$B$10</f>
        <v/>
      </c>
      <c r="I10" s="50">
        <f>'Revenue Model'!J13*Inputs!$B$10</f>
        <v/>
      </c>
      <c r="J10" s="50">
        <f>'Revenue Model'!K13*Inputs!$B$10</f>
        <v/>
      </c>
      <c r="K10" s="50">
        <f>'Revenue Model'!L13*Inputs!$B$10</f>
        <v/>
      </c>
      <c r="L10" s="50">
        <f>'Revenue Model'!M13*Inputs!$B$10</f>
        <v/>
      </c>
      <c r="M10" s="50">
        <f>'Revenue Model'!N13*Inputs!$B$10</f>
        <v/>
      </c>
      <c r="N10" s="51">
        <f>SUM('Revenue Model'!O13:R13)*Inputs!$B$10</f>
        <v/>
      </c>
      <c r="O10" s="51">
        <f>SUM('Revenue Model'!S13:V13)*Inputs!$B$10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Model'!C12*Inputs!$B$69</f>
        <v/>
      </c>
      <c r="C15" s="50">
        <f>'Revenue Model'!D12*Inputs!$B$69</f>
        <v/>
      </c>
      <c r="D15" s="50">
        <f>'Revenue Model'!E12*Inputs!$B$69</f>
        <v/>
      </c>
      <c r="E15" s="50">
        <f>'Revenue Model'!F12*Inputs!$B$69</f>
        <v/>
      </c>
      <c r="F15" s="50">
        <f>'Revenue Model'!G12*Inputs!$B$69</f>
        <v/>
      </c>
      <c r="G15" s="50">
        <f>'Revenue Model'!H12*Inputs!$B$69</f>
        <v/>
      </c>
      <c r="H15" s="50">
        <f>'Revenue Model'!I12*Inputs!$B$69</f>
        <v/>
      </c>
      <c r="I15" s="50">
        <f>'Revenue Model'!J12*Inputs!$B$69</f>
        <v/>
      </c>
      <c r="J15" s="50">
        <f>'Revenue Model'!K12*Inputs!$B$69</f>
        <v/>
      </c>
      <c r="K15" s="50">
        <f>'Revenue Model'!L12*Inputs!$B$69</f>
        <v/>
      </c>
      <c r="L15" s="50">
        <f>'Revenue Model'!M12*Inputs!$B$69</f>
        <v/>
      </c>
      <c r="M15" s="50">
        <f>'Revenue Model'!N12*Inputs!$B$69</f>
        <v/>
      </c>
      <c r="N15" s="51">
        <f>SUM('Revenue Model'!O12:R12)*Inputs!$B$69</f>
        <v/>
      </c>
      <c r="O15" s="51">
        <f>SUM('Revenue Model'!S12:V12)*Inputs!$B$69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Model'!C12*Inputs!$B$67</f>
        <v/>
      </c>
      <c r="C16" s="50">
        <f>'Revenue Model'!D12*Inputs!$B$67</f>
        <v/>
      </c>
      <c r="D16" s="50">
        <f>'Revenue Model'!E12*Inputs!$B$67</f>
        <v/>
      </c>
      <c r="E16" s="50">
        <f>'Revenue Model'!F12*Inputs!$B$67</f>
        <v/>
      </c>
      <c r="F16" s="50">
        <f>'Revenue Model'!G12*Inputs!$B$67</f>
        <v/>
      </c>
      <c r="G16" s="50">
        <f>'Revenue Model'!H12*Inputs!$B$67</f>
        <v/>
      </c>
      <c r="H16" s="50">
        <f>'Revenue Model'!I12*Inputs!$B$67</f>
        <v/>
      </c>
      <c r="I16" s="50">
        <f>'Revenue Model'!J12*Inputs!$B$67</f>
        <v/>
      </c>
      <c r="J16" s="50">
        <f>'Revenue Model'!K12*Inputs!$B$67</f>
        <v/>
      </c>
      <c r="K16" s="50">
        <f>'Revenue Model'!L12*Inputs!$B$67</f>
        <v/>
      </c>
      <c r="L16" s="50">
        <f>'Revenue Model'!M12*Inputs!$B$67</f>
        <v/>
      </c>
      <c r="M16" s="50">
        <f>'Revenue Model'!N12*Inputs!$B$67</f>
        <v/>
      </c>
      <c r="N16" s="51">
        <f>SUM('Revenue Model'!O12:R12)*Inputs!$B$67</f>
        <v/>
      </c>
      <c r="O16" s="51">
        <f>SUM('Revenue Model'!S12:V12)*Inputs!$B$67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Model'!C12*Inputs!$B$68</f>
        <v/>
      </c>
      <c r="C17" s="50">
        <f>'Revenue Model'!D12*Inputs!$B$68</f>
        <v/>
      </c>
      <c r="D17" s="50">
        <f>'Revenue Model'!E12*Inputs!$B$68</f>
        <v/>
      </c>
      <c r="E17" s="50">
        <f>'Revenue Model'!F12*Inputs!$B$68</f>
        <v/>
      </c>
      <c r="F17" s="50">
        <f>'Revenue Model'!G12*Inputs!$B$68</f>
        <v/>
      </c>
      <c r="G17" s="50">
        <f>'Revenue Model'!H12*Inputs!$B$68</f>
        <v/>
      </c>
      <c r="H17" s="50">
        <f>'Revenue Model'!I12*Inputs!$B$68</f>
        <v/>
      </c>
      <c r="I17" s="50">
        <f>'Revenue Model'!J12*Inputs!$B$68</f>
        <v/>
      </c>
      <c r="J17" s="50">
        <f>'Revenue Model'!K12*Inputs!$B$68</f>
        <v/>
      </c>
      <c r="K17" s="50">
        <f>'Revenue Model'!L12*Inputs!$B$68</f>
        <v/>
      </c>
      <c r="L17" s="50">
        <f>'Revenue Model'!M12*Inputs!$B$68</f>
        <v/>
      </c>
      <c r="M17" s="50">
        <f>'Revenue Model'!N12*Inputs!$B$68</f>
        <v/>
      </c>
      <c r="N17" s="51">
        <f>SUM('Revenue Model'!O12:R12)*Inputs!$B$68</f>
        <v/>
      </c>
      <c r="O17" s="51">
        <f>SUM('Revenue Model'!S12:V12)*Inputs!$B$68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— 1st Half</t>
        </is>
      </c>
      <c r="B28" s="50">
        <f>('Staffing &amp; Payroll'!C14+'Staffing &amp; Payroll'!C26+'Staffing &amp; Payroll'!C22+'Staffing &amp; Payroll'!C27)/2</f>
        <v/>
      </c>
      <c r="C28" s="50">
        <f>('Staffing &amp; Payroll'!D14+'Staffing &amp; Payroll'!D26+'Staffing &amp; Payroll'!D22+'Staffing &amp; Payroll'!D27)/2</f>
        <v/>
      </c>
      <c r="D28" s="50">
        <f>('Staffing &amp; Payroll'!E14+'Staffing &amp; Payroll'!E26+'Staffing &amp; Payroll'!E22+'Staffing &amp; Payroll'!E27)/2</f>
        <v/>
      </c>
      <c r="E28" s="50">
        <f>('Staffing &amp; Payroll'!F14+'Staffing &amp; Payroll'!F26+'Staffing &amp; Payroll'!F22+'Staffing &amp; Payroll'!F27)/2</f>
        <v/>
      </c>
      <c r="F28" s="50">
        <f>('Staffing &amp; Payroll'!G14+'Staffing &amp; Payroll'!G26+'Staffing &amp; Payroll'!G22+'Staffing &amp; Payroll'!G27)/2</f>
        <v/>
      </c>
      <c r="G28" s="50">
        <f>('Staffing &amp; Payroll'!H14+'Staffing &amp; Payroll'!H26+'Staffing &amp; Payroll'!H22+'Staffing &amp; Payroll'!H27)/2</f>
        <v/>
      </c>
      <c r="H28" s="50">
        <f>('Staffing &amp; Payroll'!I14+'Staffing &amp; Payroll'!I26+'Staffing &amp; Payroll'!I22+'Staffing &amp; Payroll'!I27)/2</f>
        <v/>
      </c>
      <c r="I28" s="50">
        <f>('Staffing &amp; Payroll'!J14+'Staffing &amp; Payroll'!J26+'Staffing &amp; Payroll'!J22+'Staffing &amp; Payroll'!J27)/2</f>
        <v/>
      </c>
      <c r="J28" s="50">
        <f>('Staffing &amp; Payroll'!K14+'Staffing &amp; Payroll'!K26+'Staffing &amp; Payroll'!K22+'Staffing &amp; Payroll'!K27)/2</f>
        <v/>
      </c>
      <c r="K28" s="50">
        <f>('Staffing &amp; Payroll'!L14+'Staffing &amp; Payroll'!L26+'Staffing &amp; Payroll'!L22+'Staffing &amp; Payroll'!L27)/2</f>
        <v/>
      </c>
      <c r="L28" s="50">
        <f>('Staffing &amp; Payroll'!M14+'Staffing &amp; Payroll'!M26+'Staffing &amp; Payroll'!M22+'Staffing &amp; Payroll'!M27)/2</f>
        <v/>
      </c>
      <c r="M28" s="50">
        <f>('Staffing &amp; Payroll'!N14+'Staffing &amp; Payroll'!N26+'Staffing &amp; Payroll'!N22+'Staffing &amp; Payroll'!N27)/2</f>
        <v/>
      </c>
      <c r="N28" s="51">
        <f>(SUM('Staffing &amp; Payroll'!O14:R14)+SUM('Staffing &amp; Payroll'!O26:R26)+SUM('Staffing &amp; Payroll'!O22:R22)+SUM('Staffing &amp; Payroll'!O27:R27))/2</f>
        <v/>
      </c>
      <c r="O28" s="51">
        <f>(SUM('Staffing &amp; Payroll'!S14:V14)+SUM('Staffing &amp; Payroll'!S26:V26)+SUM('Staffing &amp; Payroll'!S22:V22)+SUM('Staffing &amp; Payroll'!S27:V27))/2</f>
        <v/>
      </c>
      <c r="P28" s="52">
        <f>SUM(B28:M28)+N28+O28</f>
        <v/>
      </c>
    </row>
    <row r="29">
      <c r="A29" s="54" t="inlineStr">
        <is>
          <t>Payroll — 2nd Half</t>
        </is>
      </c>
      <c r="B29" s="50">
        <f>('Staffing &amp; Payroll'!C14+'Staffing &amp; Payroll'!C26+'Staffing &amp; Payroll'!C22+'Staffing &amp; Payroll'!C27)/2</f>
        <v/>
      </c>
      <c r="C29" s="50">
        <f>('Staffing &amp; Payroll'!D14+'Staffing &amp; Payroll'!D26+'Staffing &amp; Payroll'!D22+'Staffing &amp; Payroll'!D27)/2</f>
        <v/>
      </c>
      <c r="D29" s="50">
        <f>('Staffing &amp; Payroll'!E14+'Staffing &amp; Payroll'!E26+'Staffing &amp; Payroll'!E22+'Staffing &amp; Payroll'!E27)/2</f>
        <v/>
      </c>
      <c r="E29" s="50">
        <f>('Staffing &amp; Payroll'!F14+'Staffing &amp; Payroll'!F26+'Staffing &amp; Payroll'!F22+'Staffing &amp; Payroll'!F27)/2</f>
        <v/>
      </c>
      <c r="F29" s="50">
        <f>('Staffing &amp; Payroll'!G14+'Staffing &amp; Payroll'!G26+'Staffing &amp; Payroll'!G22+'Staffing &amp; Payroll'!G27)/2</f>
        <v/>
      </c>
      <c r="G29" s="50">
        <f>('Staffing &amp; Payroll'!H14+'Staffing &amp; Payroll'!H26+'Staffing &amp; Payroll'!H22+'Staffing &amp; Payroll'!H27)/2</f>
        <v/>
      </c>
      <c r="H29" s="50">
        <f>('Staffing &amp; Payroll'!I14+'Staffing &amp; Payroll'!I26+'Staffing &amp; Payroll'!I22+'Staffing &amp; Payroll'!I27)/2</f>
        <v/>
      </c>
      <c r="I29" s="50">
        <f>('Staffing &amp; Payroll'!J14+'Staffing &amp; Payroll'!J26+'Staffing &amp; Payroll'!J22+'Staffing &amp; Payroll'!J27)/2</f>
        <v/>
      </c>
      <c r="J29" s="50">
        <f>('Staffing &amp; Payroll'!K14+'Staffing &amp; Payroll'!K26+'Staffing &amp; Payroll'!K22+'Staffing &amp; Payroll'!K27)/2</f>
        <v/>
      </c>
      <c r="K29" s="50">
        <f>('Staffing &amp; Payroll'!L14+'Staffing &amp; Payroll'!L26+'Staffing &amp; Payroll'!L22+'Staffing &amp; Payroll'!L27)/2</f>
        <v/>
      </c>
      <c r="L29" s="50">
        <f>('Staffing &amp; Payroll'!M14+'Staffing &amp; Payroll'!M26+'Staffing &amp; Payroll'!M22+'Staffing &amp; Payroll'!M27)/2</f>
        <v/>
      </c>
      <c r="M29" s="50">
        <f>('Staffing &amp; Payroll'!N14+'Staffing &amp; Payroll'!N26+'Staffing &amp; Payroll'!N22+'Staffing &amp; Payroll'!N27)/2</f>
        <v/>
      </c>
      <c r="N29" s="51">
        <f>(SUM('Staffing &amp; Payroll'!O14:R14)+SUM('Staffing &amp; Payroll'!O26:R26)+SUM('Staffing &amp; Payroll'!O22:R22)+SUM('Staffing &amp; Payroll'!O27:R27))/2</f>
        <v/>
      </c>
      <c r="O29" s="51">
        <f>(SUM('Staffing &amp; Payroll'!S14:V14)+SUM('Staffing &amp; Payroll'!S26:V26)+SUM('Staffing &amp; Payroll'!S22:V22)+SUM('Staffing &amp; Payroll'!S27:V27))/2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Payroll'!C32+'Staffing &amp; Payroll'!C33</f>
        <v/>
      </c>
      <c r="C31" s="50">
        <f>'Staffing &amp; Payroll'!D32+'Staffing &amp; Payroll'!D33</f>
        <v/>
      </c>
      <c r="D31" s="50">
        <f>'Staffing &amp; Payroll'!E32+'Staffing &amp; Payroll'!E33</f>
        <v/>
      </c>
      <c r="E31" s="50">
        <f>'Staffing &amp; Payroll'!F32+'Staffing &amp; Payroll'!F33</f>
        <v/>
      </c>
      <c r="F31" s="50">
        <f>'Staffing &amp; Payroll'!G32+'Staffing &amp; Payroll'!G33</f>
        <v/>
      </c>
      <c r="G31" s="50">
        <f>'Staffing &amp; Payroll'!H32+'Staffing &amp; Payroll'!H33</f>
        <v/>
      </c>
      <c r="H31" s="50">
        <f>'Staffing &amp; Payroll'!I32+'Staffing &amp; Payroll'!I33</f>
        <v/>
      </c>
      <c r="I31" s="50">
        <f>'Staffing &amp; Payroll'!J32+'Staffing &amp; Payroll'!J33</f>
        <v/>
      </c>
      <c r="J31" s="50">
        <f>'Staffing &amp; Payroll'!K32+'Staffing &amp; Payroll'!K33</f>
        <v/>
      </c>
      <c r="K31" s="50">
        <f>'Staffing &amp; Payroll'!L32+'Staffing &amp; Payroll'!L33</f>
        <v/>
      </c>
      <c r="L31" s="50">
        <f>'Staffing &amp; Payroll'!M32+'Staffing &amp; Payroll'!M33</f>
        <v/>
      </c>
      <c r="M31" s="50">
        <f>'Staffing &amp; Payroll'!N32+'Staffing &amp; Payroll'!N33</f>
        <v/>
      </c>
      <c r="N31" s="51">
        <f>SUM('Staffing &amp; Payroll'!O32:R32)+SUM('Staffing &amp; Payroll'!O33:R33)</f>
        <v/>
      </c>
      <c r="O31" s="51">
        <f>SUM('Staffing &amp; Payroll'!S32:V32)+SUM('Staffing &amp; Payroll'!S33:V33)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Payroll'!C23</f>
        <v/>
      </c>
      <c r="C33" s="50">
        <f>'Staffing &amp; Payroll'!D23</f>
        <v/>
      </c>
      <c r="D33" s="50">
        <f>'Staffing &amp; Payroll'!E23</f>
        <v/>
      </c>
      <c r="E33" s="50">
        <f>'Staffing &amp; Payroll'!F23</f>
        <v/>
      </c>
      <c r="F33" s="50">
        <f>'Staffing &amp; Payroll'!G23</f>
        <v/>
      </c>
      <c r="G33" s="50">
        <f>'Staffing &amp; Payroll'!H23</f>
        <v/>
      </c>
      <c r="H33" s="50">
        <f>'Staffing &amp; Payroll'!I23</f>
        <v/>
      </c>
      <c r="I33" s="50">
        <f>'Staffing &amp; Payroll'!J23</f>
        <v/>
      </c>
      <c r="J33" s="50">
        <f>'Staffing &amp; Payroll'!K23</f>
        <v/>
      </c>
      <c r="K33" s="50">
        <f>'Staffing &amp; Payroll'!L23</f>
        <v/>
      </c>
      <c r="L33" s="50">
        <f>'Staffing &amp; Payroll'!M23</f>
        <v/>
      </c>
      <c r="M33" s="50">
        <f>'Staffing &amp; Payroll'!N23</f>
        <v/>
      </c>
      <c r="N33" s="51">
        <f>SUM('Staffing &amp; Payroll'!O23:R23)</f>
        <v/>
      </c>
      <c r="O33" s="51">
        <f>SUM('Staffing &amp; Payroll'!S23:V23)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Payroll'!C34+'Staffing &amp; Payroll'!C35</f>
        <v/>
      </c>
      <c r="C36" s="50">
        <f>'Staffing &amp; Payroll'!D34+'Staffing &amp; Payroll'!D35</f>
        <v/>
      </c>
      <c r="D36" s="50">
        <f>'Staffing &amp; Payroll'!E34+'Staffing &amp; Payroll'!E35</f>
        <v/>
      </c>
      <c r="E36" s="50">
        <f>'Staffing &amp; Payroll'!F34+'Staffing &amp; Payroll'!F35</f>
        <v/>
      </c>
      <c r="F36" s="50">
        <f>'Staffing &amp; Payroll'!G34+'Staffing &amp; Payroll'!G35</f>
        <v/>
      </c>
      <c r="G36" s="50">
        <f>'Staffing &amp; Payroll'!H34+'Staffing &amp; Payroll'!H35</f>
        <v/>
      </c>
      <c r="H36" s="50">
        <f>'Staffing &amp; Payroll'!I34+'Staffing &amp; Payroll'!I35</f>
        <v/>
      </c>
      <c r="I36" s="50">
        <f>'Staffing &amp; Payroll'!J34+'Staffing &amp; Payroll'!J35</f>
        <v/>
      </c>
      <c r="J36" s="50">
        <f>'Staffing &amp; Payroll'!K34+'Staffing &amp; Payroll'!K35</f>
        <v/>
      </c>
      <c r="K36" s="50">
        <f>'Staffing &amp; Payroll'!L34+'Staffing &amp; Payroll'!L35</f>
        <v/>
      </c>
      <c r="L36" s="50">
        <f>'Staffing &amp; Payroll'!M34+'Staffing &amp; Payroll'!M35</f>
        <v/>
      </c>
      <c r="M36" s="50">
        <f>'Staffing &amp; Payroll'!N34+'Staffing &amp; Payroll'!N35</f>
        <v/>
      </c>
      <c r="N36" s="51">
        <f>SUM('Staffing &amp; Payroll'!O34:R34)+SUM('Staffing &amp; Payroll'!O35:R35)</f>
        <v/>
      </c>
      <c r="O36" s="51">
        <f>SUM('Staffing &amp; Payroll'!S34:V34)+SUM('Staffing &amp; Payroll'!S35:V35)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Inputs!$B$83</f>
        <v/>
      </c>
      <c r="C40" s="50">
        <f>Inputs!$B$83</f>
        <v/>
      </c>
      <c r="D40" s="50">
        <f>Inputs!$B$83</f>
        <v/>
      </c>
      <c r="E40" s="50">
        <f>Inputs!$B$83</f>
        <v/>
      </c>
      <c r="F40" s="50">
        <f>Inputs!$B$83</f>
        <v/>
      </c>
      <c r="G40" s="50">
        <f>Inputs!$B$83</f>
        <v/>
      </c>
      <c r="H40" s="50">
        <f>Inputs!$B$83</f>
        <v/>
      </c>
      <c r="I40" s="50">
        <f>Inputs!$B$83</f>
        <v/>
      </c>
      <c r="J40" s="50">
        <f>Inputs!$B$83</f>
        <v/>
      </c>
      <c r="K40" s="50">
        <f>Inputs!$B$83</f>
        <v/>
      </c>
      <c r="L40" s="50">
        <f>Inputs!$B$83</f>
        <v/>
      </c>
      <c r="M40" s="50">
        <f>Inputs!$B$83</f>
        <v/>
      </c>
      <c r="N40" s="51">
        <f>Inputs!$B$83*12</f>
        <v/>
      </c>
      <c r="O40" s="51">
        <f>Inputs!$B$83*12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Inputs!$B$84</f>
        <v/>
      </c>
      <c r="C41" s="50">
        <f>Inputs!$B$84</f>
        <v/>
      </c>
      <c r="D41" s="50">
        <f>Inputs!$B$84</f>
        <v/>
      </c>
      <c r="E41" s="50">
        <f>Inputs!$B$84</f>
        <v/>
      </c>
      <c r="F41" s="50">
        <f>Inputs!$B$84</f>
        <v/>
      </c>
      <c r="G41" s="50">
        <f>Inputs!$B$84</f>
        <v/>
      </c>
      <c r="H41" s="50">
        <f>Inputs!$B$84</f>
        <v/>
      </c>
      <c r="I41" s="50">
        <f>Inputs!$B$84</f>
        <v/>
      </c>
      <c r="J41" s="50">
        <f>Inputs!$B$84</f>
        <v/>
      </c>
      <c r="K41" s="50">
        <f>Inputs!$B$84</f>
        <v/>
      </c>
      <c r="L41" s="50">
        <f>Inputs!$B$84</f>
        <v/>
      </c>
      <c r="M41" s="50">
        <f>Inputs!$B$84</f>
        <v/>
      </c>
      <c r="N41" s="51">
        <f>Inputs!$B$84*12</f>
        <v/>
      </c>
      <c r="O41" s="51">
        <f>Inputs!$B$84*12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Inputs!$B$72</f>
        <v/>
      </c>
      <c r="C42" s="50">
        <f>Inputs!$B$72</f>
        <v/>
      </c>
      <c r="D42" s="50">
        <f>Inputs!$B$72</f>
        <v/>
      </c>
      <c r="E42" s="50">
        <f>Inputs!$B$72</f>
        <v/>
      </c>
      <c r="F42" s="50">
        <f>Inputs!$B$72</f>
        <v/>
      </c>
      <c r="G42" s="50">
        <f>Inputs!$B$72</f>
        <v/>
      </c>
      <c r="H42" s="50">
        <f>Inputs!$B$72</f>
        <v/>
      </c>
      <c r="I42" s="50">
        <f>Inputs!$B$72</f>
        <v/>
      </c>
      <c r="J42" s="50">
        <f>Inputs!$B$72</f>
        <v/>
      </c>
      <c r="K42" s="50">
        <f>Inputs!$B$72</f>
        <v/>
      </c>
      <c r="L42" s="50">
        <f>Inputs!$B$72</f>
        <v/>
      </c>
      <c r="M42" s="50">
        <f>Inputs!$B$72</f>
        <v/>
      </c>
      <c r="N42" s="51">
        <f>Inputs!$B$72*12</f>
        <v/>
      </c>
      <c r="O42" s="51">
        <f>Inputs!$B$72*12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Inputs!$B$73</f>
        <v/>
      </c>
      <c r="C43" s="50">
        <f>Inputs!$B$73</f>
        <v/>
      </c>
      <c r="D43" s="50">
        <f>Inputs!$B$73</f>
        <v/>
      </c>
      <c r="E43" s="50">
        <f>Inputs!$B$73</f>
        <v/>
      </c>
      <c r="F43" s="50">
        <f>Inputs!$B$73</f>
        <v/>
      </c>
      <c r="G43" s="50">
        <f>Inputs!$B$73</f>
        <v/>
      </c>
      <c r="H43" s="50">
        <f>Inputs!$B$73</f>
        <v/>
      </c>
      <c r="I43" s="50">
        <f>Inputs!$B$73</f>
        <v/>
      </c>
      <c r="J43" s="50">
        <f>Inputs!$B$73</f>
        <v/>
      </c>
      <c r="K43" s="50">
        <f>Inputs!$B$73</f>
        <v/>
      </c>
      <c r="L43" s="50">
        <f>Inputs!$B$73</f>
        <v/>
      </c>
      <c r="M43" s="50">
        <f>Inputs!$B$73</f>
        <v/>
      </c>
      <c r="N43" s="51">
        <f>Inputs!$B$73*12</f>
        <v/>
      </c>
      <c r="O43" s="51">
        <f>Inputs!$B$73*12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Inputs!$B$74</f>
        <v/>
      </c>
      <c r="C44" s="50">
        <f>Inputs!$B$74</f>
        <v/>
      </c>
      <c r="D44" s="50">
        <f>Inputs!$B$74</f>
        <v/>
      </c>
      <c r="E44" s="50">
        <f>Inputs!$B$74</f>
        <v/>
      </c>
      <c r="F44" s="50">
        <f>Inputs!$B$74</f>
        <v/>
      </c>
      <c r="G44" s="50">
        <f>Inputs!$B$74</f>
        <v/>
      </c>
      <c r="H44" s="50">
        <f>Inputs!$B$74</f>
        <v/>
      </c>
      <c r="I44" s="50">
        <f>Inputs!$B$74</f>
        <v/>
      </c>
      <c r="J44" s="50">
        <f>Inputs!$B$74</f>
        <v/>
      </c>
      <c r="K44" s="50">
        <f>Inputs!$B$74</f>
        <v/>
      </c>
      <c r="L44" s="50">
        <f>Inputs!$B$74</f>
        <v/>
      </c>
      <c r="M44" s="50">
        <f>Inputs!$B$74</f>
        <v/>
      </c>
      <c r="N44" s="51">
        <f>Inputs!$B$74*12</f>
        <v/>
      </c>
      <c r="O44" s="51">
        <f>Inputs!$B$74*12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Inputs!$B$75</f>
        <v/>
      </c>
      <c r="C45" s="50">
        <f>Inputs!$B$75</f>
        <v/>
      </c>
      <c r="D45" s="50">
        <f>Inputs!$B$75</f>
        <v/>
      </c>
      <c r="E45" s="50">
        <f>Inputs!$B$75</f>
        <v/>
      </c>
      <c r="F45" s="50">
        <f>Inputs!$B$75</f>
        <v/>
      </c>
      <c r="G45" s="50">
        <f>Inputs!$B$75</f>
        <v/>
      </c>
      <c r="H45" s="50">
        <f>Inputs!$B$75</f>
        <v/>
      </c>
      <c r="I45" s="50">
        <f>Inputs!$B$75</f>
        <v/>
      </c>
      <c r="J45" s="50">
        <f>Inputs!$B$75</f>
        <v/>
      </c>
      <c r="K45" s="50">
        <f>Inputs!$B$75</f>
        <v/>
      </c>
      <c r="L45" s="50">
        <f>Inputs!$B$75</f>
        <v/>
      </c>
      <c r="M45" s="50">
        <f>Inputs!$B$75</f>
        <v/>
      </c>
      <c r="N45" s="51">
        <f>Inputs!$B$75*12</f>
        <v/>
      </c>
      <c r="O45" s="51">
        <f>Inputs!$B$75*12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Inputs!$B$85</f>
        <v/>
      </c>
      <c r="C51" s="50">
        <f>Inputs!$B$85</f>
        <v/>
      </c>
      <c r="D51" s="50">
        <f>Inputs!$B$85</f>
        <v/>
      </c>
      <c r="E51" s="50">
        <f>Inputs!$B$85</f>
        <v/>
      </c>
      <c r="F51" s="50">
        <f>Inputs!$B$85</f>
        <v/>
      </c>
      <c r="G51" s="50">
        <f>Inputs!$B$85</f>
        <v/>
      </c>
      <c r="H51" s="50">
        <f>Inputs!$B$85</f>
        <v/>
      </c>
      <c r="I51" s="50">
        <f>Inputs!$B$85</f>
        <v/>
      </c>
      <c r="J51" s="50">
        <f>Inputs!$B$85</f>
        <v/>
      </c>
      <c r="K51" s="50">
        <f>Inputs!$B$85</f>
        <v/>
      </c>
      <c r="L51" s="50">
        <f>Inputs!$B$85</f>
        <v/>
      </c>
      <c r="M51" s="50">
        <f>Inputs!$B$85</f>
        <v/>
      </c>
      <c r="N51" s="51">
        <f>Inputs!$B$85*12</f>
        <v/>
      </c>
      <c r="O51" s="51">
        <f>Inputs!$B$85*12</f>
        <v/>
      </c>
      <c r="P51" s="52">
        <f>SUM(B51:M51)+N51+O51</f>
        <v/>
      </c>
    </row>
    <row r="52">
      <c r="A52" s="54" t="inlineStr">
        <is>
          <t>BCBP Billing Fee</t>
        </is>
      </c>
      <c r="B52" s="50">
        <f>Inputs!$B$76</f>
        <v/>
      </c>
      <c r="C52" s="50">
        <f>Inputs!$B$76</f>
        <v/>
      </c>
      <c r="D52" s="50">
        <f>Inputs!$B$76</f>
        <v/>
      </c>
      <c r="E52" s="50">
        <f>Inputs!$B$76</f>
        <v/>
      </c>
      <c r="F52" s="50">
        <f>Inputs!$B$76</f>
        <v/>
      </c>
      <c r="G52" s="50">
        <f>Inputs!$B$76</f>
        <v/>
      </c>
      <c r="H52" s="50">
        <f>Inputs!$B$76</f>
        <v/>
      </c>
      <c r="I52" s="50">
        <f>Inputs!$B$76</f>
        <v/>
      </c>
      <c r="J52" s="50">
        <f>Inputs!$B$76</f>
        <v/>
      </c>
      <c r="K52" s="50">
        <f>Inputs!$B$76</f>
        <v/>
      </c>
      <c r="L52" s="50">
        <f>Inputs!$B$76</f>
        <v/>
      </c>
      <c r="M52" s="50">
        <f>Inputs!$B$76</f>
        <v/>
      </c>
      <c r="N52" s="51">
        <f>Inputs!$B$76*12</f>
        <v/>
      </c>
      <c r="O52" s="51">
        <f>Inputs!$B$76*12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Inputs!$B$77</f>
        <v/>
      </c>
      <c r="C53" s="50">
        <f>Inputs!$B$77</f>
        <v/>
      </c>
      <c r="D53" s="50">
        <f>Inputs!$B$77</f>
        <v/>
      </c>
      <c r="E53" s="50">
        <f>Inputs!$B$77</f>
        <v/>
      </c>
      <c r="F53" s="50">
        <f>Inputs!$B$77</f>
        <v/>
      </c>
      <c r="G53" s="50">
        <f>Inputs!$B$77</f>
        <v/>
      </c>
      <c r="H53" s="50">
        <f>Inputs!$B$77</f>
        <v/>
      </c>
      <c r="I53" s="50">
        <f>Inputs!$B$77</f>
        <v/>
      </c>
      <c r="J53" s="50">
        <f>Inputs!$B$77</f>
        <v/>
      </c>
      <c r="K53" s="50">
        <f>Inputs!$B$77</f>
        <v/>
      </c>
      <c r="L53" s="50">
        <f>Inputs!$B$77</f>
        <v/>
      </c>
      <c r="M53" s="50">
        <f>Inputs!$B$77</f>
        <v/>
      </c>
      <c r="N53" s="51">
        <f>Inputs!$B$77*12</f>
        <v/>
      </c>
      <c r="O53" s="51">
        <f>Inputs!$B$77*12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Inputs!$B$78</f>
        <v/>
      </c>
      <c r="C55" s="50">
        <f>Inputs!$B$78</f>
        <v/>
      </c>
      <c r="D55" s="50">
        <f>Inputs!$B$78</f>
        <v/>
      </c>
      <c r="E55" s="50">
        <f>Inputs!$B$78</f>
        <v/>
      </c>
      <c r="F55" s="50">
        <f>Inputs!$B$78</f>
        <v/>
      </c>
      <c r="G55" s="50">
        <f>Inputs!$B$78</f>
        <v/>
      </c>
      <c r="H55" s="50">
        <f>Inputs!$B$78</f>
        <v/>
      </c>
      <c r="I55" s="50">
        <f>Inputs!$B$78</f>
        <v/>
      </c>
      <c r="J55" s="50">
        <f>Inputs!$B$78</f>
        <v/>
      </c>
      <c r="K55" s="50">
        <f>Inputs!$B$78</f>
        <v/>
      </c>
      <c r="L55" s="50">
        <f>Inputs!$B$78</f>
        <v/>
      </c>
      <c r="M55" s="50">
        <f>Inputs!$B$78</f>
        <v/>
      </c>
      <c r="N55" s="51">
        <f>Inputs!$B$78*12</f>
        <v/>
      </c>
      <c r="O55" s="51">
        <f>Inputs!$B$78*12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Inputs!$B$80</f>
        <v/>
      </c>
      <c r="C57" s="50">
        <f>Inputs!$B$80</f>
        <v/>
      </c>
      <c r="D57" s="50">
        <f>Inputs!$B$80</f>
        <v/>
      </c>
      <c r="E57" s="50">
        <f>Inputs!$B$80</f>
        <v/>
      </c>
      <c r="F57" s="50">
        <f>Inputs!$B$80</f>
        <v/>
      </c>
      <c r="G57" s="50">
        <f>Inputs!$B$80</f>
        <v/>
      </c>
      <c r="H57" s="50">
        <f>Inputs!$B$80</f>
        <v/>
      </c>
      <c r="I57" s="50">
        <f>Inputs!$B$80</f>
        <v/>
      </c>
      <c r="J57" s="50">
        <f>Inputs!$B$80</f>
        <v/>
      </c>
      <c r="K57" s="50">
        <f>Inputs!$B$80</f>
        <v/>
      </c>
      <c r="L57" s="50">
        <f>Inputs!$B$80</f>
        <v/>
      </c>
      <c r="M57" s="50">
        <f>Inputs!$B$80</f>
        <v/>
      </c>
      <c r="N57" s="51">
        <f>Inputs!$B$80*12</f>
        <v/>
      </c>
      <c r="O57" s="51">
        <f>Inputs!$B$80*12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Model'!C13*Inputs!$B$88</f>
        <v/>
      </c>
      <c r="C58" s="50">
        <f>'Revenue Model'!D13*Inputs!$B$88</f>
        <v/>
      </c>
      <c r="D58" s="50">
        <f>'Revenue Model'!E13*Inputs!$B$88</f>
        <v/>
      </c>
      <c r="E58" s="50">
        <f>'Revenue Model'!F13*Inputs!$B$88</f>
        <v/>
      </c>
      <c r="F58" s="50">
        <f>'Revenue Model'!G13*Inputs!$B$88</f>
        <v/>
      </c>
      <c r="G58" s="50">
        <f>'Revenue Model'!H13*Inputs!$B$88</f>
        <v/>
      </c>
      <c r="H58" s="50">
        <f>'Revenue Model'!I13*Inputs!$B$88</f>
        <v/>
      </c>
      <c r="I58" s="50">
        <f>'Revenue Model'!J13*Inputs!$B$88</f>
        <v/>
      </c>
      <c r="J58" s="50">
        <f>'Revenue Model'!K13*Inputs!$B$88</f>
        <v/>
      </c>
      <c r="K58" s="50">
        <f>'Revenue Model'!L13*Inputs!$B$88</f>
        <v/>
      </c>
      <c r="L58" s="50">
        <f>'Revenue Model'!M13*Inputs!$B$88</f>
        <v/>
      </c>
      <c r="M58" s="50">
        <f>'Revenue Model'!N13*Inputs!$B$88</f>
        <v/>
      </c>
      <c r="N58" s="51">
        <f>SUM('Revenue Model'!O13:R13)*Inputs!$B$88</f>
        <v/>
      </c>
      <c r="O58" s="51">
        <f>SUM('Revenue Model'!S13:V13)*Inputs!$B$88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Inputs!$B$81</f>
        <v/>
      </c>
      <c r="C59" s="50">
        <f>Inputs!$B$81</f>
        <v/>
      </c>
      <c r="D59" s="50">
        <f>Inputs!$B$81</f>
        <v/>
      </c>
      <c r="E59" s="50">
        <f>Inputs!$B$81</f>
        <v/>
      </c>
      <c r="F59" s="50">
        <f>Inputs!$B$81</f>
        <v/>
      </c>
      <c r="G59" s="50">
        <f>Inputs!$B$81</f>
        <v/>
      </c>
      <c r="H59" s="50">
        <f>Inputs!$B$81</f>
        <v/>
      </c>
      <c r="I59" s="50">
        <f>Inputs!$B$81</f>
        <v/>
      </c>
      <c r="J59" s="50">
        <f>Inputs!$B$81</f>
        <v/>
      </c>
      <c r="K59" s="50">
        <f>Inputs!$B$81</f>
        <v/>
      </c>
      <c r="L59" s="50">
        <f>Inputs!$B$81</f>
        <v/>
      </c>
      <c r="M59" s="50">
        <f>Inputs!$B$81</f>
        <v/>
      </c>
      <c r="N59" s="51">
        <f>Inputs!$B$81*12</f>
        <v/>
      </c>
      <c r="O59" s="51">
        <f>Inputs!$B$81*12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Inputs!$B$79</f>
        <v/>
      </c>
      <c r="C60" s="50">
        <f>Inputs!$B$79</f>
        <v/>
      </c>
      <c r="D60" s="50">
        <f>Inputs!$B$79</f>
        <v/>
      </c>
      <c r="E60" s="50">
        <f>Inputs!$B$79</f>
        <v/>
      </c>
      <c r="F60" s="50">
        <f>Inputs!$B$79</f>
        <v/>
      </c>
      <c r="G60" s="50">
        <f>Inputs!$B$79</f>
        <v/>
      </c>
      <c r="H60" s="50">
        <f>Inputs!$B$79</f>
        <v/>
      </c>
      <c r="I60" s="50">
        <f>Inputs!$B$79</f>
        <v/>
      </c>
      <c r="J60" s="50">
        <f>Inputs!$B$79</f>
        <v/>
      </c>
      <c r="K60" s="50">
        <f>Inputs!$B$79</f>
        <v/>
      </c>
      <c r="L60" s="50">
        <f>Inputs!$B$79</f>
        <v/>
      </c>
      <c r="M60" s="50">
        <f>Inputs!$B$79</f>
        <v/>
      </c>
      <c r="N60" s="51">
        <f>Inputs!$B$79*12</f>
        <v/>
      </c>
      <c r="O60" s="51">
        <f>Inputs!$B$79*12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Inputs!$B$82</f>
        <v/>
      </c>
      <c r="C62" s="50">
        <f>Inputs!$B$82</f>
        <v/>
      </c>
      <c r="D62" s="50">
        <f>Inputs!$B$82</f>
        <v/>
      </c>
      <c r="E62" s="50">
        <f>Inputs!$B$82</f>
        <v/>
      </c>
      <c r="F62" s="50">
        <f>Inputs!$B$82</f>
        <v/>
      </c>
      <c r="G62" s="50">
        <f>Inputs!$B$82</f>
        <v/>
      </c>
      <c r="H62" s="50">
        <f>Inputs!$B$82</f>
        <v/>
      </c>
      <c r="I62" s="50">
        <f>Inputs!$B$82</f>
        <v/>
      </c>
      <c r="J62" s="50">
        <f>Inputs!$B$82</f>
        <v/>
      </c>
      <c r="K62" s="50">
        <f>Inputs!$B$82</f>
        <v/>
      </c>
      <c r="L62" s="50">
        <f>Inputs!$B$82</f>
        <v/>
      </c>
      <c r="M62" s="50">
        <f>Inputs!$B$82</f>
        <v/>
      </c>
      <c r="N62" s="51">
        <f>Inputs!$B$82*12</f>
        <v/>
      </c>
      <c r="O62" s="51">
        <f>Inputs!$B$82*12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17"/>
  <sheetViews>
    <sheetView showGridLines="0" tabSelected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amortization · DSCR = EBITDA / debt service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Monthly payment (PMT)</t>
        </is>
      </c>
      <c r="B5" s="24">
        <f>PMT(Inputs!$B$92/12,Inputs!$B$93,-Inputs!$B$91)</f>
        <v/>
      </c>
    </row>
    <row r="7">
      <c r="A7" s="40" t="inlineStr">
        <is>
          <t>($ per period)</t>
        </is>
      </c>
      <c r="C7" s="41" t="inlineStr">
        <is>
          <t>YEAR 1 — monthly</t>
        </is>
      </c>
      <c r="O7" s="41" t="inlineStr">
        <is>
          <t>YEAR 2 — quarterly</t>
        </is>
      </c>
      <c r="S7" s="41" t="inlineStr">
        <is>
          <t>YEAR 3 — quarterly</t>
        </is>
      </c>
    </row>
    <row r="8">
      <c r="A8" s="42" t="inlineStr"/>
      <c r="C8" s="30" t="inlineStr">
        <is>
          <t>M1</t>
        </is>
      </c>
      <c r="D8" s="30" t="inlineStr">
        <is>
          <t>M2</t>
        </is>
      </c>
      <c r="E8" s="30" t="inlineStr">
        <is>
          <t>M3</t>
        </is>
      </c>
      <c r="F8" s="30" t="inlineStr">
        <is>
          <t>M4</t>
        </is>
      </c>
      <c r="G8" s="30" t="inlineStr">
        <is>
          <t>M5</t>
        </is>
      </c>
      <c r="H8" s="30" t="inlineStr">
        <is>
          <t>M6</t>
        </is>
      </c>
      <c r="I8" s="30" t="inlineStr">
        <is>
          <t>M7</t>
        </is>
      </c>
      <c r="J8" s="30" t="inlineStr">
        <is>
          <t>M8</t>
        </is>
      </c>
      <c r="K8" s="30" t="inlineStr">
        <is>
          <t>M9</t>
        </is>
      </c>
      <c r="L8" s="30" t="inlineStr">
        <is>
          <t>M10</t>
        </is>
      </c>
      <c r="M8" s="30" t="inlineStr">
        <is>
          <t>M11</t>
        </is>
      </c>
      <c r="N8" s="30" t="inlineStr">
        <is>
          <t>M12</t>
        </is>
      </c>
      <c r="O8" s="30" t="inlineStr">
        <is>
          <t>Y2 Q1</t>
        </is>
      </c>
      <c r="P8" s="30" t="inlineStr">
        <is>
          <t>Y2 Q2</t>
        </is>
      </c>
      <c r="Q8" s="30" t="inlineStr">
        <is>
          <t>Y2 Q3</t>
        </is>
      </c>
      <c r="R8" s="30" t="inlineStr">
        <is>
          <t>Y2 Q4</t>
        </is>
      </c>
      <c r="S8" s="30" t="inlineStr">
        <is>
          <t>Y3 Q1</t>
        </is>
      </c>
      <c r="T8" s="30" t="inlineStr">
        <is>
          <t>Y3 Q2</t>
        </is>
      </c>
      <c r="U8" s="30" t="inlineStr">
        <is>
          <t>Y3 Q3</t>
        </is>
      </c>
      <c r="V8" s="30" t="inlineStr">
        <is>
          <t>Y3 Q4</t>
        </is>
      </c>
    </row>
    <row r="9">
      <c r="A9" s="20" t="inlineStr">
        <is>
          <t>Beginning balance</t>
        </is>
      </c>
      <c r="C9" s="25">
        <f>Inputs!$B$91</f>
        <v/>
      </c>
      <c r="D9" s="24">
        <f>C13</f>
        <v/>
      </c>
      <c r="E9" s="24">
        <f>D13</f>
        <v/>
      </c>
      <c r="F9" s="24">
        <f>E13</f>
        <v/>
      </c>
      <c r="G9" s="24">
        <f>F13</f>
        <v/>
      </c>
      <c r="H9" s="24">
        <f>G13</f>
        <v/>
      </c>
      <c r="I9" s="24">
        <f>H13</f>
        <v/>
      </c>
      <c r="J9" s="24">
        <f>I13</f>
        <v/>
      </c>
      <c r="K9" s="24">
        <f>J13</f>
        <v/>
      </c>
      <c r="L9" s="24">
        <f>K13</f>
        <v/>
      </c>
      <c r="M9" s="24">
        <f>L13</f>
        <v/>
      </c>
      <c r="N9" s="24">
        <f>M13</f>
        <v/>
      </c>
      <c r="O9" s="24">
        <f>N13</f>
        <v/>
      </c>
      <c r="P9" s="24">
        <f>O13</f>
        <v/>
      </c>
      <c r="Q9" s="24">
        <f>P13</f>
        <v/>
      </c>
      <c r="R9" s="24">
        <f>Q13</f>
        <v/>
      </c>
      <c r="S9" s="24">
        <f>R13</f>
        <v/>
      </c>
      <c r="T9" s="24">
        <f>S13</f>
        <v/>
      </c>
      <c r="U9" s="24">
        <f>T13</f>
        <v/>
      </c>
      <c r="V9" s="24">
        <f>U13</f>
        <v/>
      </c>
    </row>
    <row r="10">
      <c r="A10" s="4" t="inlineStr">
        <is>
          <t>Payment</t>
        </is>
      </c>
      <c r="C10" s="24">
        <f>$B$5*1</f>
        <v/>
      </c>
      <c r="D10" s="24">
        <f>$B$5*1</f>
        <v/>
      </c>
      <c r="E10" s="24">
        <f>$B$5*1</f>
        <v/>
      </c>
      <c r="F10" s="24">
        <f>$B$5*1</f>
        <v/>
      </c>
      <c r="G10" s="24">
        <f>$B$5*1</f>
        <v/>
      </c>
      <c r="H10" s="24">
        <f>$B$5*1</f>
        <v/>
      </c>
      <c r="I10" s="24">
        <f>$B$5*1</f>
        <v/>
      </c>
      <c r="J10" s="24">
        <f>$B$5*1</f>
        <v/>
      </c>
      <c r="K10" s="24">
        <f>$B$5*1</f>
        <v/>
      </c>
      <c r="L10" s="24">
        <f>$B$5*1</f>
        <v/>
      </c>
      <c r="M10" s="24">
        <f>$B$5*1</f>
        <v/>
      </c>
      <c r="N10" s="24">
        <f>$B$5*1</f>
        <v/>
      </c>
      <c r="O10" s="24">
        <f>$B$5*3</f>
        <v/>
      </c>
      <c r="P10" s="24">
        <f>$B$5*3</f>
        <v/>
      </c>
      <c r="Q10" s="24">
        <f>$B$5*3</f>
        <v/>
      </c>
      <c r="R10" s="24">
        <f>$B$5*3</f>
        <v/>
      </c>
      <c r="S10" s="24">
        <f>$B$5*3</f>
        <v/>
      </c>
      <c r="T10" s="24">
        <f>$B$5*3</f>
        <v/>
      </c>
      <c r="U10" s="24">
        <f>$B$5*3</f>
        <v/>
      </c>
      <c r="V10" s="24">
        <f>$B$5*3</f>
        <v/>
      </c>
    </row>
    <row r="11">
      <c r="A11" s="4" t="inlineStr">
        <is>
          <t>Interest</t>
        </is>
      </c>
      <c r="C11" s="24">
        <f>C9*Inputs!$B$92/12*1</f>
        <v/>
      </c>
      <c r="D11" s="24">
        <f>D9*Inputs!$B$92/12*1</f>
        <v/>
      </c>
      <c r="E11" s="24">
        <f>E9*Inputs!$B$92/12*1</f>
        <v/>
      </c>
      <c r="F11" s="24">
        <f>F9*Inputs!$B$92/12*1</f>
        <v/>
      </c>
      <c r="G11" s="24">
        <f>G9*Inputs!$B$92/12*1</f>
        <v/>
      </c>
      <c r="H11" s="24">
        <f>H9*Inputs!$B$92/12*1</f>
        <v/>
      </c>
      <c r="I11" s="24">
        <f>I9*Inputs!$B$92/12*1</f>
        <v/>
      </c>
      <c r="J11" s="24">
        <f>J9*Inputs!$B$92/12*1</f>
        <v/>
      </c>
      <c r="K11" s="24">
        <f>K9*Inputs!$B$92/12*1</f>
        <v/>
      </c>
      <c r="L11" s="24">
        <f>L9*Inputs!$B$92/12*1</f>
        <v/>
      </c>
      <c r="M11" s="24">
        <f>M9*Inputs!$B$92/12*1</f>
        <v/>
      </c>
      <c r="N11" s="24">
        <f>N9*Inputs!$B$92/12*1</f>
        <v/>
      </c>
      <c r="O11" s="24">
        <f>O9*Inputs!$B$92/12*3</f>
        <v/>
      </c>
      <c r="P11" s="24">
        <f>P9*Inputs!$B$92/12*3</f>
        <v/>
      </c>
      <c r="Q11" s="24">
        <f>Q9*Inputs!$B$92/12*3</f>
        <v/>
      </c>
      <c r="R11" s="24">
        <f>R9*Inputs!$B$92/12*3</f>
        <v/>
      </c>
      <c r="S11" s="24">
        <f>S9*Inputs!$B$92/12*3</f>
        <v/>
      </c>
      <c r="T11" s="24">
        <f>T9*Inputs!$B$92/12*3</f>
        <v/>
      </c>
      <c r="U11" s="24">
        <f>U9*Inputs!$B$92/12*3</f>
        <v/>
      </c>
      <c r="V11" s="24">
        <f>V9*Inputs!$B$92/12*3</f>
        <v/>
      </c>
    </row>
    <row r="12">
      <c r="A12" s="4" t="inlineStr">
        <is>
          <t>Principal</t>
        </is>
      </c>
      <c r="C12" s="24">
        <f>C10-C11</f>
        <v/>
      </c>
      <c r="D12" s="24">
        <f>D10-D11</f>
        <v/>
      </c>
      <c r="E12" s="24">
        <f>E10-E11</f>
        <v/>
      </c>
      <c r="F12" s="24">
        <f>F10-F11</f>
        <v/>
      </c>
      <c r="G12" s="24">
        <f>G10-G11</f>
        <v/>
      </c>
      <c r="H12" s="24">
        <f>H10-H11</f>
        <v/>
      </c>
      <c r="I12" s="24">
        <f>I10-I11</f>
        <v/>
      </c>
      <c r="J12" s="24">
        <f>J10-J11</f>
        <v/>
      </c>
      <c r="K12" s="24">
        <f>K10-K11</f>
        <v/>
      </c>
      <c r="L12" s="24">
        <f>L10-L11</f>
        <v/>
      </c>
      <c r="M12" s="24">
        <f>M10-M11</f>
        <v/>
      </c>
      <c r="N12" s="24">
        <f>N10-N11</f>
        <v/>
      </c>
      <c r="O12" s="24">
        <f>O10-O11</f>
        <v/>
      </c>
      <c r="P12" s="24">
        <f>P10-P11</f>
        <v/>
      </c>
      <c r="Q12" s="24">
        <f>Q10-Q11</f>
        <v/>
      </c>
      <c r="R12" s="24">
        <f>R10-R11</f>
        <v/>
      </c>
      <c r="S12" s="24">
        <f>S10-S11</f>
        <v/>
      </c>
      <c r="T12" s="24">
        <f>T10-T11</f>
        <v/>
      </c>
      <c r="U12" s="24">
        <f>U10-U11</f>
        <v/>
      </c>
      <c r="V12" s="24">
        <f>V10-V11</f>
        <v/>
      </c>
    </row>
    <row r="13">
      <c r="A13" s="26" t="inlineStr">
        <is>
          <t>Ending balance</t>
        </is>
      </c>
      <c r="C13" s="23">
        <f>C9-C12</f>
        <v/>
      </c>
      <c r="D13" s="23">
        <f>D9-D12</f>
        <v/>
      </c>
      <c r="E13" s="23">
        <f>E9-E12</f>
        <v/>
      </c>
      <c r="F13" s="23">
        <f>F9-F12</f>
        <v/>
      </c>
      <c r="G13" s="23">
        <f>G9-G12</f>
        <v/>
      </c>
      <c r="H13" s="23">
        <f>H9-H12</f>
        <v/>
      </c>
      <c r="I13" s="23">
        <f>I9-I12</f>
        <v/>
      </c>
      <c r="J13" s="23">
        <f>J9-J12</f>
        <v/>
      </c>
      <c r="K13" s="23">
        <f>K9-K12</f>
        <v/>
      </c>
      <c r="L13" s="23">
        <f>L9-L12</f>
        <v/>
      </c>
      <c r="M13" s="23">
        <f>M9-M12</f>
        <v/>
      </c>
      <c r="N13" s="23">
        <f>N9-N12</f>
        <v/>
      </c>
      <c r="O13" s="23">
        <f>O9-O12</f>
        <v/>
      </c>
      <c r="P13" s="23">
        <f>P9-P12</f>
        <v/>
      </c>
      <c r="Q13" s="23">
        <f>Q9-Q12</f>
        <v/>
      </c>
      <c r="R13" s="23">
        <f>R9-R12</f>
        <v/>
      </c>
      <c r="S13" s="23">
        <f>S9-S12</f>
        <v/>
      </c>
      <c r="T13" s="23">
        <f>T9-T12</f>
        <v/>
      </c>
      <c r="U13" s="23">
        <f>U9-U12</f>
        <v/>
      </c>
      <c r="V13" s="23">
        <f>V9-V12</f>
        <v/>
      </c>
    </row>
    <row r="15">
      <c r="A15" s="26" t="inlineStr">
        <is>
          <t>Debt service (P+I)</t>
        </is>
      </c>
      <c r="C15" s="23">
        <f>C11+C12</f>
        <v/>
      </c>
      <c r="D15" s="23">
        <f>D11+D12</f>
        <v/>
      </c>
      <c r="E15" s="23">
        <f>E11+E12</f>
        <v/>
      </c>
      <c r="F15" s="23">
        <f>F11+F12</f>
        <v/>
      </c>
      <c r="G15" s="23">
        <f>G11+G12</f>
        <v/>
      </c>
      <c r="H15" s="23">
        <f>H11+H12</f>
        <v/>
      </c>
      <c r="I15" s="23">
        <f>I11+I12</f>
        <v/>
      </c>
      <c r="J15" s="23">
        <f>J11+J12</f>
        <v/>
      </c>
      <c r="K15" s="23">
        <f>K11+K12</f>
        <v/>
      </c>
      <c r="L15" s="23">
        <f>L11+L12</f>
        <v/>
      </c>
      <c r="M15" s="23">
        <f>M11+M12</f>
        <v/>
      </c>
      <c r="N15" s="23">
        <f>N11+N12</f>
        <v/>
      </c>
      <c r="O15" s="23">
        <f>O11+O12</f>
        <v/>
      </c>
      <c r="P15" s="23">
        <f>P11+P12</f>
        <v/>
      </c>
      <c r="Q15" s="23">
        <f>Q11+Q12</f>
        <v/>
      </c>
      <c r="R15" s="23">
        <f>R11+R12</f>
        <v/>
      </c>
      <c r="S15" s="23">
        <f>S11+S12</f>
        <v/>
      </c>
      <c r="T15" s="23">
        <f>T11+T12</f>
        <v/>
      </c>
      <c r="U15" s="23">
        <f>U11+U12</f>
        <v/>
      </c>
      <c r="V15" s="23">
        <f>V11+V12</f>
        <v/>
      </c>
    </row>
    <row r="16">
      <c r="A16" s="21" t="inlineStr">
        <is>
          <t>EBITDA (link)</t>
        </is>
      </c>
      <c r="C16" s="25">
        <f>'Operating Budget'!C23</f>
        <v/>
      </c>
      <c r="D16" s="25">
        <f>'Operating Budget'!D23</f>
        <v/>
      </c>
      <c r="E16" s="25">
        <f>'Operating Budget'!E23</f>
        <v/>
      </c>
      <c r="F16" s="25">
        <f>'Operating Budget'!F23</f>
        <v/>
      </c>
      <c r="G16" s="25">
        <f>'Operating Budget'!G23</f>
        <v/>
      </c>
      <c r="H16" s="25">
        <f>'Operating Budget'!H23</f>
        <v/>
      </c>
      <c r="I16" s="25">
        <f>'Operating Budget'!I23</f>
        <v/>
      </c>
      <c r="J16" s="25">
        <f>'Operating Budget'!J23</f>
        <v/>
      </c>
      <c r="K16" s="25">
        <f>'Operating Budget'!K23</f>
        <v/>
      </c>
      <c r="L16" s="25">
        <f>'Operating Budget'!L23</f>
        <v/>
      </c>
      <c r="M16" s="25">
        <f>'Operating Budget'!M23</f>
        <v/>
      </c>
      <c r="N16" s="25">
        <f>'Operating Budget'!N23</f>
        <v/>
      </c>
      <c r="O16" s="25">
        <f>'Operating Budget'!O23</f>
        <v/>
      </c>
      <c r="P16" s="25">
        <f>'Operating Budget'!P23</f>
        <v/>
      </c>
      <c r="Q16" s="25">
        <f>'Operating Budget'!Q23</f>
        <v/>
      </c>
      <c r="R16" s="25">
        <f>'Operating Budget'!R23</f>
        <v/>
      </c>
      <c r="S16" s="25">
        <f>'Operating Budget'!S23</f>
        <v/>
      </c>
      <c r="T16" s="25">
        <f>'Operating Budget'!T23</f>
        <v/>
      </c>
      <c r="U16" s="25">
        <f>'Operating Budget'!U23</f>
        <v/>
      </c>
      <c r="V16" s="25">
        <f>'Operating Budget'!V23</f>
        <v/>
      </c>
    </row>
    <row r="17">
      <c r="A17" s="26" t="inlineStr">
        <is>
          <t>DSCR (period)</t>
        </is>
      </c>
      <c r="C17" s="57">
        <f>IF(C15=0,0,C16/C15)</f>
        <v/>
      </c>
      <c r="D17" s="57">
        <f>IF(D15=0,0,D16/D15)</f>
        <v/>
      </c>
      <c r="E17" s="57">
        <f>IF(E15=0,0,E16/E15)</f>
        <v/>
      </c>
      <c r="F17" s="57">
        <f>IF(F15=0,0,F16/F15)</f>
        <v/>
      </c>
      <c r="G17" s="57">
        <f>IF(G15=0,0,G16/G15)</f>
        <v/>
      </c>
      <c r="H17" s="57">
        <f>IF(H15=0,0,H16/H15)</f>
        <v/>
      </c>
      <c r="I17" s="57">
        <f>IF(I15=0,0,I16/I15)</f>
        <v/>
      </c>
      <c r="J17" s="57">
        <f>IF(J15=0,0,J16/J15)</f>
        <v/>
      </c>
      <c r="K17" s="57">
        <f>IF(K15=0,0,K16/K15)</f>
        <v/>
      </c>
      <c r="L17" s="57">
        <f>IF(L15=0,0,L16/L15)</f>
        <v/>
      </c>
      <c r="M17" s="57">
        <f>IF(M15=0,0,M16/M15)</f>
        <v/>
      </c>
      <c r="N17" s="57">
        <f>IF(N15=0,0,N16/N15)</f>
        <v/>
      </c>
      <c r="O17" s="57">
        <f>IF(O15=0,0,O16/O15)</f>
        <v/>
      </c>
      <c r="P17" s="57">
        <f>IF(P15=0,0,P16/P15)</f>
        <v/>
      </c>
      <c r="Q17" s="57">
        <f>IF(Q15=0,0,Q16/Q15)</f>
        <v/>
      </c>
      <c r="R17" s="57">
        <f>IF(R15=0,0,R16/R15)</f>
        <v/>
      </c>
      <c r="S17" s="57">
        <f>IF(S15=0,0,S16/S15)</f>
        <v/>
      </c>
      <c r="T17" s="57">
        <f>IF(T15=0,0,T16/T15)</f>
        <v/>
      </c>
      <c r="U17" s="57">
        <f>IF(U15=0,0,U16/U15)</f>
        <v/>
      </c>
      <c r="V17" s="57">
        <f>IF(V15=0,0,V16/V15)</f>
        <v/>
      </c>
    </row>
  </sheetData>
  <mergeCells count="6">
    <mergeCell ref="A2:V2"/>
    <mergeCell ref="A1:V1"/>
    <mergeCell ref="O7:R7"/>
    <mergeCell ref="S7:V7"/>
    <mergeCell ref="A4:V4"/>
    <mergeCell ref="C7:N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Budget'!C32</f>
        <v/>
      </c>
      <c r="D7" s="25">
        <f>'Operating Budget'!D32</f>
        <v/>
      </c>
      <c r="E7" s="25">
        <f>'Operating Budget'!E32</f>
        <v/>
      </c>
      <c r="F7" s="25">
        <f>'Operating Budget'!F32</f>
        <v/>
      </c>
      <c r="G7" s="25">
        <f>'Operating Budget'!G32</f>
        <v/>
      </c>
      <c r="H7" s="25">
        <f>'Operating Budget'!H32</f>
        <v/>
      </c>
      <c r="I7" s="25">
        <f>'Operating Budget'!I32</f>
        <v/>
      </c>
      <c r="J7" s="25">
        <f>'Operating Budget'!J32</f>
        <v/>
      </c>
      <c r="K7" s="25">
        <f>'Operating Budget'!K32</f>
        <v/>
      </c>
      <c r="L7" s="25">
        <f>'Operating Budget'!L32</f>
        <v/>
      </c>
      <c r="M7" s="25">
        <f>'Operating Budget'!M32</f>
        <v/>
      </c>
      <c r="N7" s="25">
        <f>'Operating Budget'!N32</f>
        <v/>
      </c>
      <c r="O7" s="25">
        <f>'Operating Budget'!O32</f>
        <v/>
      </c>
      <c r="P7" s="25">
        <f>'Operating Budget'!P32</f>
        <v/>
      </c>
      <c r="Q7" s="25">
        <f>'Operating Budget'!Q32</f>
        <v/>
      </c>
      <c r="R7" s="25">
        <f>'Operating Budget'!R32</f>
        <v/>
      </c>
      <c r="S7" s="25">
        <f>'Operating Budget'!S32</f>
        <v/>
      </c>
      <c r="T7" s="25">
        <f>'Operating Budget'!T32</f>
        <v/>
      </c>
      <c r="U7" s="25">
        <f>'Operating Budget'!U32</f>
        <v/>
      </c>
      <c r="V7" s="25">
        <f>'Operating Budget'!V32</f>
        <v/>
      </c>
    </row>
    <row r="8">
      <c r="A8" s="4" t="inlineStr">
        <is>
          <t>+ Depreciation &amp; amortization</t>
        </is>
      </c>
      <c r="C8" s="25">
        <f>'Operating Budget'!C27</f>
        <v/>
      </c>
      <c r="D8" s="25">
        <f>'Operating Budget'!D27</f>
        <v/>
      </c>
      <c r="E8" s="25">
        <f>'Operating Budget'!E27</f>
        <v/>
      </c>
      <c r="F8" s="25">
        <f>'Operating Budget'!F27</f>
        <v/>
      </c>
      <c r="G8" s="25">
        <f>'Operating Budget'!G27</f>
        <v/>
      </c>
      <c r="H8" s="25">
        <f>'Operating Budget'!H27</f>
        <v/>
      </c>
      <c r="I8" s="25">
        <f>'Operating Budget'!I27</f>
        <v/>
      </c>
      <c r="J8" s="25">
        <f>'Operating Budget'!J27</f>
        <v/>
      </c>
      <c r="K8" s="25">
        <f>'Operating Budget'!K27</f>
        <v/>
      </c>
      <c r="L8" s="25">
        <f>'Operating Budget'!L27</f>
        <v/>
      </c>
      <c r="M8" s="25">
        <f>'Operating Budget'!M27</f>
        <v/>
      </c>
      <c r="N8" s="25">
        <f>'Operating Budget'!N27</f>
        <v/>
      </c>
      <c r="O8" s="25">
        <f>'Operating Budget'!O27</f>
        <v/>
      </c>
      <c r="P8" s="25">
        <f>'Operating Budget'!P27</f>
        <v/>
      </c>
      <c r="Q8" s="25">
        <f>'Operating Budget'!Q27</f>
        <v/>
      </c>
      <c r="R8" s="25">
        <f>'Operating Budget'!R27</f>
        <v/>
      </c>
      <c r="S8" s="25">
        <f>'Operating Budget'!S27</f>
        <v/>
      </c>
      <c r="T8" s="25">
        <f>'Operating Budget'!T27</f>
        <v/>
      </c>
      <c r="U8" s="25">
        <f>'Operating Budget'!U27</f>
        <v/>
      </c>
      <c r="V8" s="25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Model'!C16*Inputs!$B$112/'Revenue Model'!C11</f>
        <v/>
      </c>
      <c r="D9" s="25">
        <f>'Revenue Model'!D16*Inputs!$B$112/'Revenue Model'!D11</f>
        <v/>
      </c>
      <c r="E9" s="25">
        <f>'Revenue Model'!E16*Inputs!$B$112/'Revenue Model'!E11</f>
        <v/>
      </c>
      <c r="F9" s="25">
        <f>'Revenue Model'!F16*Inputs!$B$112/'Revenue Model'!F11</f>
        <v/>
      </c>
      <c r="G9" s="25">
        <f>'Revenue Model'!G16*Inputs!$B$112/'Revenue Model'!G11</f>
        <v/>
      </c>
      <c r="H9" s="25">
        <f>'Revenue Model'!H16*Inputs!$B$112/'Revenue Model'!H11</f>
        <v/>
      </c>
      <c r="I9" s="25">
        <f>'Revenue Model'!I16*Inputs!$B$112/'Revenue Model'!I11</f>
        <v/>
      </c>
      <c r="J9" s="25">
        <f>'Revenue Model'!J16*Inputs!$B$112/'Revenue Model'!J11</f>
        <v/>
      </c>
      <c r="K9" s="25">
        <f>'Revenue Model'!K16*Inputs!$B$112/'Revenue Model'!K11</f>
        <v/>
      </c>
      <c r="L9" s="25">
        <f>'Revenue Model'!L16*Inputs!$B$112/'Revenue Model'!L11</f>
        <v/>
      </c>
      <c r="M9" s="25">
        <f>'Revenue Model'!M16*Inputs!$B$112/'Revenue Model'!M11</f>
        <v/>
      </c>
      <c r="N9" s="25">
        <f>'Revenue Model'!N16*Inputs!$B$112/'Revenue Model'!N11</f>
        <v/>
      </c>
      <c r="O9" s="25">
        <f>'Revenue Model'!O16*Inputs!$B$112/'Revenue Model'!O11</f>
        <v/>
      </c>
      <c r="P9" s="25">
        <f>'Revenue Model'!P16*Inputs!$B$112/'Revenue Model'!P11</f>
        <v/>
      </c>
      <c r="Q9" s="25">
        <f>'Revenue Model'!Q16*Inputs!$B$112/'Revenue Model'!Q11</f>
        <v/>
      </c>
      <c r="R9" s="25">
        <f>'Revenue Model'!R16*Inputs!$B$112/'Revenue Model'!R11</f>
        <v/>
      </c>
      <c r="S9" s="25">
        <f>'Revenue Model'!S16*Inputs!$B$112/'Revenue Model'!S11</f>
        <v/>
      </c>
      <c r="T9" s="25">
        <f>'Revenue Model'!T16*Inputs!$B$112/'Revenue Model'!T11</f>
        <v/>
      </c>
      <c r="U9" s="25">
        <f>'Revenue Model'!U16*Inputs!$B$112/'Revenue Model'!U11</f>
        <v/>
      </c>
      <c r="V9" s="25">
        <f>'Revenue Model'!V16*Inputs!$B$112/'Revenue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Budget'!C21+'Operating Budget'!C13)*Inputs!$B$113/'Revenue Model'!C11</f>
        <v/>
      </c>
      <c r="D10" s="25">
        <f>('Operating Budget'!D20+'Operating Budget'!D21+'Operating Budget'!D13)*Inputs!$B$113/'Revenue Model'!D11</f>
        <v/>
      </c>
      <c r="E10" s="25">
        <f>('Operating Budget'!E20+'Operating Budget'!E21+'Operating Budget'!E13)*Inputs!$B$113/'Revenue Model'!E11</f>
        <v/>
      </c>
      <c r="F10" s="25">
        <f>('Operating Budget'!F20+'Operating Budget'!F21+'Operating Budget'!F13)*Inputs!$B$113/'Revenue Model'!F11</f>
        <v/>
      </c>
      <c r="G10" s="25">
        <f>('Operating Budget'!G20+'Operating Budget'!G21+'Operating Budget'!G13)*Inputs!$B$113/'Revenue Model'!G11</f>
        <v/>
      </c>
      <c r="H10" s="25">
        <f>('Operating Budget'!H20+'Operating Budget'!H21+'Operating Budget'!H13)*Inputs!$B$113/'Revenue Model'!H11</f>
        <v/>
      </c>
      <c r="I10" s="25">
        <f>('Operating Budget'!I20+'Operating Budget'!I21+'Operating Budget'!I13)*Inputs!$B$113/'Revenue Model'!I11</f>
        <v/>
      </c>
      <c r="J10" s="25">
        <f>('Operating Budget'!J20+'Operating Budget'!J21+'Operating Budget'!J13)*Inputs!$B$113/'Revenue Model'!J11</f>
        <v/>
      </c>
      <c r="K10" s="25">
        <f>('Operating Budget'!K20+'Operating Budget'!K21+'Operating Budget'!K13)*Inputs!$B$113/'Revenue Model'!K11</f>
        <v/>
      </c>
      <c r="L10" s="25">
        <f>('Operating Budget'!L20+'Operating Budget'!L21+'Operating Budget'!L13)*Inputs!$B$113/'Revenue Model'!L11</f>
        <v/>
      </c>
      <c r="M10" s="25">
        <f>('Operating Budget'!M20+'Operating Budget'!M21+'Operating Budget'!M13)*Inputs!$B$113/'Revenue Model'!M11</f>
        <v/>
      </c>
      <c r="N10" s="25">
        <f>('Operating Budget'!N20+'Operating Budget'!N21+'Operating Budget'!N13)*Inputs!$B$113/'Revenue Model'!N11</f>
        <v/>
      </c>
      <c r="O10" s="25">
        <f>('Operating Budget'!O20+'Operating Budget'!O21+'Operating Budget'!O13)*Inputs!$B$113/'Revenue Model'!O11</f>
        <v/>
      </c>
      <c r="P10" s="25">
        <f>('Operating Budget'!P20+'Operating Budget'!P21+'Operating Budget'!P13)*Inputs!$B$113/'Revenue Model'!P11</f>
        <v/>
      </c>
      <c r="Q10" s="25">
        <f>('Operating Budget'!Q20+'Operating Budget'!Q21+'Operating Budget'!Q13)*Inputs!$B$113/'Revenue Model'!Q11</f>
        <v/>
      </c>
      <c r="R10" s="25">
        <f>('Operating Budget'!R20+'Operating Budget'!R21+'Operating Budget'!R13)*Inputs!$B$113/'Revenue Model'!R11</f>
        <v/>
      </c>
      <c r="S10" s="25">
        <f>('Operating Budget'!S20+'Operating Budget'!S21+'Operating Budget'!S13)*Inputs!$B$113/'Revenue Model'!S11</f>
        <v/>
      </c>
      <c r="T10" s="25">
        <f>('Operating Budget'!T20+'Operating Budget'!T21+'Operating Budget'!T13)*Inputs!$B$113/'Revenue Model'!T11</f>
        <v/>
      </c>
      <c r="U10" s="25">
        <f>('Operating Budget'!U20+'Operating Budget'!U21+'Operating Budget'!U13)*Inputs!$B$113/'Revenue Model'!U11</f>
        <v/>
      </c>
      <c r="V10" s="25">
        <f>('Operating Budget'!V20+'Operating Budget'!V21+'Operating Budget'!V13)*Inputs!$B$113/'Revenue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5">
        <f>-'Debt Schedule'!C12</f>
        <v/>
      </c>
      <c r="D14" s="25">
        <f>-'Debt Schedule'!D12</f>
        <v/>
      </c>
      <c r="E14" s="25">
        <f>-'Debt Schedule'!E12</f>
        <v/>
      </c>
      <c r="F14" s="25">
        <f>-'Debt Schedule'!F12</f>
        <v/>
      </c>
      <c r="G14" s="25">
        <f>-'Debt Schedule'!G12</f>
        <v/>
      </c>
      <c r="H14" s="25">
        <f>-'Debt Schedule'!H12</f>
        <v/>
      </c>
      <c r="I14" s="25">
        <f>-'Debt Schedule'!I12</f>
        <v/>
      </c>
      <c r="J14" s="25">
        <f>-'Debt Schedule'!J12</f>
        <v/>
      </c>
      <c r="K14" s="25">
        <f>-'Debt Schedule'!K12</f>
        <v/>
      </c>
      <c r="L14" s="25">
        <f>-'Debt Schedule'!L12</f>
        <v/>
      </c>
      <c r="M14" s="25">
        <f>-'Debt Schedule'!M12</f>
        <v/>
      </c>
      <c r="N14" s="25">
        <f>-'Debt Schedule'!N12</f>
        <v/>
      </c>
      <c r="O14" s="25">
        <f>-'Debt Schedule'!O12</f>
        <v/>
      </c>
      <c r="P14" s="25">
        <f>-'Debt Schedule'!P12</f>
        <v/>
      </c>
      <c r="Q14" s="25">
        <f>-'Debt Schedule'!Q12</f>
        <v/>
      </c>
      <c r="R14" s="25">
        <f>-'Debt Schedule'!R12</f>
        <v/>
      </c>
      <c r="S14" s="25">
        <f>-'Debt Schedule'!S12</f>
        <v/>
      </c>
      <c r="T14" s="25">
        <f>-'Debt Schedule'!T12</f>
        <v/>
      </c>
      <c r="U14" s="25">
        <f>-'Debt Schedule'!U12</f>
        <v/>
      </c>
      <c r="V14" s="25">
        <f>-'Debt Schedule'!V12</f>
        <v/>
      </c>
    </row>
    <row r="15">
      <c r="A15" s="14" t="inlineStr">
        <is>
          <t>Working-capital line interest</t>
        </is>
      </c>
      <c r="B15" s="24">
        <f>0</f>
        <v/>
      </c>
      <c r="C15" s="24">
        <f>B19*Inputs!$B$96*1/12</f>
        <v/>
      </c>
      <c r="D15" s="24">
        <f>C19*Inputs!$B$96*1/12</f>
        <v/>
      </c>
      <c r="E15" s="24">
        <f>D19*Inputs!$B$96*1/12</f>
        <v/>
      </c>
      <c r="F15" s="24">
        <f>E19*Inputs!$B$96*1/12</f>
        <v/>
      </c>
      <c r="G15" s="24">
        <f>F19*Inputs!$B$96*1/12</f>
        <v/>
      </c>
      <c r="H15" s="24">
        <f>G19*Inputs!$B$96*1/12</f>
        <v/>
      </c>
      <c r="I15" s="24">
        <f>H19*Inputs!$B$96*1/12</f>
        <v/>
      </c>
      <c r="J15" s="24">
        <f>I19*Inputs!$B$96*1/12</f>
        <v/>
      </c>
      <c r="K15" s="24">
        <f>J19*Inputs!$B$96*1/12</f>
        <v/>
      </c>
      <c r="L15" s="24">
        <f>K19*Inputs!$B$96*1/12</f>
        <v/>
      </c>
      <c r="M15" s="24">
        <f>L19*Inputs!$B$96*1/12</f>
        <v/>
      </c>
      <c r="N15" s="24">
        <f>M19*Inputs!$B$96*1/12</f>
        <v/>
      </c>
      <c r="O15" s="24">
        <f>N19*Inputs!$B$96*3/12</f>
        <v/>
      </c>
      <c r="P15" s="24">
        <f>O19*Inputs!$B$96*3/12</f>
        <v/>
      </c>
      <c r="Q15" s="24">
        <f>P19*Inputs!$B$96*3/12</f>
        <v/>
      </c>
      <c r="R15" s="24">
        <f>Q19*Inputs!$B$96*3/12</f>
        <v/>
      </c>
      <c r="S15" s="24">
        <f>R19*Inputs!$B$96*3/12</f>
        <v/>
      </c>
      <c r="T15" s="24">
        <f>S19*Inputs!$B$96*3/12</f>
        <v/>
      </c>
      <c r="U15" s="24">
        <f>T19*Inputs!$B$96*3/12</f>
        <v/>
      </c>
      <c r="V15" s="24">
        <f>U19*Inputs!$B$96*3/12</f>
        <v/>
      </c>
    </row>
    <row r="16">
      <c r="A16" s="4" t="inlineStr">
        <is>
          <t>Beginning cash</t>
        </is>
      </c>
      <c r="B16" s="24">
        <f>0</f>
        <v/>
      </c>
      <c r="C16" s="25">
        <f>Inputs!$B$117</f>
        <v/>
      </c>
      <c r="D16" s="24">
        <f>C20</f>
        <v/>
      </c>
      <c r="E16" s="24">
        <f>D20</f>
        <v/>
      </c>
      <c r="F16" s="24">
        <f>E20</f>
        <v/>
      </c>
      <c r="G16" s="24">
        <f>F20</f>
        <v/>
      </c>
      <c r="H16" s="24">
        <f>G20</f>
        <v/>
      </c>
      <c r="I16" s="24">
        <f>H20</f>
        <v/>
      </c>
      <c r="J16" s="24">
        <f>I20</f>
        <v/>
      </c>
      <c r="K16" s="24">
        <f>J20</f>
        <v/>
      </c>
      <c r="L16" s="24">
        <f>K20</f>
        <v/>
      </c>
      <c r="M16" s="24">
        <f>L20</f>
        <v/>
      </c>
      <c r="N16" s="24">
        <f>M20</f>
        <v/>
      </c>
      <c r="O16" s="24">
        <f>N20</f>
        <v/>
      </c>
      <c r="P16" s="24">
        <f>O20</f>
        <v/>
      </c>
      <c r="Q16" s="24">
        <f>P20</f>
        <v/>
      </c>
      <c r="R16" s="24">
        <f>Q20</f>
        <v/>
      </c>
      <c r="S16" s="24">
        <f>R20</f>
        <v/>
      </c>
      <c r="T16" s="24">
        <f>S20</f>
        <v/>
      </c>
      <c r="U16" s="24">
        <f>T20</f>
        <v/>
      </c>
      <c r="V16" s="24">
        <f>U20</f>
        <v/>
      </c>
    </row>
    <row r="17">
      <c r="A17" s="21" t="inlineStr">
        <is>
          <t>Cash before LOC sweep</t>
        </is>
      </c>
      <c r="C17" s="24">
        <f>C16+C13+C14</f>
        <v/>
      </c>
      <c r="D17" s="24">
        <f>D16+D13+D14</f>
        <v/>
      </c>
      <c r="E17" s="24">
        <f>E16+E13+E14</f>
        <v/>
      </c>
      <c r="F17" s="24">
        <f>F16+F13+F14</f>
        <v/>
      </c>
      <c r="G17" s="24">
        <f>G16+G13+G14</f>
        <v/>
      </c>
      <c r="H17" s="24">
        <f>H16+H13+H14</f>
        <v/>
      </c>
      <c r="I17" s="24">
        <f>I16+I13+I14</f>
        <v/>
      </c>
      <c r="J17" s="24">
        <f>J16+J13+J14</f>
        <v/>
      </c>
      <c r="K17" s="24">
        <f>K16+K13+K14</f>
        <v/>
      </c>
      <c r="L17" s="24">
        <f>L16+L13+L14</f>
        <v/>
      </c>
      <c r="M17" s="24">
        <f>M16+M13+M14</f>
        <v/>
      </c>
      <c r="N17" s="24">
        <f>N16+N13+N14</f>
        <v/>
      </c>
      <c r="O17" s="24">
        <f>O16+O13+O14</f>
        <v/>
      </c>
      <c r="P17" s="24">
        <f>P16+P13+P14</f>
        <v/>
      </c>
      <c r="Q17" s="24">
        <f>Q16+Q13+Q14</f>
        <v/>
      </c>
      <c r="R17" s="24">
        <f>R16+R13+R14</f>
        <v/>
      </c>
      <c r="S17" s="24">
        <f>S16+S13+S14</f>
        <v/>
      </c>
      <c r="T17" s="24">
        <f>T16+T13+T14</f>
        <v/>
      </c>
      <c r="U17" s="24">
        <f>U16+U13+U14</f>
        <v/>
      </c>
      <c r="V17" s="24">
        <f>V16+V13+V14</f>
        <v/>
      </c>
    </row>
    <row r="18">
      <c r="A18" s="4" t="inlineStr">
        <is>
          <t>LOC draw / (repay)</t>
        </is>
      </c>
      <c r="C18" s="24">
        <f>IF(C17&lt;Inputs!$B$97,Inputs!$B$97-C17,-MIN(B19,MAX(0,C17-Inputs!$B$97)))</f>
        <v/>
      </c>
      <c r="D18" s="24">
        <f>IF(D17&lt;Inputs!$B$97,Inputs!$B$97-D17,-MIN(C19,MAX(0,D17-Inputs!$B$97)))</f>
        <v/>
      </c>
      <c r="E18" s="24">
        <f>IF(E17&lt;Inputs!$B$97,Inputs!$B$97-E17,-MIN(D19,MAX(0,E17-Inputs!$B$97)))</f>
        <v/>
      </c>
      <c r="F18" s="24">
        <f>IF(F17&lt;Inputs!$B$97,Inputs!$B$97-F17,-MIN(E19,MAX(0,F17-Inputs!$B$97)))</f>
        <v/>
      </c>
      <c r="G18" s="24">
        <f>IF(G17&lt;Inputs!$B$97,Inputs!$B$97-G17,-MIN(F19,MAX(0,G17-Inputs!$B$97)))</f>
        <v/>
      </c>
      <c r="H18" s="24">
        <f>IF(H17&lt;Inputs!$B$97,Inputs!$B$97-H17,-MIN(G19,MAX(0,H17-Inputs!$B$97)))</f>
        <v/>
      </c>
      <c r="I18" s="24">
        <f>IF(I17&lt;Inputs!$B$97,Inputs!$B$97-I17,-MIN(H19,MAX(0,I17-Inputs!$B$97)))</f>
        <v/>
      </c>
      <c r="J18" s="24">
        <f>IF(J17&lt;Inputs!$B$97,Inputs!$B$97-J17,-MIN(I19,MAX(0,J17-Inputs!$B$97)))</f>
        <v/>
      </c>
      <c r="K18" s="24">
        <f>IF(K17&lt;Inputs!$B$97,Inputs!$B$97-K17,-MIN(J19,MAX(0,K17-Inputs!$B$97)))</f>
        <v/>
      </c>
      <c r="L18" s="24">
        <f>IF(L17&lt;Inputs!$B$97,Inputs!$B$97-L17,-MIN(K19,MAX(0,L17-Inputs!$B$97)))</f>
        <v/>
      </c>
      <c r="M18" s="24">
        <f>IF(M17&lt;Inputs!$B$97,Inputs!$B$97-M17,-MIN(L19,MAX(0,M17-Inputs!$B$97)))</f>
        <v/>
      </c>
      <c r="N18" s="24">
        <f>IF(N17&lt;Inputs!$B$97,Inputs!$B$97-N17,-MIN(M19,MAX(0,N17-Inputs!$B$97)))</f>
        <v/>
      </c>
      <c r="O18" s="24">
        <f>IF(O17&lt;Inputs!$B$97,Inputs!$B$97-O17,-MIN(N19,MAX(0,O17-Inputs!$B$97)))</f>
        <v/>
      </c>
      <c r="P18" s="24">
        <f>IF(P17&lt;Inputs!$B$97,Inputs!$B$97-P17,-MIN(O19,MAX(0,P17-Inputs!$B$97)))</f>
        <v/>
      </c>
      <c r="Q18" s="24">
        <f>IF(Q17&lt;Inputs!$B$97,Inputs!$B$97-Q17,-MIN(P19,MAX(0,Q17-Inputs!$B$97)))</f>
        <v/>
      </c>
      <c r="R18" s="24">
        <f>IF(R17&lt;Inputs!$B$97,Inputs!$B$97-R17,-MIN(Q19,MAX(0,R17-Inputs!$B$97)))</f>
        <v/>
      </c>
      <c r="S18" s="24">
        <f>IF(S17&lt;Inputs!$B$97,Inputs!$B$97-S17,-MIN(R19,MAX(0,S17-Inputs!$B$97)))</f>
        <v/>
      </c>
      <c r="T18" s="24">
        <f>IF(T17&lt;Inputs!$B$97,Inputs!$B$97-T17,-MIN(S19,MAX(0,T17-Inputs!$B$97)))</f>
        <v/>
      </c>
      <c r="U18" s="24">
        <f>IF(U17&lt;Inputs!$B$97,Inputs!$B$97-U17,-MIN(T19,MAX(0,U17-Inputs!$B$97)))</f>
        <v/>
      </c>
      <c r="V18" s="24">
        <f>IF(V17&lt;Inputs!$B$97,Inputs!$B$97-V17,-MIN(U19,MAX(0,V17-Inputs!$B$97)))</f>
        <v/>
      </c>
    </row>
    <row r="19">
      <c r="A19" s="26" t="inlineStr">
        <is>
          <t>Working-capital line balance</t>
        </is>
      </c>
      <c r="B19" s="24">
        <f>0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M19+N18</f>
        <v/>
      </c>
      <c r="O19" s="23">
        <f>N19+O18</f>
        <v/>
      </c>
      <c r="P19" s="23">
        <f>O19+P18</f>
        <v/>
      </c>
      <c r="Q19" s="23">
        <f>P19+Q18</f>
        <v/>
      </c>
      <c r="R19" s="23">
        <f>Q19+R18</f>
        <v/>
      </c>
      <c r="S19" s="23">
        <f>R19+S18</f>
        <v/>
      </c>
      <c r="T19" s="23">
        <f>S19+T18</f>
        <v/>
      </c>
      <c r="U19" s="23">
        <f>T19+U18</f>
        <v/>
      </c>
      <c r="V19" s="23">
        <f>U19+V18</f>
        <v/>
      </c>
    </row>
    <row r="20">
      <c r="A20" s="26" t="inlineStr">
        <is>
          <t>ENDING CASH</t>
        </is>
      </c>
      <c r="C20" s="45">
        <f>C17+C18</f>
        <v/>
      </c>
      <c r="D20" s="45">
        <f>D17+D18</f>
        <v/>
      </c>
      <c r="E20" s="45">
        <f>E17+E18</f>
        <v/>
      </c>
      <c r="F20" s="45">
        <f>F17+F18</f>
        <v/>
      </c>
      <c r="G20" s="45">
        <f>G17+G18</f>
        <v/>
      </c>
      <c r="H20" s="45">
        <f>H17+H18</f>
        <v/>
      </c>
      <c r="I20" s="45">
        <f>I17+I18</f>
        <v/>
      </c>
      <c r="J20" s="45">
        <f>J17+J18</f>
        <v/>
      </c>
      <c r="K20" s="45">
        <f>K17+K18</f>
        <v/>
      </c>
      <c r="L20" s="45">
        <f>L17+L18</f>
        <v/>
      </c>
      <c r="M20" s="45">
        <f>M17+M18</f>
        <v/>
      </c>
      <c r="N20" s="45">
        <f>N17+N18</f>
        <v/>
      </c>
      <c r="O20" s="45">
        <f>O17+O18</f>
        <v/>
      </c>
      <c r="P20" s="45">
        <f>P17+P18</f>
        <v/>
      </c>
      <c r="Q20" s="45">
        <f>Q17+Q18</f>
        <v/>
      </c>
      <c r="R20" s="45">
        <f>R17+R18</f>
        <v/>
      </c>
      <c r="S20" s="45">
        <f>S17+S18</f>
        <v/>
      </c>
      <c r="T20" s="45">
        <f>T17+T18</f>
        <v/>
      </c>
      <c r="U20" s="45">
        <f>U17+U18</f>
        <v/>
      </c>
      <c r="V20" s="45">
        <f>V17+V18</f>
        <v/>
      </c>
    </row>
    <row r="22">
      <c r="A22" s="3" t="inlineStr">
        <is>
          <t>BALANCE SHEET</t>
        </is>
      </c>
    </row>
    <row r="23">
      <c r="A23" s="4" t="inlineStr">
        <is>
          <t>Cash</t>
        </is>
      </c>
      <c r="B23" s="25">
        <f>Inputs!$B$117</f>
        <v/>
      </c>
      <c r="C23" s="24">
        <f>C20</f>
        <v/>
      </c>
      <c r="D23" s="24">
        <f>D20</f>
        <v/>
      </c>
      <c r="E23" s="24">
        <f>E20</f>
        <v/>
      </c>
      <c r="F23" s="24">
        <f>F20</f>
        <v/>
      </c>
      <c r="G23" s="24">
        <f>G20</f>
        <v/>
      </c>
      <c r="H23" s="24">
        <f>H20</f>
        <v/>
      </c>
      <c r="I23" s="24">
        <f>I20</f>
        <v/>
      </c>
      <c r="J23" s="24">
        <f>J20</f>
        <v/>
      </c>
      <c r="K23" s="24">
        <f>K20</f>
        <v/>
      </c>
      <c r="L23" s="24">
        <f>L20</f>
        <v/>
      </c>
      <c r="M23" s="24">
        <f>M20</f>
        <v/>
      </c>
      <c r="N23" s="24">
        <f>N20</f>
        <v/>
      </c>
      <c r="O23" s="24">
        <f>O20</f>
        <v/>
      </c>
      <c r="P23" s="24">
        <f>P20</f>
        <v/>
      </c>
      <c r="Q23" s="24">
        <f>Q20</f>
        <v/>
      </c>
      <c r="R23" s="24">
        <f>R20</f>
        <v/>
      </c>
      <c r="S23" s="24">
        <f>S20</f>
        <v/>
      </c>
      <c r="T23" s="24">
        <f>T20</f>
        <v/>
      </c>
      <c r="U23" s="24">
        <f>U20</f>
        <v/>
      </c>
      <c r="V23" s="24">
        <f>V20</f>
        <v/>
      </c>
    </row>
    <row r="24">
      <c r="A24" s="4" t="inlineStr">
        <is>
          <t>Accounts receivable</t>
        </is>
      </c>
      <c r="B24" s="24">
        <f>0</f>
        <v/>
      </c>
      <c r="C24" s="24">
        <f>C9</f>
        <v/>
      </c>
      <c r="D24" s="24">
        <f>D9</f>
        <v/>
      </c>
      <c r="E24" s="24">
        <f>E9</f>
        <v/>
      </c>
      <c r="F24" s="24">
        <f>F9</f>
        <v/>
      </c>
      <c r="G24" s="24">
        <f>G9</f>
        <v/>
      </c>
      <c r="H24" s="24">
        <f>H9</f>
        <v/>
      </c>
      <c r="I24" s="24">
        <f>I9</f>
        <v/>
      </c>
      <c r="J24" s="24">
        <f>J9</f>
        <v/>
      </c>
      <c r="K24" s="24">
        <f>K9</f>
        <v/>
      </c>
      <c r="L24" s="24">
        <f>L9</f>
        <v/>
      </c>
      <c r="M24" s="24">
        <f>M9</f>
        <v/>
      </c>
      <c r="N24" s="24">
        <f>N9</f>
        <v/>
      </c>
      <c r="O24" s="24">
        <f>O9</f>
        <v/>
      </c>
      <c r="P24" s="24">
        <f>P9</f>
        <v/>
      </c>
      <c r="Q24" s="24">
        <f>Q9</f>
        <v/>
      </c>
      <c r="R24" s="24">
        <f>R9</f>
        <v/>
      </c>
      <c r="S24" s="24">
        <f>S9</f>
        <v/>
      </c>
      <c r="T24" s="24">
        <f>T9</f>
        <v/>
      </c>
      <c r="U24" s="24">
        <f>U9</f>
        <v/>
      </c>
      <c r="V24" s="24">
        <f>V9</f>
        <v/>
      </c>
    </row>
    <row r="25">
      <c r="A25" s="4" t="inlineStr">
        <is>
          <t>PP&amp;E, net</t>
        </is>
      </c>
      <c r="B25" s="25">
        <f>Inputs!$B$98</f>
        <v/>
      </c>
      <c r="C25" s="24">
        <f>MAX(0,B25-C8*(Inputs!$B$98/(Inputs!$B$98+Inputs!$B$116)))</f>
        <v/>
      </c>
      <c r="D25" s="24">
        <f>MAX(0,C25-D8*(Inputs!$B$98/(Inputs!$B$98+Inputs!$B$116)))</f>
        <v/>
      </c>
      <c r="E25" s="24">
        <f>MAX(0,D25-E8*(Inputs!$B$98/(Inputs!$B$98+Inputs!$B$116)))</f>
        <v/>
      </c>
      <c r="F25" s="24">
        <f>MAX(0,E25-F8*(Inputs!$B$98/(Inputs!$B$98+Inputs!$B$116)))</f>
        <v/>
      </c>
      <c r="G25" s="24">
        <f>MAX(0,F25-G8*(Inputs!$B$98/(Inputs!$B$98+Inputs!$B$116)))</f>
        <v/>
      </c>
      <c r="H25" s="24">
        <f>MAX(0,G25-H8*(Inputs!$B$98/(Inputs!$B$98+Inputs!$B$116)))</f>
        <v/>
      </c>
      <c r="I25" s="24">
        <f>MAX(0,H25-I8*(Inputs!$B$98/(Inputs!$B$98+Inputs!$B$116)))</f>
        <v/>
      </c>
      <c r="J25" s="24">
        <f>MAX(0,I25-J8*(Inputs!$B$98/(Inputs!$B$98+Inputs!$B$116)))</f>
        <v/>
      </c>
      <c r="K25" s="24">
        <f>MAX(0,J25-K8*(Inputs!$B$98/(Inputs!$B$98+Inputs!$B$116)))</f>
        <v/>
      </c>
      <c r="L25" s="24">
        <f>MAX(0,K25-L8*(Inputs!$B$98/(Inputs!$B$98+Inputs!$B$116)))</f>
        <v/>
      </c>
      <c r="M25" s="24">
        <f>MAX(0,L25-M8*(Inputs!$B$98/(Inputs!$B$98+Inputs!$B$116)))</f>
        <v/>
      </c>
      <c r="N25" s="24">
        <f>MAX(0,M25-N8*(Inputs!$B$98/(Inputs!$B$98+Inputs!$B$116)))</f>
        <v/>
      </c>
      <c r="O25" s="24">
        <f>MAX(0,N25-O8*(Inputs!$B$98/(Inputs!$B$98+Inputs!$B$116)))</f>
        <v/>
      </c>
      <c r="P25" s="24">
        <f>MAX(0,O25-P8*(Inputs!$B$98/(Inputs!$B$98+Inputs!$B$116)))</f>
        <v/>
      </c>
      <c r="Q25" s="24">
        <f>MAX(0,P25-Q8*(Inputs!$B$98/(Inputs!$B$98+Inputs!$B$116)))</f>
        <v/>
      </c>
      <c r="R25" s="24">
        <f>MAX(0,Q25-R8*(Inputs!$B$98/(Inputs!$B$98+Inputs!$B$116)))</f>
        <v/>
      </c>
      <c r="S25" s="24">
        <f>MAX(0,R25-S8*(Inputs!$B$98/(Inputs!$B$98+Inputs!$B$116)))</f>
        <v/>
      </c>
      <c r="T25" s="24">
        <f>MAX(0,S25-T8*(Inputs!$B$98/(Inputs!$B$98+Inputs!$B$116)))</f>
        <v/>
      </c>
      <c r="U25" s="24">
        <f>MAX(0,T25-U8*(Inputs!$B$98/(Inputs!$B$98+Inputs!$B$116)))</f>
        <v/>
      </c>
      <c r="V25" s="24">
        <f>MAX(0,U25-V8*(Inputs!$B$98/(Inputs!$B$98+Inputs!$B$116)))</f>
        <v/>
      </c>
    </row>
    <row r="26">
      <c r="A26" s="4" t="inlineStr">
        <is>
          <t>Startup &amp; organizational costs, net</t>
        </is>
      </c>
      <c r="B26" s="25">
        <f>Inputs!$B$116</f>
        <v/>
      </c>
      <c r="C26" s="24">
        <f>MAX(0,B26-C8*(Inputs!$B$116/(Inputs!$B$98+Inputs!$B$116)))</f>
        <v/>
      </c>
      <c r="D26" s="24">
        <f>MAX(0,C26-D8*(Inputs!$B$116/(Inputs!$B$98+Inputs!$B$116)))</f>
        <v/>
      </c>
      <c r="E26" s="24">
        <f>MAX(0,D26-E8*(Inputs!$B$116/(Inputs!$B$98+Inputs!$B$116)))</f>
        <v/>
      </c>
      <c r="F26" s="24">
        <f>MAX(0,E26-F8*(Inputs!$B$116/(Inputs!$B$98+Inputs!$B$116)))</f>
        <v/>
      </c>
      <c r="G26" s="24">
        <f>MAX(0,F26-G8*(Inputs!$B$116/(Inputs!$B$98+Inputs!$B$116)))</f>
        <v/>
      </c>
      <c r="H26" s="24">
        <f>MAX(0,G26-H8*(Inputs!$B$116/(Inputs!$B$98+Inputs!$B$116)))</f>
        <v/>
      </c>
      <c r="I26" s="24">
        <f>MAX(0,H26-I8*(Inputs!$B$116/(Inputs!$B$98+Inputs!$B$116)))</f>
        <v/>
      </c>
      <c r="J26" s="24">
        <f>MAX(0,I26-J8*(Inputs!$B$116/(Inputs!$B$98+Inputs!$B$116)))</f>
        <v/>
      </c>
      <c r="K26" s="24">
        <f>MAX(0,J26-K8*(Inputs!$B$116/(Inputs!$B$98+Inputs!$B$116)))</f>
        <v/>
      </c>
      <c r="L26" s="24">
        <f>MAX(0,K26-L8*(Inputs!$B$116/(Inputs!$B$98+Inputs!$B$116)))</f>
        <v/>
      </c>
      <c r="M26" s="24">
        <f>MAX(0,L26-M8*(Inputs!$B$116/(Inputs!$B$98+Inputs!$B$116)))</f>
        <v/>
      </c>
      <c r="N26" s="24">
        <f>MAX(0,M26-N8*(Inputs!$B$116/(Inputs!$B$98+Inputs!$B$116)))</f>
        <v/>
      </c>
      <c r="O26" s="24">
        <f>MAX(0,N26-O8*(Inputs!$B$116/(Inputs!$B$98+Inputs!$B$116)))</f>
        <v/>
      </c>
      <c r="P26" s="24">
        <f>MAX(0,O26-P8*(Inputs!$B$116/(Inputs!$B$98+Inputs!$B$116)))</f>
        <v/>
      </c>
      <c r="Q26" s="24">
        <f>MAX(0,P26-Q8*(Inputs!$B$116/(Inputs!$B$98+Inputs!$B$116)))</f>
        <v/>
      </c>
      <c r="R26" s="24">
        <f>MAX(0,Q26-R8*(Inputs!$B$116/(Inputs!$B$98+Inputs!$B$116)))</f>
        <v/>
      </c>
      <c r="S26" s="24">
        <f>MAX(0,R26-S8*(Inputs!$B$116/(Inputs!$B$98+Inputs!$B$116)))</f>
        <v/>
      </c>
      <c r="T26" s="24">
        <f>MAX(0,S26-T8*(Inputs!$B$116/(Inputs!$B$98+Inputs!$B$116)))</f>
        <v/>
      </c>
      <c r="U26" s="24">
        <f>MAX(0,T26-U8*(Inputs!$B$116/(Inputs!$B$98+Inputs!$B$116)))</f>
        <v/>
      </c>
      <c r="V26" s="24">
        <f>MAX(0,U26-V8*(Inputs!$B$116/(Inputs!$B$98+Inputs!$B$116)))</f>
        <v/>
      </c>
    </row>
    <row r="27">
      <c r="A27" s="26" t="inlineStr">
        <is>
          <t>TOTAL ASSETS</t>
        </is>
      </c>
      <c r="B27" s="58">
        <f>B23+B24+B25+B26</f>
        <v/>
      </c>
      <c r="C27" s="58">
        <f>C23+C24+C25+C26</f>
        <v/>
      </c>
      <c r="D27" s="58">
        <f>D23+D24+D25+D26</f>
        <v/>
      </c>
      <c r="E27" s="58">
        <f>E23+E24+E25+E26</f>
        <v/>
      </c>
      <c r="F27" s="58">
        <f>F23+F24+F25+F26</f>
        <v/>
      </c>
      <c r="G27" s="58">
        <f>G23+G24+G25+G26</f>
        <v/>
      </c>
      <c r="H27" s="58">
        <f>H23+H24+H25+H26</f>
        <v/>
      </c>
      <c r="I27" s="58">
        <f>I23+I24+I25+I26</f>
        <v/>
      </c>
      <c r="J27" s="58">
        <f>J23+J24+J25+J26</f>
        <v/>
      </c>
      <c r="K27" s="58">
        <f>K23+K24+K25+K26</f>
        <v/>
      </c>
      <c r="L27" s="58">
        <f>L23+L24+L25+L26</f>
        <v/>
      </c>
      <c r="M27" s="58">
        <f>M23+M24+M25+M26</f>
        <v/>
      </c>
      <c r="N27" s="58">
        <f>N23+N24+N25+N26</f>
        <v/>
      </c>
      <c r="O27" s="58">
        <f>O23+O24+O25+O26</f>
        <v/>
      </c>
      <c r="P27" s="58">
        <f>P23+P24+P25+P26</f>
        <v/>
      </c>
      <c r="Q27" s="58">
        <f>Q23+Q24+Q25+Q26</f>
        <v/>
      </c>
      <c r="R27" s="58">
        <f>R23+R24+R25+R26</f>
        <v/>
      </c>
      <c r="S27" s="58">
        <f>S23+S24+S25+S26</f>
        <v/>
      </c>
      <c r="T27" s="58">
        <f>T23+T24+T25+T26</f>
        <v/>
      </c>
      <c r="U27" s="58">
        <f>U23+U24+U25+U26</f>
        <v/>
      </c>
      <c r="V27" s="58">
        <f>V23+V24+V25+V26</f>
        <v/>
      </c>
    </row>
    <row r="29">
      <c r="A29" s="4" t="inlineStr">
        <is>
          <t>Accounts payable</t>
        </is>
      </c>
      <c r="B29" s="24">
        <f>0</f>
        <v/>
      </c>
      <c r="C29" s="24">
        <f>C10</f>
        <v/>
      </c>
      <c r="D29" s="24">
        <f>D10</f>
        <v/>
      </c>
      <c r="E29" s="24">
        <f>E10</f>
        <v/>
      </c>
      <c r="F29" s="24">
        <f>F10</f>
        <v/>
      </c>
      <c r="G29" s="24">
        <f>G10</f>
        <v/>
      </c>
      <c r="H29" s="24">
        <f>H10</f>
        <v/>
      </c>
      <c r="I29" s="24">
        <f>I10</f>
        <v/>
      </c>
      <c r="J29" s="24">
        <f>J10</f>
        <v/>
      </c>
      <c r="K29" s="24">
        <f>K10</f>
        <v/>
      </c>
      <c r="L29" s="24">
        <f>L10</f>
        <v/>
      </c>
      <c r="M29" s="24">
        <f>M10</f>
        <v/>
      </c>
      <c r="N29" s="24">
        <f>N10</f>
        <v/>
      </c>
      <c r="O29" s="24">
        <f>O10</f>
        <v/>
      </c>
      <c r="P29" s="24">
        <f>P10</f>
        <v/>
      </c>
      <c r="Q29" s="24">
        <f>Q10</f>
        <v/>
      </c>
      <c r="R29" s="24">
        <f>R10</f>
        <v/>
      </c>
      <c r="S29" s="24">
        <f>S10</f>
        <v/>
      </c>
      <c r="T29" s="24">
        <f>T10</f>
        <v/>
      </c>
      <c r="U29" s="24">
        <f>U10</f>
        <v/>
      </c>
      <c r="V29" s="24">
        <f>V10</f>
        <v/>
      </c>
    </row>
    <row r="30">
      <c r="A30" s="4" t="inlineStr">
        <is>
          <t>Working-capital line</t>
        </is>
      </c>
      <c r="B30" s="24">
        <f>0</f>
        <v/>
      </c>
      <c r="C30" s="24">
        <f>C19</f>
        <v/>
      </c>
      <c r="D30" s="24">
        <f>D19</f>
        <v/>
      </c>
      <c r="E30" s="24">
        <f>E19</f>
        <v/>
      </c>
      <c r="F30" s="24">
        <f>F19</f>
        <v/>
      </c>
      <c r="G30" s="24">
        <f>G19</f>
        <v/>
      </c>
      <c r="H30" s="24">
        <f>H19</f>
        <v/>
      </c>
      <c r="I30" s="24">
        <f>I19</f>
        <v/>
      </c>
      <c r="J30" s="24">
        <f>J19</f>
        <v/>
      </c>
      <c r="K30" s="24">
        <f>K19</f>
        <v/>
      </c>
      <c r="L30" s="24">
        <f>L19</f>
        <v/>
      </c>
      <c r="M30" s="24">
        <f>M19</f>
        <v/>
      </c>
      <c r="N30" s="24">
        <f>N19</f>
        <v/>
      </c>
      <c r="O30" s="24">
        <f>O19</f>
        <v/>
      </c>
      <c r="P30" s="24">
        <f>P19</f>
        <v/>
      </c>
      <c r="Q30" s="24">
        <f>Q19</f>
        <v/>
      </c>
      <c r="R30" s="24">
        <f>R19</f>
        <v/>
      </c>
      <c r="S30" s="24">
        <f>S19</f>
        <v/>
      </c>
      <c r="T30" s="24">
        <f>T19</f>
        <v/>
      </c>
      <c r="U30" s="24">
        <f>U19</f>
        <v/>
      </c>
      <c r="V30" s="24">
        <f>V19</f>
        <v/>
      </c>
    </row>
    <row r="31">
      <c r="A31" s="4" t="inlineStr">
        <is>
          <t>SBA loan balance</t>
        </is>
      </c>
      <c r="B31" s="25">
        <f>Inputs!$B$91</f>
        <v/>
      </c>
      <c r="C31" s="25">
        <f>'Debt Schedule'!C13</f>
        <v/>
      </c>
      <c r="D31" s="25">
        <f>'Debt Schedule'!D13</f>
        <v/>
      </c>
      <c r="E31" s="25">
        <f>'Debt Schedule'!E13</f>
        <v/>
      </c>
      <c r="F31" s="25">
        <f>'Debt Schedule'!F13</f>
        <v/>
      </c>
      <c r="G31" s="25">
        <f>'Debt Schedule'!G13</f>
        <v/>
      </c>
      <c r="H31" s="25">
        <f>'Debt Schedule'!H13</f>
        <v/>
      </c>
      <c r="I31" s="25">
        <f>'Debt Schedule'!I13</f>
        <v/>
      </c>
      <c r="J31" s="25">
        <f>'Debt Schedule'!J13</f>
        <v/>
      </c>
      <c r="K31" s="25">
        <f>'Debt Schedule'!K13</f>
        <v/>
      </c>
      <c r="L31" s="25">
        <f>'Debt Schedule'!L13</f>
        <v/>
      </c>
      <c r="M31" s="25">
        <f>'Debt Schedule'!M13</f>
        <v/>
      </c>
      <c r="N31" s="25">
        <f>'Debt Schedule'!N13</f>
        <v/>
      </c>
      <c r="O31" s="25">
        <f>'Debt Schedule'!O13</f>
        <v/>
      </c>
      <c r="P31" s="25">
        <f>'Debt Schedule'!P13</f>
        <v/>
      </c>
      <c r="Q31" s="25">
        <f>'Debt Schedule'!Q13</f>
        <v/>
      </c>
      <c r="R31" s="25">
        <f>'Debt Schedule'!R13</f>
        <v/>
      </c>
      <c r="S31" s="25">
        <f>'Debt Schedule'!S13</f>
        <v/>
      </c>
      <c r="T31" s="25">
        <f>'Debt Schedule'!T13</f>
        <v/>
      </c>
      <c r="U31" s="25">
        <f>'Debt Schedule'!U13</f>
        <v/>
      </c>
      <c r="V31" s="25">
        <f>'Debt Schedule'!V13</f>
        <v/>
      </c>
    </row>
    <row r="32">
      <c r="A32" s="4" t="inlineStr">
        <is>
          <t>Paid-in equity</t>
        </is>
      </c>
      <c r="B32" s="59">
        <f>Inputs!$B$94</f>
        <v/>
      </c>
      <c r="C32" s="59">
        <f>Inputs!$B$94</f>
        <v/>
      </c>
      <c r="D32" s="59">
        <f>Inputs!$B$94</f>
        <v/>
      </c>
      <c r="E32" s="59">
        <f>Inputs!$B$94</f>
        <v/>
      </c>
      <c r="F32" s="59">
        <f>Inputs!$B$94</f>
        <v/>
      </c>
      <c r="G32" s="59">
        <f>Inputs!$B$94</f>
        <v/>
      </c>
      <c r="H32" s="59">
        <f>Inputs!$B$94</f>
        <v/>
      </c>
      <c r="I32" s="59">
        <f>Inputs!$B$94</f>
        <v/>
      </c>
      <c r="J32" s="59">
        <f>Inputs!$B$94</f>
        <v/>
      </c>
      <c r="K32" s="59">
        <f>Inputs!$B$94</f>
        <v/>
      </c>
      <c r="L32" s="59">
        <f>Inputs!$B$94</f>
        <v/>
      </c>
      <c r="M32" s="59">
        <f>Inputs!$B$94</f>
        <v/>
      </c>
      <c r="N32" s="59">
        <f>Inputs!$B$94</f>
        <v/>
      </c>
      <c r="O32" s="59">
        <f>Inputs!$B$94</f>
        <v/>
      </c>
      <c r="P32" s="59">
        <f>Inputs!$B$94</f>
        <v/>
      </c>
      <c r="Q32" s="59">
        <f>Inputs!$B$94</f>
        <v/>
      </c>
      <c r="R32" s="59">
        <f>Inputs!$B$94</f>
        <v/>
      </c>
      <c r="S32" s="59">
        <f>Inputs!$B$94</f>
        <v/>
      </c>
      <c r="T32" s="59">
        <f>Inputs!$B$94</f>
        <v/>
      </c>
      <c r="U32" s="59">
        <f>Inputs!$B$94</f>
        <v/>
      </c>
      <c r="V32" s="59">
        <f>Inputs!$B$94</f>
        <v/>
      </c>
    </row>
    <row r="33">
      <c r="A33" s="4" t="inlineStr">
        <is>
          <t>Retained earnings</t>
        </is>
      </c>
      <c r="B33" s="24">
        <f>0</f>
        <v/>
      </c>
      <c r="C33" s="24">
        <f>B33+C7</f>
        <v/>
      </c>
      <c r="D33" s="24">
        <f>C33+D7</f>
        <v/>
      </c>
      <c r="E33" s="24">
        <f>D33+E7</f>
        <v/>
      </c>
      <c r="F33" s="24">
        <f>E33+F7</f>
        <v/>
      </c>
      <c r="G33" s="24">
        <f>F33+G7</f>
        <v/>
      </c>
      <c r="H33" s="24">
        <f>G33+H7</f>
        <v/>
      </c>
      <c r="I33" s="24">
        <f>H33+I7</f>
        <v/>
      </c>
      <c r="J33" s="24">
        <f>I33+J7</f>
        <v/>
      </c>
      <c r="K33" s="24">
        <f>J33+K7</f>
        <v/>
      </c>
      <c r="L33" s="24">
        <f>K33+L7</f>
        <v/>
      </c>
      <c r="M33" s="24">
        <f>L33+M7</f>
        <v/>
      </c>
      <c r="N33" s="24">
        <f>M33+N7</f>
        <v/>
      </c>
      <c r="O33" s="24">
        <f>N33+O7</f>
        <v/>
      </c>
      <c r="P33" s="24">
        <f>O33+P7</f>
        <v/>
      </c>
      <c r="Q33" s="24">
        <f>P33+Q7</f>
        <v/>
      </c>
      <c r="R33" s="24">
        <f>Q33+R7</f>
        <v/>
      </c>
      <c r="S33" s="24">
        <f>R33+S7</f>
        <v/>
      </c>
      <c r="T33" s="24">
        <f>S33+T7</f>
        <v/>
      </c>
      <c r="U33" s="24">
        <f>T33+U7</f>
        <v/>
      </c>
      <c r="V33" s="24">
        <f>U33+V7</f>
        <v/>
      </c>
    </row>
    <row r="34">
      <c r="A34" s="26" t="inlineStr">
        <is>
          <t>TOTAL LIABILITIES &amp; EQUITY</t>
        </is>
      </c>
      <c r="B34" s="58">
        <f>B29+B30+B31+B32+B33</f>
        <v/>
      </c>
      <c r="C34" s="58">
        <f>C29+C30+C31+C32+C33</f>
        <v/>
      </c>
      <c r="D34" s="58">
        <f>D29+D30+D31+D32+D33</f>
        <v/>
      </c>
      <c r="E34" s="58">
        <f>E29+E30+E31+E32+E33</f>
        <v/>
      </c>
      <c r="F34" s="58">
        <f>F29+F30+F31+F32+F33</f>
        <v/>
      </c>
      <c r="G34" s="58">
        <f>G29+G30+G31+G32+G33</f>
        <v/>
      </c>
      <c r="H34" s="58">
        <f>H29+H30+H31+H32+H33</f>
        <v/>
      </c>
      <c r="I34" s="58">
        <f>I29+I30+I31+I32+I33</f>
        <v/>
      </c>
      <c r="J34" s="58">
        <f>J29+J30+J31+J32+J33</f>
        <v/>
      </c>
      <c r="K34" s="58">
        <f>K29+K30+K31+K32+K33</f>
        <v/>
      </c>
      <c r="L34" s="58">
        <f>L29+L30+L31+L32+L33</f>
        <v/>
      </c>
      <c r="M34" s="58">
        <f>M29+M30+M31+M32+M33</f>
        <v/>
      </c>
      <c r="N34" s="58">
        <f>N29+N30+N31+N32+N33</f>
        <v/>
      </c>
      <c r="O34" s="58">
        <f>O29+O30+O31+O32+O33</f>
        <v/>
      </c>
      <c r="P34" s="58">
        <f>P29+P30+P31+P32+P33</f>
        <v/>
      </c>
      <c r="Q34" s="58">
        <f>Q29+Q30+Q31+Q32+Q33</f>
        <v/>
      </c>
      <c r="R34" s="58">
        <f>R29+R30+R31+R32+R33</f>
        <v/>
      </c>
      <c r="S34" s="58">
        <f>S29+S30+S31+S32+S33</f>
        <v/>
      </c>
      <c r="T34" s="58">
        <f>T29+T30+T31+T32+T33</f>
        <v/>
      </c>
      <c r="U34" s="58">
        <f>U29+U30+U31+U32+U33</f>
        <v/>
      </c>
      <c r="V34" s="58">
        <f>V29+V30+V31+V32+V33</f>
        <v/>
      </c>
    </row>
    <row r="35">
      <c r="A35" s="26" t="inlineStr">
        <is>
          <t>CHECK: Assets − (L+E)  → 0</t>
        </is>
      </c>
      <c r="B35" s="60">
        <f>B27-B34</f>
        <v/>
      </c>
      <c r="C35" s="60">
        <f>C27-C34</f>
        <v/>
      </c>
      <c r="D35" s="60">
        <f>D27-D34</f>
        <v/>
      </c>
      <c r="E35" s="60">
        <f>E27-E34</f>
        <v/>
      </c>
      <c r="F35" s="60">
        <f>F27-F34</f>
        <v/>
      </c>
      <c r="G35" s="60">
        <f>G27-G34</f>
        <v/>
      </c>
      <c r="H35" s="60">
        <f>H27-H34</f>
        <v/>
      </c>
      <c r="I35" s="60">
        <f>I27-I34</f>
        <v/>
      </c>
      <c r="J35" s="60">
        <f>J27-J34</f>
        <v/>
      </c>
      <c r="K35" s="60">
        <f>K27-K34</f>
        <v/>
      </c>
      <c r="L35" s="60">
        <f>L27-L34</f>
        <v/>
      </c>
      <c r="M35" s="60">
        <f>M27-M34</f>
        <v/>
      </c>
      <c r="N35" s="60">
        <f>N27-N34</f>
        <v/>
      </c>
      <c r="O35" s="60">
        <f>O27-O34</f>
        <v/>
      </c>
      <c r="P35" s="60">
        <f>P27-P34</f>
        <v/>
      </c>
      <c r="Q35" s="60">
        <f>Q27-Q34</f>
        <v/>
      </c>
      <c r="R35" s="60">
        <f>R27-R34</f>
        <v/>
      </c>
      <c r="S35" s="60">
        <f>S27-S34</f>
        <v/>
      </c>
      <c r="T35" s="60">
        <f>T27-T34</f>
        <v/>
      </c>
      <c r="U35" s="60">
        <f>U27-U34</f>
        <v/>
      </c>
      <c r="V35" s="60">
        <f>V27-V34</f>
        <v/>
      </c>
    </row>
  </sheetData>
  <mergeCells count="7">
    <mergeCell ref="A1:W1"/>
    <mergeCell ref="O4:R4"/>
    <mergeCell ref="S4:V4"/>
    <mergeCell ref="A6:W6"/>
    <mergeCell ref="A22:W22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Apr–Jun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Model'!E13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Model'!E16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Model'!E12*Inputs!$B$69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Model'!E12*Inputs!$B$67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Model'!E12*Inputs!$B$68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Payroll'!E37+'Staffing &amp; Payroll'!E38</f>
        <v/>
      </c>
    </row>
    <row r="21">
      <c r="A21" s="29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SBA Loan Package</dc:title>
  <dcterms:created xsi:type="dcterms:W3CDTF">2026-06-02T16:18:34Z</dcterms:created>
  <dcterms:modified xsi:type="dcterms:W3CDTF">2026-06-02T16:18:34Z</dcterms:modified>
</cp:coreProperties>
</file>