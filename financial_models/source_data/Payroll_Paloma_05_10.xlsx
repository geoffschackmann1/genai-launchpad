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silas\Downloads\"/>
    </mc:Choice>
  </mc:AlternateContent>
  <xr:revisionPtr revIDLastSave="0" documentId="13_ncr:1_{242D7CEC-0522-42EE-8132-BD7C4688D090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Tyler Payroll Example" sheetId="6" r:id="rId1"/>
    <sheet name="Sheet1" sheetId="5" r:id="rId2"/>
    <sheet name="On call Hour" sheetId="2" r:id="rId3"/>
  </sheets>
  <definedNames>
    <definedName name="_xlnm.Print_Area" localSheetId="1">Sheet1!$A$1:$O$24</definedName>
    <definedName name="_xlnm.Print_Area" localSheetId="0">'Tyler Payroll Example'!$A$1:$I$173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6" i="6" l="1"/>
  <c r="H128" i="6"/>
  <c r="H127" i="6"/>
  <c r="H125" i="6"/>
  <c r="H124" i="6"/>
  <c r="H123" i="6"/>
  <c r="H122" i="6"/>
  <c r="H86" i="6" l="1"/>
  <c r="H87" i="6"/>
  <c r="H7" i="6"/>
  <c r="H54" i="6"/>
  <c r="H58" i="6"/>
  <c r="H57" i="6"/>
  <c r="H56" i="6"/>
  <c r="H55" i="6"/>
  <c r="I90" i="6" l="1"/>
  <c r="I62" i="6"/>
  <c r="H146" i="6"/>
  <c r="E19" i="5" l="1"/>
  <c r="H41" i="6"/>
  <c r="H81" i="6" l="1"/>
  <c r="H80" i="6"/>
  <c r="H20" i="6"/>
  <c r="H21" i="6"/>
  <c r="H52" i="6"/>
  <c r="H51" i="6"/>
  <c r="H50" i="6"/>
  <c r="H49" i="6"/>
  <c r="H48" i="6"/>
  <c r="H47" i="6"/>
  <c r="H46" i="6"/>
  <c r="H45" i="6"/>
  <c r="H44" i="6"/>
  <c r="H42" i="6"/>
  <c r="H120" i="6"/>
  <c r="H98" i="6"/>
  <c r="H97" i="6"/>
  <c r="H96" i="6"/>
  <c r="I53" i="6" l="1"/>
  <c r="H71" i="6"/>
  <c r="E4" i="5"/>
  <c r="L4" i="5" s="1"/>
  <c r="E5" i="5"/>
  <c r="L5" i="5" s="1"/>
  <c r="E6" i="5"/>
  <c r="L6" i="5" s="1"/>
  <c r="E7" i="5"/>
  <c r="L7" i="5" s="1"/>
  <c r="E8" i="5"/>
  <c r="L8" i="5" s="1"/>
  <c r="E9" i="5"/>
  <c r="L9" i="5" s="1"/>
  <c r="E10" i="5"/>
  <c r="L10" i="5" s="1"/>
  <c r="E11" i="5"/>
  <c r="L11" i="5" s="1"/>
  <c r="E12" i="5"/>
  <c r="L12" i="5" s="1"/>
  <c r="E13" i="5"/>
  <c r="L13" i="5" s="1"/>
  <c r="E14" i="5"/>
  <c r="L14" i="5" s="1"/>
  <c r="E15" i="5"/>
  <c r="L15" i="5" s="1"/>
  <c r="E16" i="5"/>
  <c r="L16" i="5" s="1"/>
  <c r="E17" i="5"/>
  <c r="L17" i="5" s="1"/>
  <c r="E18" i="5"/>
  <c r="E20" i="5"/>
  <c r="H65" i="6"/>
  <c r="H64" i="6"/>
  <c r="E21" i="5" l="1"/>
  <c r="E22" i="5"/>
  <c r="E23" i="5"/>
  <c r="H158" i="6"/>
  <c r="H157" i="6"/>
  <c r="H156" i="6"/>
  <c r="H154" i="6"/>
  <c r="H153" i="6"/>
  <c r="H152" i="6"/>
  <c r="H149" i="6"/>
  <c r="H148" i="6"/>
  <c r="H147" i="6"/>
  <c r="H145" i="6"/>
  <c r="H142" i="6"/>
  <c r="H141" i="6"/>
  <c r="H140" i="6"/>
  <c r="H139" i="6"/>
  <c r="H137" i="6"/>
  <c r="H136" i="6"/>
  <c r="H135" i="6"/>
  <c r="H134" i="6"/>
  <c r="H132" i="6"/>
  <c r="H131" i="6"/>
  <c r="H130" i="6"/>
  <c r="H119" i="6"/>
  <c r="H118" i="6"/>
  <c r="H117" i="6"/>
  <c r="H116" i="6"/>
  <c r="H115" i="6"/>
  <c r="H114" i="6"/>
  <c r="H110" i="6"/>
  <c r="H109" i="6"/>
  <c r="H108" i="6"/>
  <c r="H107" i="6"/>
  <c r="H106" i="6"/>
  <c r="H105" i="6"/>
  <c r="H101" i="6"/>
  <c r="H100" i="6"/>
  <c r="H94" i="6"/>
  <c r="H93" i="6"/>
  <c r="H92" i="6"/>
  <c r="H91" i="6"/>
  <c r="H77" i="6"/>
  <c r="H76" i="6"/>
  <c r="H75" i="6"/>
  <c r="H72" i="6"/>
  <c r="H70" i="6"/>
  <c r="H69" i="6"/>
  <c r="H63" i="6"/>
  <c r="H40" i="6"/>
  <c r="H39" i="6"/>
  <c r="H38" i="6"/>
  <c r="H37" i="6"/>
  <c r="H36" i="6"/>
  <c r="H35" i="6"/>
  <c r="H34" i="6"/>
  <c r="H33" i="6"/>
  <c r="H31" i="6"/>
  <c r="H30" i="6"/>
  <c r="H29" i="6"/>
  <c r="H28" i="6"/>
  <c r="H27" i="6"/>
  <c r="H26" i="6"/>
  <c r="H25" i="6"/>
  <c r="H24" i="6"/>
  <c r="H22" i="6"/>
  <c r="H19" i="6"/>
  <c r="H18" i="6"/>
  <c r="H17" i="6"/>
  <c r="H16" i="6"/>
  <c r="H14" i="6"/>
  <c r="H13" i="6"/>
  <c r="H12" i="6"/>
  <c r="H11" i="6"/>
  <c r="H10" i="6"/>
  <c r="H9" i="6"/>
  <c r="H6" i="6"/>
  <c r="H5" i="6"/>
  <c r="H4" i="6"/>
  <c r="H3" i="6"/>
  <c r="E1" i="6"/>
  <c r="I129" i="6" l="1"/>
  <c r="I68" i="6"/>
  <c r="I155" i="6"/>
  <c r="I8" i="6"/>
  <c r="I133" i="6"/>
  <c r="I15" i="6"/>
  <c r="I151" i="6"/>
  <c r="I85" i="6"/>
  <c r="I159" i="6"/>
  <c r="I144" i="6"/>
  <c r="I138" i="6"/>
  <c r="I121" i="6"/>
  <c r="I112" i="6"/>
  <c r="I95" i="6"/>
  <c r="I74" i="6"/>
  <c r="I32" i="6"/>
  <c r="I23" i="6"/>
  <c r="I43" i="6"/>
  <c r="I103" i="6"/>
  <c r="I79" i="6"/>
  <c r="I99" i="6"/>
  <c r="I161" i="6" l="1"/>
  <c r="L23" i="5"/>
  <c r="L22" i="5"/>
  <c r="L21" i="5"/>
  <c r="L20" i="5"/>
  <c r="L19" i="5"/>
  <c r="L18" i="5"/>
  <c r="C35" i="2" l="1"/>
  <c r="C32" i="2"/>
  <c r="G24" i="2"/>
</calcChain>
</file>

<file path=xl/sharedStrings.xml><?xml version="1.0" encoding="utf-8"?>
<sst xmlns="http://schemas.openxmlformats.org/spreadsheetml/2006/main" count="322" uniqueCount="139">
  <si>
    <t>LAST NAME</t>
  </si>
  <si>
    <t>FIRST NAME</t>
  </si>
  <si>
    <t>POSITION</t>
  </si>
  <si>
    <t>EXCEPTION</t>
  </si>
  <si>
    <t>HOURS</t>
  </si>
  <si>
    <t>RATE</t>
  </si>
  <si>
    <t>TOTAL</t>
  </si>
  <si>
    <t>Grand Total</t>
  </si>
  <si>
    <t>PRN</t>
  </si>
  <si>
    <t>CNA</t>
  </si>
  <si>
    <t>LVN</t>
  </si>
  <si>
    <t>Shelton</t>
  </si>
  <si>
    <t>Woodard</t>
  </si>
  <si>
    <t>Brad</t>
  </si>
  <si>
    <t xml:space="preserve">Frost </t>
  </si>
  <si>
    <t>Angie</t>
  </si>
  <si>
    <t>Robison</t>
  </si>
  <si>
    <t>Tanisha</t>
  </si>
  <si>
    <t>Johnson</t>
  </si>
  <si>
    <t>Ector</t>
  </si>
  <si>
    <t>Randy</t>
  </si>
  <si>
    <t>James</t>
  </si>
  <si>
    <t>Salary</t>
  </si>
  <si>
    <t>Per Visit</t>
  </si>
  <si>
    <t>Hourly</t>
  </si>
  <si>
    <t>RN - CM</t>
  </si>
  <si>
    <t>CHAP</t>
  </si>
  <si>
    <t>Admin</t>
  </si>
  <si>
    <t>Vehicle</t>
  </si>
  <si>
    <t>phone</t>
  </si>
  <si>
    <t>Silas</t>
  </si>
  <si>
    <t>Per visit</t>
  </si>
  <si>
    <t>PAY TYPE</t>
  </si>
  <si>
    <t>On Call Pager</t>
  </si>
  <si>
    <t>Mileage</t>
  </si>
  <si>
    <t>On Call pager</t>
  </si>
  <si>
    <t>On call Visit</t>
  </si>
  <si>
    <t>on call Death</t>
  </si>
  <si>
    <t>on call Admit</t>
  </si>
  <si>
    <t>auto allowance</t>
  </si>
  <si>
    <t>Extended Visit</t>
  </si>
  <si>
    <t>extended visits</t>
  </si>
  <si>
    <t>IDT</t>
  </si>
  <si>
    <t>Total=</t>
  </si>
  <si>
    <t>On Call Visit</t>
  </si>
  <si>
    <t>On Call Death</t>
  </si>
  <si>
    <t>Bonus</t>
  </si>
  <si>
    <t>Sanders</t>
  </si>
  <si>
    <t>Jasmine</t>
  </si>
  <si>
    <t>SW</t>
  </si>
  <si>
    <t>Reimbursement</t>
  </si>
  <si>
    <t>Expenses</t>
  </si>
  <si>
    <t>Office Mgr</t>
  </si>
  <si>
    <t>Foster</t>
  </si>
  <si>
    <t>Joyce Wyvonne</t>
  </si>
  <si>
    <t>NP</t>
  </si>
  <si>
    <t>PRN ONCALL</t>
  </si>
  <si>
    <t>Kendricks-Tuck</t>
  </si>
  <si>
    <t>Artheria</t>
  </si>
  <si>
    <t>Hours</t>
  </si>
  <si>
    <t>Monday</t>
  </si>
  <si>
    <t>5pm</t>
  </si>
  <si>
    <t>Tuesday</t>
  </si>
  <si>
    <t>9am</t>
  </si>
  <si>
    <t>Wednesday</t>
  </si>
  <si>
    <t>Thursday</t>
  </si>
  <si>
    <t>Friday</t>
  </si>
  <si>
    <t>Saturday</t>
  </si>
  <si>
    <t>Sunday</t>
  </si>
  <si>
    <t>one 7 day week =</t>
  </si>
  <si>
    <t>Hrs for Weekend (Fri PM - Mon AM)</t>
  </si>
  <si>
    <t>Approx one 14 day PayPrd =</t>
  </si>
  <si>
    <t xml:space="preserve">Tyler Payroll </t>
  </si>
  <si>
    <t xml:space="preserve">through </t>
  </si>
  <si>
    <t xml:space="preserve"> = # Days in Pay Period</t>
  </si>
  <si>
    <t>Hrs for Weekday (Mon PM - Tue AM)</t>
  </si>
  <si>
    <t>ON Call HOURS BREAKDOWN:</t>
  </si>
  <si>
    <t>PTO</t>
  </si>
  <si>
    <t>Per F2F visit</t>
  </si>
  <si>
    <t>ON CALL</t>
  </si>
  <si>
    <t>Car Allowance</t>
  </si>
  <si>
    <t>expenses</t>
  </si>
  <si>
    <t>Wooten</t>
  </si>
  <si>
    <t>Clarenca</t>
  </si>
  <si>
    <t>Chart Owner</t>
  </si>
  <si>
    <t>Kendricks-Tuck, Artheria</t>
  </si>
  <si>
    <t>Ector, Randy</t>
  </si>
  <si>
    <t>Haney, lori</t>
  </si>
  <si>
    <t>Foster, Joyce</t>
  </si>
  <si>
    <t>Wooten, Clarenca</t>
  </si>
  <si>
    <t>Johnson, James</t>
  </si>
  <si>
    <t>Robison, Tanisha</t>
  </si>
  <si>
    <t>McCollum</t>
  </si>
  <si>
    <t>Jodi</t>
  </si>
  <si>
    <t>Jessica</t>
  </si>
  <si>
    <t>Phone</t>
  </si>
  <si>
    <t>McCollum, Jodi</t>
  </si>
  <si>
    <t>Rogers</t>
  </si>
  <si>
    <t>Laura</t>
  </si>
  <si>
    <t>N/A</t>
  </si>
  <si>
    <t>Charted</t>
  </si>
  <si>
    <t>Claimed</t>
  </si>
  <si>
    <t>Outstanding</t>
  </si>
  <si>
    <t>Bereavement Call</t>
  </si>
  <si>
    <t>Henson</t>
  </si>
  <si>
    <t>Byrd Team</t>
  </si>
  <si>
    <t>Henson, Jessica</t>
  </si>
  <si>
    <t>Charted Bessonet</t>
  </si>
  <si>
    <t>PRN Visit</t>
  </si>
  <si>
    <t>Frost, Angelita</t>
  </si>
  <si>
    <t>Marketer</t>
  </si>
  <si>
    <t xml:space="preserve">     Non Taxable expense </t>
  </si>
  <si>
    <t xml:space="preserve">      Non Taxable expense</t>
  </si>
  <si>
    <t>Mills</t>
  </si>
  <si>
    <t>Deschuanique</t>
  </si>
  <si>
    <t>Milage</t>
  </si>
  <si>
    <t>Heikimian Team</t>
  </si>
  <si>
    <t>Harrison, Amy</t>
  </si>
  <si>
    <t>Mills, Deschuanique</t>
  </si>
  <si>
    <t>6 days After PPD</t>
  </si>
  <si>
    <t xml:space="preserve">6 days </t>
  </si>
  <si>
    <t>Davenport, Dana</t>
  </si>
  <si>
    <t>26/40</t>
  </si>
  <si>
    <t>On call Admit</t>
  </si>
  <si>
    <t>Sanders, Jasmine</t>
  </si>
  <si>
    <t>Phone Visit</t>
  </si>
  <si>
    <t>PRN/PV</t>
  </si>
  <si>
    <t xml:space="preserve"> Chart Audit report for payroll period 07_06_25 to 7_20_25, run 7/28/25 @ 9am</t>
  </si>
  <si>
    <t>Davenport</t>
  </si>
  <si>
    <t>Dana</t>
  </si>
  <si>
    <t>Dir. Clinical Services</t>
  </si>
  <si>
    <t>Admission</t>
  </si>
  <si>
    <t>Visit</t>
  </si>
  <si>
    <t>PRN/Part Time</t>
  </si>
  <si>
    <t>Smith</t>
  </si>
  <si>
    <t>Rhonda</t>
  </si>
  <si>
    <t>Prestwood</t>
  </si>
  <si>
    <t>pt expense</t>
  </si>
  <si>
    <t>Prestige ALF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</si>
</sst>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6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505050"/>
      </left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indexed="64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 style="medium">
        <color rgb="FF505050"/>
      </left>
      <right style="medium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indexed="64"/>
      </top>
      <bottom style="thin">
        <color rgb="FF505050"/>
      </bottom>
      <diagonal/>
    </border>
    <border>
      <left style="medium">
        <color rgb="FF505050"/>
      </left>
      <right style="medium">
        <color rgb="FF505050"/>
      </right>
      <top style="thin">
        <color indexed="64"/>
      </top>
      <bottom style="thin">
        <color rgb="FF505050"/>
      </bottom>
      <diagonal/>
    </border>
    <border>
      <left/>
      <right style="thin">
        <color rgb="FF505050"/>
      </right>
      <top style="thin">
        <color indexed="64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indexed="64"/>
      </bottom>
      <diagonal/>
    </border>
    <border>
      <left style="medium">
        <color rgb="FF505050"/>
      </left>
      <right style="medium">
        <color rgb="FF505050"/>
      </right>
      <top style="thin">
        <color rgb="FF505050"/>
      </top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/>
      <top style="medium">
        <color rgb="FF505050"/>
      </top>
      <bottom style="thin">
        <color rgb="FF505050"/>
      </bottom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 style="thin">
        <color rgb="FF505050"/>
      </bottom>
      <diagonal/>
    </border>
    <border>
      <left/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8" fontId="0" fillId="3" borderId="1" xfId="0" applyNumberFormat="1" applyFill="1" applyBorder="1"/>
    <xf numFmtId="0" fontId="0" fillId="3" borderId="0" xfId="0" applyFill="1"/>
    <xf numFmtId="0" fontId="0" fillId="2" borderId="0" xfId="0" applyFill="1"/>
    <xf numFmtId="0" fontId="1" fillId="0" borderId="1" xfId="0" applyFont="1" applyBorder="1"/>
    <xf numFmtId="0" fontId="0" fillId="3" borderId="0" xfId="0" applyFill="1" applyAlignment="1">
      <alignment horizontal="right"/>
    </xf>
    <xf numFmtId="0" fontId="1" fillId="0" borderId="2" xfId="0" applyFont="1" applyBorder="1"/>
    <xf numFmtId="166" fontId="0" fillId="2" borderId="2" xfId="0" applyNumberFormat="1" applyFill="1" applyBorder="1"/>
    <xf numFmtId="166" fontId="0" fillId="3" borderId="2" xfId="0" applyNumberFormat="1" applyFill="1" applyBorder="1"/>
    <xf numFmtId="0" fontId="1" fillId="0" borderId="5" xfId="0" applyFont="1" applyBorder="1"/>
    <xf numFmtId="8" fontId="0" fillId="2" borderId="5" xfId="0" applyNumberFormat="1" applyFill="1" applyBorder="1"/>
    <xf numFmtId="8" fontId="0" fillId="3" borderId="5" xfId="0" applyNumberFormat="1" applyFill="1" applyBorder="1"/>
    <xf numFmtId="0" fontId="0" fillId="2" borderId="5" xfId="0" applyFill="1" applyBorder="1"/>
    <xf numFmtId="0" fontId="0" fillId="3" borderId="5" xfId="0" applyFill="1" applyBorder="1"/>
    <xf numFmtId="0" fontId="0" fillId="0" borderId="0" xfId="0" applyAlignment="1">
      <alignment horizontal="right"/>
    </xf>
    <xf numFmtId="0" fontId="1" fillId="0" borderId="4" xfId="0" applyFont="1" applyBorder="1" applyAlignment="1">
      <alignment horizontal="right"/>
    </xf>
    <xf numFmtId="8" fontId="0" fillId="2" borderId="4" xfId="0" applyNumberFormat="1" applyFill="1" applyBorder="1" applyAlignment="1">
      <alignment horizontal="right"/>
    </xf>
    <xf numFmtId="8" fontId="0" fillId="3" borderId="4" xfId="0" applyNumberFormat="1" applyFill="1" applyBorder="1" applyAlignment="1">
      <alignment horizontal="right"/>
    </xf>
    <xf numFmtId="0" fontId="0" fillId="2" borderId="4" xfId="0" applyFill="1" applyBorder="1" applyAlignment="1">
      <alignment horizontal="right"/>
    </xf>
    <xf numFmtId="8" fontId="0" fillId="3" borderId="1" xfId="0" applyNumberFormat="1" applyFill="1" applyBorder="1" applyAlignment="1">
      <alignment horizontal="right"/>
    </xf>
    <xf numFmtId="0" fontId="0" fillId="3" borderId="1" xfId="0" applyFill="1" applyBorder="1" applyAlignment="1">
      <alignment horizontal="right"/>
    </xf>
    <xf numFmtId="8" fontId="0" fillId="2" borderId="6" xfId="0" applyNumberFormat="1" applyFill="1" applyBorder="1"/>
    <xf numFmtId="0" fontId="0" fillId="3" borderId="9" xfId="0" applyFill="1" applyBorder="1"/>
    <xf numFmtId="166" fontId="0" fillId="3" borderId="13" xfId="0" applyNumberFormat="1" applyFill="1" applyBorder="1"/>
    <xf numFmtId="8" fontId="0" fillId="3" borderId="14" xfId="0" applyNumberFormat="1" applyFill="1" applyBorder="1" applyAlignment="1">
      <alignment horizontal="right"/>
    </xf>
    <xf numFmtId="0" fontId="0" fillId="3" borderId="15" xfId="0" applyFill="1" applyBorder="1"/>
    <xf numFmtId="0" fontId="0" fillId="3" borderId="10" xfId="0" applyFill="1" applyBorder="1"/>
    <xf numFmtId="0" fontId="0" fillId="3" borderId="16" xfId="0" applyFill="1" applyBorder="1"/>
    <xf numFmtId="0" fontId="0" fillId="3" borderId="17" xfId="0" applyFill="1" applyBorder="1"/>
    <xf numFmtId="8" fontId="0" fillId="3" borderId="18" xfId="0" applyNumberFormat="1" applyFill="1" applyBorder="1"/>
    <xf numFmtId="0" fontId="0" fillId="0" borderId="0" xfId="0" applyAlignment="1">
      <alignment horizontal="center"/>
    </xf>
    <xf numFmtId="0" fontId="1" fillId="0" borderId="19" xfId="0" applyFont="1" applyBorder="1"/>
    <xf numFmtId="0" fontId="0" fillId="0" borderId="8" xfId="0" applyBorder="1"/>
    <xf numFmtId="0" fontId="0" fillId="0" borderId="7" xfId="0" applyBorder="1"/>
    <xf numFmtId="0" fontId="0" fillId="0" borderId="20" xfId="0" applyBorder="1"/>
    <xf numFmtId="0" fontId="0" fillId="0" borderId="21" xfId="0" applyBorder="1"/>
    <xf numFmtId="0" fontId="0" fillId="0" borderId="22" xfId="0" applyBorder="1" applyAlignment="1">
      <alignment horizontal="center"/>
    </xf>
    <xf numFmtId="0" fontId="0" fillId="0" borderId="23" xfId="0" applyBorder="1"/>
    <xf numFmtId="0" fontId="0" fillId="0" borderId="24" xfId="0" applyBorder="1"/>
    <xf numFmtId="1" fontId="0" fillId="0" borderId="23" xfId="0" applyNumberFormat="1" applyBorder="1"/>
    <xf numFmtId="1" fontId="0" fillId="0" borderId="0" xfId="0" applyNumberFormat="1" applyAlignment="1">
      <alignment horizontal="center"/>
    </xf>
    <xf numFmtId="1" fontId="0" fillId="0" borderId="0" xfId="0" applyNumberFormat="1"/>
    <xf numFmtId="0" fontId="1" fillId="0" borderId="25" xfId="0" applyFont="1" applyBorder="1" applyAlignment="1">
      <alignment horizontal="right"/>
    </xf>
    <xf numFmtId="0" fontId="1" fillId="0" borderId="25" xfId="0" applyFont="1" applyBorder="1"/>
    <xf numFmtId="1" fontId="1" fillId="0" borderId="25" xfId="0" applyNumberFormat="1" applyFont="1" applyBorder="1"/>
    <xf numFmtId="0" fontId="1" fillId="0" borderId="0" xfId="0" applyFont="1" applyAlignment="1">
      <alignment horizontal="left"/>
    </xf>
    <xf numFmtId="14" fontId="0" fillId="0" borderId="0" xfId="0" applyNumberFormat="1"/>
    <xf numFmtId="0" fontId="0" fillId="0" borderId="0" xfId="0" applyAlignment="1">
      <alignment horizontal="center" vertical="center"/>
    </xf>
    <xf numFmtId="8" fontId="0" fillId="3" borderId="17" xfId="0" applyNumberFormat="1" applyFill="1" applyBorder="1"/>
    <xf numFmtId="0" fontId="0" fillId="4" borderId="1" xfId="0" applyFill="1" applyBorder="1"/>
    <xf numFmtId="166" fontId="0" fillId="4" borderId="2" xfId="0" applyNumberFormat="1" applyFill="1" applyBorder="1"/>
    <xf numFmtId="8" fontId="0" fillId="4" borderId="4" xfId="0" applyNumberFormat="1" applyFill="1" applyBorder="1" applyAlignment="1">
      <alignment horizontal="right"/>
    </xf>
    <xf numFmtId="8" fontId="0" fillId="4" borderId="5" xfId="0" applyNumberFormat="1" applyFill="1" applyBorder="1"/>
    <xf numFmtId="0" fontId="0" fillId="4" borderId="10" xfId="0" applyFill="1" applyBorder="1"/>
    <xf numFmtId="166" fontId="0" fillId="4" borderId="11" xfId="0" applyNumberFormat="1" applyFill="1" applyBorder="1"/>
    <xf numFmtId="8" fontId="0" fillId="4" borderId="12" xfId="0" applyNumberFormat="1" applyFill="1" applyBorder="1" applyAlignment="1">
      <alignment horizontal="right"/>
    </xf>
    <xf numFmtId="8" fontId="0" fillId="4" borderId="6" xfId="0" applyNumberFormat="1" applyFill="1" applyBorder="1"/>
    <xf numFmtId="0" fontId="0" fillId="4" borderId="5" xfId="0" applyFill="1" applyBorder="1"/>
    <xf numFmtId="8" fontId="0" fillId="4" borderId="1" xfId="0" applyNumberFormat="1" applyFill="1" applyBorder="1"/>
    <xf numFmtId="8" fontId="0" fillId="4" borderId="1" xfId="0" applyNumberFormat="1" applyFill="1" applyBorder="1" applyAlignment="1">
      <alignment horizontal="right"/>
    </xf>
    <xf numFmtId="8" fontId="2" fillId="4" borderId="1" xfId="0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vertical="center" wrapText="1"/>
    </xf>
    <xf numFmtId="0" fontId="1" fillId="0" borderId="3" xfId="0" applyFont="1" applyBorder="1" applyAlignment="1">
      <alignment horizontal="right" vertical="center" wrapText="1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 wrapText="1"/>
    </xf>
    <xf numFmtId="0" fontId="0" fillId="0" borderId="8" xfId="0" applyBorder="1" applyAlignment="1">
      <alignment vertical="center"/>
    </xf>
    <xf numFmtId="0" fontId="0" fillId="2" borderId="26" xfId="0" applyFill="1" applyBorder="1"/>
    <xf numFmtId="166" fontId="0" fillId="2" borderId="27" xfId="0" applyNumberFormat="1" applyFill="1" applyBorder="1"/>
    <xf numFmtId="8" fontId="0" fillId="2" borderId="28" xfId="0" applyNumberFormat="1" applyFill="1" applyBorder="1" applyAlignment="1">
      <alignment horizontal="right"/>
    </xf>
    <xf numFmtId="8" fontId="0" fillId="2" borderId="29" xfId="0" applyNumberFormat="1" applyFill="1" applyBorder="1"/>
    <xf numFmtId="0" fontId="1" fillId="0" borderId="3" xfId="0" applyFont="1" applyBorder="1"/>
    <xf numFmtId="0" fontId="1" fillId="0" borderId="23" xfId="0" applyFont="1" applyBorder="1"/>
    <xf numFmtId="0" fontId="0" fillId="5" borderId="3" xfId="0" applyFill="1" applyBorder="1" applyAlignment="1">
      <alignment vertical="center"/>
    </xf>
    <xf numFmtId="0" fontId="1" fillId="0" borderId="0" xfId="0" applyFont="1"/>
    <xf numFmtId="0" fontId="0" fillId="3" borderId="3" xfId="0" applyFill="1" applyBorder="1" applyAlignment="1">
      <alignment vertical="center"/>
    </xf>
    <xf numFmtId="0" fontId="0" fillId="0" borderId="3" xfId="0" applyBorder="1" applyAlignment="1">
      <alignment horizontal="right" vertical="center"/>
    </xf>
    <xf numFmtId="0" fontId="0" fillId="0" borderId="3" xfId="0" applyBorder="1" applyAlignment="1">
      <alignment horizontal="center" vertical="center" wrapText="1"/>
    </xf>
    <xf numFmtId="0" fontId="0" fillId="6" borderId="3" xfId="0" applyFill="1" applyBorder="1"/>
    <xf numFmtId="0" fontId="0" fillId="2" borderId="10" xfId="0" applyFill="1" applyBorder="1"/>
    <xf numFmtId="166" fontId="0" fillId="2" borderId="11" xfId="0" applyNumberFormat="1" applyFill="1" applyBorder="1"/>
    <xf numFmtId="8" fontId="0" fillId="2" borderId="12" xfId="0" applyNumberFormat="1" applyFill="1" applyBorder="1" applyAlignment="1">
      <alignment horizontal="right"/>
    </xf>
    <xf numFmtId="0" fontId="0" fillId="4" borderId="30" xfId="0" applyFill="1" applyBorder="1"/>
    <xf numFmtId="166" fontId="0" fillId="4" borderId="31" xfId="0" applyNumberFormat="1" applyFill="1" applyBorder="1"/>
    <xf numFmtId="8" fontId="0" fillId="4" borderId="32" xfId="0" applyNumberFormat="1" applyFill="1" applyBorder="1" applyAlignment="1">
      <alignment horizontal="right"/>
    </xf>
    <xf numFmtId="8" fontId="0" fillId="4" borderId="33" xfId="0" applyNumberFormat="1" applyFill="1" applyBorder="1"/>
    <xf numFmtId="0" fontId="0" fillId="0" borderId="1" xfId="0" applyBorder="1"/>
    <xf numFmtId="166" fontId="0" fillId="0" borderId="2" xfId="0" applyNumberFormat="1" applyBorder="1"/>
    <xf numFmtId="8" fontId="0" fillId="0" borderId="4" xfId="0" applyNumberFormat="1" applyBorder="1" applyAlignment="1">
      <alignment horizontal="right"/>
    </xf>
    <xf numFmtId="8" fontId="0" fillId="0" borderId="5" xfId="0" applyNumberFormat="1" applyBorder="1"/>
    <xf numFmtId="2" fontId="0" fillId="4" borderId="1" xfId="0" applyNumberFormat="1" applyFill="1" applyBorder="1"/>
    <xf numFmtId="10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0" fontId="0" fillId="7" borderId="3" xfId="0" applyFill="1" applyBorder="1"/>
    <xf numFmtId="0" fontId="1" fillId="7" borderId="3" xfId="0" applyFont="1" applyFill="1" applyBorder="1" applyAlignment="1">
      <alignment vertical="center"/>
    </xf>
    <xf numFmtId="0" fontId="0" fillId="7" borderId="3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/>
    </xf>
    <xf numFmtId="0" fontId="0" fillId="7" borderId="3" xfId="0" applyFill="1" applyBorder="1" applyAlignment="1">
      <alignment vertical="center"/>
    </xf>
    <xf numFmtId="2" fontId="0" fillId="2" borderId="1" xfId="0" applyNumberFormat="1" applyFill="1" applyBorder="1"/>
    <xf numFmtId="166" fontId="0" fillId="3" borderId="34" xfId="0" applyNumberFormat="1" applyFill="1" applyBorder="1"/>
    <xf numFmtId="8" fontId="0" fillId="2" borderId="5" xfId="0" applyNumberFormat="1" applyFill="1" applyBorder="1" applyAlignment="1">
      <alignment horizontal="right"/>
    </xf>
    <xf numFmtId="8" fontId="1" fillId="2" borderId="5" xfId="0" applyNumberFormat="1" applyFont="1" applyFill="1" applyBorder="1" applyAlignment="1">
      <alignment horizontal="right"/>
    </xf>
    <xf numFmtId="14" fontId="1" fillId="2" borderId="5" xfId="0" applyNumberFormat="1" applyFont="1" applyFill="1" applyBorder="1" applyAlignment="1">
      <alignment horizontal="right"/>
    </xf>
    <xf numFmtId="8" fontId="0" fillId="2" borderId="5" xfId="0" applyNumberFormat="1" applyFill="1" applyBorder="1" applyAlignment="1">
      <alignment horizontal="center" vertical="center"/>
    </xf>
    <xf numFmtId="0" fontId="3" fillId="3" borderId="1" xfId="0" applyFont="1" applyFill="1" applyBorder="1"/>
    <xf numFmtId="8" fontId="2" fillId="4" borderId="1" xfId="0" applyNumberFormat="1" applyFont="1" applyFill="1" applyBorder="1" applyAlignment="1">
      <alignment horizontal="right"/>
    </xf>
    <xf numFmtId="0" fontId="0" fillId="2" borderId="1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15875</xdr:colOff>
      <xdr:row>18</xdr:row>
      <xdr:rowOff>25400</xdr:rowOff>
    </xdr:from>
    <xdr:to>
      <xdr:col>6</xdr:col>
      <xdr:colOff>41275</xdr:colOff>
      <xdr:row>28</xdr:row>
      <xdr:rowOff>177800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AA4B4837-1BC9-439C-BE6D-CD60BDDF7CFD}"/>
            </a:ext>
          </a:extLst>
        </xdr:cNvPr>
        <xdr:cNvSpPr/>
      </xdr:nvSpPr>
      <xdr:spPr>
        <a:xfrm>
          <a:off x="3467100" y="3397250"/>
          <a:ext cx="838200" cy="2025650"/>
        </a:xfrm>
        <a:prstGeom prst="rightBrac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ctr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0</xdr:colOff>
      <xdr:row>2</xdr:row>
      <xdr:rowOff>4233</xdr:rowOff>
    </xdr:from>
    <xdr:to>
      <xdr:col>6</xdr:col>
      <xdr:colOff>25400</xdr:colOff>
      <xdr:row>5</xdr:row>
      <xdr:rowOff>0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DFC0EDBA-3643-43A0-84F7-76C36262C49F}"/>
            </a:ext>
          </a:extLst>
        </xdr:cNvPr>
        <xdr:cNvSpPr/>
      </xdr:nvSpPr>
      <xdr:spPr>
        <a:xfrm>
          <a:off x="3602567" y="368300"/>
          <a:ext cx="863600" cy="541867"/>
        </a:xfrm>
        <a:prstGeom prst="rightBrac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ctr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56B5E-A248-4F9E-B4BE-B5059756134C}">
  <dimension ref="A1:CQ201"/>
  <sheetViews>
    <sheetView tabSelected="1" topLeftCell="A156" zoomScale="80" zoomScaleNormal="80" zoomScaleSheetLayoutView="70" workbookViewId="0">
      <selection activeCell="O15" sqref="O15"/>
    </sheetView>
  </sheetViews>
  <sheetFormatPr defaultRowHeight="14.75" x14ac:dyDescent="0.75"/>
  <cols>
    <col min="1" max="1" width="12.6796875" customWidth="1"/>
    <col min="2" max="2" width="12.90625" customWidth="1"/>
    <col min="3" max="3" width="10.7265625" customWidth="1"/>
    <col min="4" max="4" width="10.54296875" customWidth="1"/>
    <col min="5" max="5" width="18.40625" customWidth="1"/>
    <col min="7" max="7" width="9.86328125" bestFit="1" customWidth="1"/>
    <col min="8" max="8" width="9.86328125" style="16" bestFit="1" customWidth="1"/>
    <col min="9" max="9" width="10.6328125" customWidth="1"/>
    <col min="10" max="95" width="8.7265625" style="4"/>
  </cols>
  <sheetData>
    <row r="1" spans="1:9" x14ac:dyDescent="0.75">
      <c r="A1" t="s">
        <v>72</v>
      </c>
      <c r="B1" s="48">
        <v>46128</v>
      </c>
      <c r="C1" s="32" t="s">
        <v>73</v>
      </c>
      <c r="D1" s="48">
        <v>46142</v>
      </c>
      <c r="E1" s="43">
        <f>((D1-B1)+1)</f>
        <v>15</v>
      </c>
      <c r="F1" t="s">
        <v>74</v>
      </c>
    </row>
    <row r="2" spans="1:9" x14ac:dyDescent="0.75">
      <c r="A2" s="6" t="s">
        <v>0</v>
      </c>
      <c r="B2" s="6" t="s">
        <v>1</v>
      </c>
      <c r="C2" s="6" t="s">
        <v>32</v>
      </c>
      <c r="D2" s="6" t="s">
        <v>2</v>
      </c>
      <c r="E2" s="6" t="s">
        <v>3</v>
      </c>
      <c r="F2" s="6" t="s">
        <v>4</v>
      </c>
      <c r="G2" s="8" t="s">
        <v>5</v>
      </c>
      <c r="H2" s="17" t="s">
        <v>6</v>
      </c>
      <c r="I2" s="11" t="s">
        <v>7</v>
      </c>
    </row>
    <row r="3" spans="1:9" s="4" customFormat="1" x14ac:dyDescent="0.75">
      <c r="A3" s="1" t="s">
        <v>11</v>
      </c>
      <c r="B3" s="1" t="s">
        <v>30</v>
      </c>
      <c r="C3" s="1" t="s">
        <v>22</v>
      </c>
      <c r="D3" s="1" t="s">
        <v>27</v>
      </c>
      <c r="E3" s="1" t="s">
        <v>24</v>
      </c>
      <c r="F3" s="1">
        <v>86.67</v>
      </c>
      <c r="G3" s="9">
        <v>72.11</v>
      </c>
      <c r="H3" s="18">
        <f>PRODUCT(F3:G3)</f>
        <v>6249.7736999999997</v>
      </c>
      <c r="I3" s="12"/>
    </row>
    <row r="4" spans="1:9" s="4" customFormat="1" x14ac:dyDescent="0.75">
      <c r="A4" s="1"/>
      <c r="B4" s="1"/>
      <c r="C4" s="1"/>
      <c r="D4" s="1"/>
      <c r="E4" s="1" t="s">
        <v>28</v>
      </c>
      <c r="F4" s="1">
        <v>0.5</v>
      </c>
      <c r="G4" s="9">
        <v>400</v>
      </c>
      <c r="H4" s="18">
        <f t="shared" ref="H4:H5" si="0">PRODUCT(F4:G4)</f>
        <v>200</v>
      </c>
      <c r="I4" s="12"/>
    </row>
    <row r="5" spans="1:9" s="4" customFormat="1" x14ac:dyDescent="0.75">
      <c r="A5" s="1"/>
      <c r="B5" s="1"/>
      <c r="C5" s="1"/>
      <c r="D5" s="1"/>
      <c r="E5" s="1" t="s">
        <v>29</v>
      </c>
      <c r="F5" s="1">
        <v>0.5</v>
      </c>
      <c r="G5" s="9">
        <v>50</v>
      </c>
      <c r="H5" s="18">
        <f t="shared" si="0"/>
        <v>25</v>
      </c>
      <c r="I5" s="12"/>
    </row>
    <row r="6" spans="1:9" s="4" customFormat="1" x14ac:dyDescent="0.75">
      <c r="A6" s="1"/>
      <c r="B6" s="1"/>
      <c r="C6" s="1"/>
      <c r="D6" s="112"/>
      <c r="E6" s="1" t="s">
        <v>46</v>
      </c>
      <c r="F6" s="1">
        <v>0</v>
      </c>
      <c r="G6" s="9">
        <v>0</v>
      </c>
      <c r="H6" s="18">
        <f>PRODUCT(F6:G6)</f>
        <v>0</v>
      </c>
      <c r="I6" s="12"/>
    </row>
    <row r="7" spans="1:9" s="4" customFormat="1" x14ac:dyDescent="0.75">
      <c r="A7" s="1"/>
      <c r="B7" s="1"/>
      <c r="C7" s="1" t="s">
        <v>112</v>
      </c>
      <c r="D7" s="1"/>
      <c r="E7" s="1" t="s">
        <v>50</v>
      </c>
      <c r="F7" s="1">
        <v>0</v>
      </c>
      <c r="G7" s="9">
        <v>0</v>
      </c>
      <c r="H7" s="18">
        <f>PRODUCT(F7:G7)</f>
        <v>0</v>
      </c>
      <c r="I7" s="12"/>
    </row>
    <row r="8" spans="1:9" s="4" customFormat="1" x14ac:dyDescent="0.75">
      <c r="A8" s="1"/>
      <c r="B8" s="1"/>
      <c r="C8" s="1"/>
      <c r="D8" s="1"/>
      <c r="E8" s="1"/>
      <c r="F8" s="1"/>
      <c r="G8" s="9"/>
      <c r="H8" s="18" t="s">
        <v>6</v>
      </c>
      <c r="I8" s="12">
        <f>SUM(H3:H7)</f>
        <v>6474.7736999999997</v>
      </c>
    </row>
    <row r="9" spans="1:9" s="4" customFormat="1" x14ac:dyDescent="0.75">
      <c r="A9" s="2" t="s">
        <v>12</v>
      </c>
      <c r="B9" s="2" t="s">
        <v>13</v>
      </c>
      <c r="C9" s="2" t="s">
        <v>22</v>
      </c>
      <c r="D9" s="2" t="s">
        <v>27</v>
      </c>
      <c r="E9" s="2" t="s">
        <v>24</v>
      </c>
      <c r="F9" s="2">
        <v>86.67</v>
      </c>
      <c r="G9" s="10">
        <v>57.69</v>
      </c>
      <c r="H9" s="19">
        <f>PRODUCT(F9:G9)</f>
        <v>4999.9922999999999</v>
      </c>
      <c r="I9" s="13"/>
    </row>
    <row r="10" spans="1:9" s="4" customFormat="1" x14ac:dyDescent="0.75">
      <c r="A10" s="2"/>
      <c r="B10" s="2"/>
      <c r="C10" s="2"/>
      <c r="D10" s="2"/>
      <c r="E10" s="2" t="s">
        <v>28</v>
      </c>
      <c r="F10" s="2">
        <v>0.5</v>
      </c>
      <c r="G10" s="10">
        <v>400</v>
      </c>
      <c r="H10" s="19">
        <f t="shared" ref="H10:H14" si="1">PRODUCT(F10:G10)</f>
        <v>200</v>
      </c>
      <c r="I10" s="13"/>
    </row>
    <row r="11" spans="1:9" s="4" customFormat="1" x14ac:dyDescent="0.75">
      <c r="A11" s="110"/>
      <c r="B11" s="110"/>
      <c r="C11" s="110"/>
      <c r="D11" s="110"/>
      <c r="E11" s="2" t="s">
        <v>29</v>
      </c>
      <c r="F11" s="2">
        <v>0.5</v>
      </c>
      <c r="G11" s="10">
        <v>50</v>
      </c>
      <c r="H11" s="19">
        <f t="shared" si="1"/>
        <v>25</v>
      </c>
      <c r="I11" s="13"/>
    </row>
    <row r="12" spans="1:9" s="4" customFormat="1" x14ac:dyDescent="0.75">
      <c r="A12" s="110"/>
      <c r="B12" s="110"/>
      <c r="C12" s="110"/>
      <c r="D12" s="110"/>
      <c r="E12" s="2" t="s">
        <v>46</v>
      </c>
      <c r="F12" s="2">
        <v>0</v>
      </c>
      <c r="G12" s="10">
        <v>300</v>
      </c>
      <c r="H12" s="19">
        <f t="shared" si="1"/>
        <v>0</v>
      </c>
      <c r="I12" s="13"/>
    </row>
    <row r="13" spans="1:9" s="4" customFormat="1" x14ac:dyDescent="0.75">
      <c r="A13" s="110"/>
      <c r="B13" s="110"/>
      <c r="C13" s="110"/>
      <c r="D13" s="110"/>
      <c r="E13" s="2" t="s">
        <v>81</v>
      </c>
      <c r="F13" s="2">
        <v>0</v>
      </c>
      <c r="G13" s="10">
        <v>0</v>
      </c>
      <c r="H13" s="19">
        <f t="shared" si="1"/>
        <v>0</v>
      </c>
      <c r="I13" s="13"/>
    </row>
    <row r="14" spans="1:9" s="4" customFormat="1" x14ac:dyDescent="0.75">
      <c r="A14" s="2"/>
      <c r="B14" s="2"/>
      <c r="C14" s="55" t="s">
        <v>111</v>
      </c>
      <c r="D14" s="2"/>
      <c r="E14" s="2" t="s">
        <v>50</v>
      </c>
      <c r="F14" s="2">
        <v>1</v>
      </c>
      <c r="G14" s="10">
        <v>305.77999999999997</v>
      </c>
      <c r="H14" s="19">
        <f t="shared" si="1"/>
        <v>305.77999999999997</v>
      </c>
      <c r="I14" s="13" t="s">
        <v>138</v>
      </c>
    </row>
    <row r="15" spans="1:9" s="4" customFormat="1" x14ac:dyDescent="0.75">
      <c r="A15" s="2"/>
      <c r="B15" s="2"/>
      <c r="C15" s="2"/>
      <c r="D15" s="2"/>
      <c r="E15" s="2"/>
      <c r="F15" s="2"/>
      <c r="G15" s="10"/>
      <c r="H15" s="19" t="s">
        <v>6</v>
      </c>
      <c r="I15" s="13">
        <f>SUM(H9:H14)</f>
        <v>5530.7722999999996</v>
      </c>
    </row>
    <row r="16" spans="1:9" s="4" customFormat="1" x14ac:dyDescent="0.75">
      <c r="A16" s="1" t="s">
        <v>134</v>
      </c>
      <c r="B16" s="1" t="s">
        <v>135</v>
      </c>
      <c r="C16" s="1" t="s">
        <v>133</v>
      </c>
      <c r="D16" s="1" t="s">
        <v>52</v>
      </c>
      <c r="E16" s="1" t="s">
        <v>24</v>
      </c>
      <c r="F16" s="1">
        <v>39.5</v>
      </c>
      <c r="G16" s="9">
        <v>30</v>
      </c>
      <c r="H16" s="18">
        <f>PRODUCT(F16:G16)</f>
        <v>1185</v>
      </c>
      <c r="I16" s="12"/>
    </row>
    <row r="17" spans="1:9" s="4" customFormat="1" x14ac:dyDescent="0.75">
      <c r="A17" s="1"/>
      <c r="B17" s="1"/>
      <c r="C17" s="1"/>
      <c r="D17" s="1"/>
      <c r="E17" s="1" t="s">
        <v>77</v>
      </c>
      <c r="F17" s="104">
        <v>0</v>
      </c>
      <c r="G17" s="9">
        <v>28.85</v>
      </c>
      <c r="H17" s="18">
        <f t="shared" ref="H17:H18" si="2">PRODUCT(F17:G17)</f>
        <v>0</v>
      </c>
      <c r="I17" s="12"/>
    </row>
    <row r="18" spans="1:9" s="4" customFormat="1" x14ac:dyDescent="0.75">
      <c r="A18" s="1"/>
      <c r="B18" s="1"/>
      <c r="C18" s="1"/>
      <c r="D18" s="1"/>
      <c r="E18" s="1" t="s">
        <v>29</v>
      </c>
      <c r="F18" s="1">
        <v>0</v>
      </c>
      <c r="G18" s="9">
        <v>50</v>
      </c>
      <c r="H18" s="18">
        <f t="shared" si="2"/>
        <v>0</v>
      </c>
      <c r="I18" s="12"/>
    </row>
    <row r="19" spans="1:9" s="4" customFormat="1" x14ac:dyDescent="0.75">
      <c r="A19" s="1"/>
      <c r="B19" s="1"/>
      <c r="C19" s="1"/>
      <c r="D19" s="1"/>
      <c r="E19" s="1" t="s">
        <v>34</v>
      </c>
      <c r="F19" s="1">
        <v>0</v>
      </c>
      <c r="G19" s="9">
        <v>0.5</v>
      </c>
      <c r="H19" s="18">
        <f>PRODUCT(F19:G19)</f>
        <v>0</v>
      </c>
      <c r="I19" s="12"/>
    </row>
    <row r="20" spans="1:9" s="4" customFormat="1" x14ac:dyDescent="0.75">
      <c r="A20" s="1"/>
      <c r="B20" s="1"/>
      <c r="C20" s="1"/>
      <c r="D20" s="1"/>
      <c r="E20" s="1" t="s">
        <v>123</v>
      </c>
      <c r="F20" s="1">
        <v>0</v>
      </c>
      <c r="G20" s="9">
        <v>150</v>
      </c>
      <c r="H20" s="18">
        <f t="shared" ref="H20" si="3">PRODUCT(F20:G20)</f>
        <v>0</v>
      </c>
      <c r="I20" s="12"/>
    </row>
    <row r="21" spans="1:9" s="4" customFormat="1" x14ac:dyDescent="0.75">
      <c r="A21" s="1"/>
      <c r="B21" s="1"/>
      <c r="C21" s="1"/>
      <c r="D21" s="1"/>
      <c r="E21" s="1" t="s">
        <v>46</v>
      </c>
      <c r="F21" s="1">
        <v>0</v>
      </c>
      <c r="G21" s="9">
        <v>0</v>
      </c>
      <c r="H21" s="18">
        <f>PRODUCT(F21:G21)</f>
        <v>0</v>
      </c>
      <c r="I21" s="12"/>
    </row>
    <row r="22" spans="1:9" s="4" customFormat="1" x14ac:dyDescent="0.75">
      <c r="A22" s="1"/>
      <c r="B22" s="1"/>
      <c r="C22" s="1" t="s">
        <v>112</v>
      </c>
      <c r="D22" s="1"/>
      <c r="E22" s="1" t="s">
        <v>50</v>
      </c>
      <c r="F22" s="1">
        <v>0</v>
      </c>
      <c r="G22" s="9">
        <v>0</v>
      </c>
      <c r="H22" s="18">
        <f>PRODUCT(F22:G22)</f>
        <v>0</v>
      </c>
      <c r="I22" s="12"/>
    </row>
    <row r="23" spans="1:9" s="4" customFormat="1" x14ac:dyDescent="0.75">
      <c r="A23" s="1"/>
      <c r="B23" s="1"/>
      <c r="C23" s="1"/>
      <c r="D23" s="1"/>
      <c r="E23" s="1"/>
      <c r="F23" s="1"/>
      <c r="G23" s="9"/>
      <c r="H23" s="18" t="s">
        <v>6</v>
      </c>
      <c r="I23" s="12">
        <f>SUM(H16:H22)</f>
        <v>1185</v>
      </c>
    </row>
    <row r="24" spans="1:9" s="4" customFormat="1" x14ac:dyDescent="0.75">
      <c r="A24" s="51" t="s">
        <v>14</v>
      </c>
      <c r="B24" s="51" t="s">
        <v>15</v>
      </c>
      <c r="C24" s="51" t="s">
        <v>22</v>
      </c>
      <c r="D24" s="51" t="s">
        <v>25</v>
      </c>
      <c r="E24" s="51" t="s">
        <v>24</v>
      </c>
      <c r="F24" s="51">
        <v>86.67</v>
      </c>
      <c r="G24" s="52">
        <v>37.26</v>
      </c>
      <c r="H24" s="53">
        <f>PRODUCT(F24:G24)</f>
        <v>3229.3242</v>
      </c>
      <c r="I24" s="54"/>
    </row>
    <row r="25" spans="1:9" s="4" customFormat="1" x14ac:dyDescent="0.75">
      <c r="A25" s="51"/>
      <c r="B25" s="51"/>
      <c r="C25" s="51"/>
      <c r="D25" s="51"/>
      <c r="E25" s="51" t="s">
        <v>77</v>
      </c>
      <c r="F25" s="96">
        <v>0</v>
      </c>
      <c r="G25" s="52">
        <v>37.26</v>
      </c>
      <c r="H25" s="53">
        <f>PRODUCT(F25:G25)</f>
        <v>0</v>
      </c>
      <c r="I25" s="54"/>
    </row>
    <row r="26" spans="1:9" s="4" customFormat="1" x14ac:dyDescent="0.75">
      <c r="A26" s="51"/>
      <c r="B26" s="51"/>
      <c r="C26" s="51"/>
      <c r="D26" s="51"/>
      <c r="E26" s="51" t="s">
        <v>39</v>
      </c>
      <c r="F26" s="51">
        <v>0.5</v>
      </c>
      <c r="G26" s="52">
        <v>400</v>
      </c>
      <c r="H26" s="53">
        <f t="shared" ref="H26:H31" si="4">PRODUCT(F26:G26)</f>
        <v>200</v>
      </c>
      <c r="I26" s="54"/>
    </row>
    <row r="27" spans="1:9" s="4" customFormat="1" x14ac:dyDescent="0.75">
      <c r="A27" s="51"/>
      <c r="B27" s="51"/>
      <c r="C27" s="51"/>
      <c r="D27" s="51"/>
      <c r="E27" s="51" t="s">
        <v>35</v>
      </c>
      <c r="F27" s="51">
        <v>0</v>
      </c>
      <c r="G27" s="52">
        <v>3</v>
      </c>
      <c r="H27" s="53">
        <f t="shared" si="4"/>
        <v>0</v>
      </c>
      <c r="I27" s="54"/>
    </row>
    <row r="28" spans="1:9" s="4" customFormat="1" x14ac:dyDescent="0.75">
      <c r="A28" s="51"/>
      <c r="B28" s="51"/>
      <c r="C28" s="51"/>
      <c r="D28" s="51"/>
      <c r="E28" s="51" t="s">
        <v>36</v>
      </c>
      <c r="F28" s="51">
        <v>1</v>
      </c>
      <c r="G28" s="52">
        <v>75</v>
      </c>
      <c r="H28" s="53">
        <f t="shared" si="4"/>
        <v>75</v>
      </c>
      <c r="I28" s="54"/>
    </row>
    <row r="29" spans="1:9" s="4" customFormat="1" x14ac:dyDescent="0.75">
      <c r="A29" s="51"/>
      <c r="B29" s="51"/>
      <c r="C29" s="51"/>
      <c r="D29" s="51"/>
      <c r="E29" s="51" t="s">
        <v>37</v>
      </c>
      <c r="F29" s="51">
        <v>0</v>
      </c>
      <c r="G29" s="52">
        <v>100</v>
      </c>
      <c r="H29" s="53">
        <f t="shared" si="4"/>
        <v>0</v>
      </c>
      <c r="I29" s="54"/>
    </row>
    <row r="30" spans="1:9" s="4" customFormat="1" x14ac:dyDescent="0.75">
      <c r="A30" s="51"/>
      <c r="B30" s="51"/>
      <c r="C30" s="51"/>
      <c r="D30" s="51"/>
      <c r="E30" s="51" t="s">
        <v>38</v>
      </c>
      <c r="F30" s="51">
        <v>0</v>
      </c>
      <c r="G30" s="52">
        <v>150</v>
      </c>
      <c r="H30" s="53">
        <f t="shared" si="4"/>
        <v>0</v>
      </c>
      <c r="I30" s="54" t="s">
        <v>136</v>
      </c>
    </row>
    <row r="31" spans="1:9" s="4" customFormat="1" x14ac:dyDescent="0.75">
      <c r="A31" s="55"/>
      <c r="B31" s="51"/>
      <c r="C31" s="55" t="s">
        <v>111</v>
      </c>
      <c r="D31" s="55"/>
      <c r="E31" s="51" t="s">
        <v>50</v>
      </c>
      <c r="F31" s="55">
        <v>0</v>
      </c>
      <c r="G31" s="56">
        <v>0</v>
      </c>
      <c r="H31" s="53">
        <f t="shared" si="4"/>
        <v>0</v>
      </c>
      <c r="I31" s="58"/>
    </row>
    <row r="32" spans="1:9" s="4" customFormat="1" x14ac:dyDescent="0.75">
      <c r="A32" s="55"/>
      <c r="B32" s="55"/>
      <c r="C32" s="55"/>
      <c r="D32" s="55"/>
      <c r="E32" s="55"/>
      <c r="F32" s="55"/>
      <c r="G32" s="56"/>
      <c r="H32" s="57" t="s">
        <v>6</v>
      </c>
      <c r="I32" s="58">
        <f>SUM(H24:H31)</f>
        <v>3504.3242</v>
      </c>
    </row>
    <row r="33" spans="1:9" s="4" customFormat="1" x14ac:dyDescent="0.75">
      <c r="A33" s="1" t="s">
        <v>92</v>
      </c>
      <c r="B33" s="1" t="s">
        <v>93</v>
      </c>
      <c r="C33" s="1" t="s">
        <v>22</v>
      </c>
      <c r="D33" s="1" t="s">
        <v>25</v>
      </c>
      <c r="E33" s="1" t="s">
        <v>24</v>
      </c>
      <c r="F33" s="1">
        <v>86.67</v>
      </c>
      <c r="G33" s="9">
        <v>36.06</v>
      </c>
      <c r="H33" s="18">
        <f>PRODUCT(F33:G33)</f>
        <v>3125.3202000000001</v>
      </c>
      <c r="I33" s="12"/>
    </row>
    <row r="34" spans="1:9" s="4" customFormat="1" x14ac:dyDescent="0.75">
      <c r="A34" s="1"/>
      <c r="B34" s="1"/>
      <c r="C34" s="1"/>
      <c r="D34" s="1"/>
      <c r="E34" s="1" t="s">
        <v>77</v>
      </c>
      <c r="F34" s="1">
        <v>0</v>
      </c>
      <c r="G34" s="9">
        <v>36.06</v>
      </c>
      <c r="H34" s="18">
        <f>PRODUCT(F34:G34)</f>
        <v>0</v>
      </c>
      <c r="I34" s="12"/>
    </row>
    <row r="35" spans="1:9" s="4" customFormat="1" x14ac:dyDescent="0.75">
      <c r="A35" s="1"/>
      <c r="B35" s="1"/>
      <c r="C35" s="1"/>
      <c r="D35" s="1"/>
      <c r="E35" s="1" t="s">
        <v>29</v>
      </c>
      <c r="F35" s="1">
        <v>0.5</v>
      </c>
      <c r="G35" s="9">
        <v>50</v>
      </c>
      <c r="H35" s="18">
        <f t="shared" ref="H35:H41" si="5">PRODUCT(F35:G35)</f>
        <v>25</v>
      </c>
      <c r="I35" s="12"/>
    </row>
    <row r="36" spans="1:9" s="4" customFormat="1" x14ac:dyDescent="0.75">
      <c r="A36" s="1"/>
      <c r="B36" s="1"/>
      <c r="C36" s="1"/>
      <c r="D36" s="1"/>
      <c r="E36" s="1" t="s">
        <v>39</v>
      </c>
      <c r="F36" s="1">
        <v>0.5</v>
      </c>
      <c r="G36" s="9">
        <v>500</v>
      </c>
      <c r="H36" s="18">
        <f t="shared" si="5"/>
        <v>250</v>
      </c>
      <c r="I36" s="12"/>
    </row>
    <row r="37" spans="1:9" s="4" customFormat="1" x14ac:dyDescent="0.75">
      <c r="A37" s="1"/>
      <c r="B37" s="1"/>
      <c r="C37" s="1"/>
      <c r="D37" s="1"/>
      <c r="E37" s="1" t="s">
        <v>35</v>
      </c>
      <c r="F37" s="1">
        <v>0</v>
      </c>
      <c r="G37" s="9">
        <v>3</v>
      </c>
      <c r="H37" s="18">
        <f t="shared" si="5"/>
        <v>0</v>
      </c>
      <c r="I37" s="12"/>
    </row>
    <row r="38" spans="1:9" s="4" customFormat="1" x14ac:dyDescent="0.75">
      <c r="A38" s="1"/>
      <c r="B38" s="1"/>
      <c r="C38" s="1"/>
      <c r="D38" s="1"/>
      <c r="E38" s="1" t="s">
        <v>36</v>
      </c>
      <c r="F38" s="1">
        <v>0</v>
      </c>
      <c r="G38" s="9">
        <v>75</v>
      </c>
      <c r="H38" s="18">
        <f t="shared" si="5"/>
        <v>0</v>
      </c>
      <c r="I38" s="12"/>
    </row>
    <row r="39" spans="1:9" s="4" customFormat="1" x14ac:dyDescent="0.75">
      <c r="A39" s="1"/>
      <c r="B39" s="1"/>
      <c r="C39" s="1"/>
      <c r="D39" s="1"/>
      <c r="E39" s="1" t="s">
        <v>38</v>
      </c>
      <c r="F39" s="1">
        <v>0</v>
      </c>
      <c r="G39" s="9">
        <v>150</v>
      </c>
      <c r="H39" s="18">
        <f t="shared" si="5"/>
        <v>0</v>
      </c>
      <c r="I39" s="12"/>
    </row>
    <row r="40" spans="1:9" s="4" customFormat="1" x14ac:dyDescent="0.75">
      <c r="A40" s="1"/>
      <c r="B40" s="1"/>
      <c r="C40" s="1"/>
      <c r="D40" s="1"/>
      <c r="E40" s="1" t="s">
        <v>37</v>
      </c>
      <c r="F40" s="1">
        <v>0</v>
      </c>
      <c r="G40" s="9">
        <v>100</v>
      </c>
      <c r="H40" s="18">
        <f t="shared" si="5"/>
        <v>0</v>
      </c>
      <c r="I40" s="12"/>
    </row>
    <row r="41" spans="1:9" s="4" customFormat="1" x14ac:dyDescent="0.75">
      <c r="A41" s="1"/>
      <c r="B41" s="1"/>
      <c r="C41" s="1"/>
      <c r="D41" s="1"/>
      <c r="E41" s="1" t="s">
        <v>46</v>
      </c>
      <c r="F41" s="1">
        <v>0</v>
      </c>
      <c r="G41" s="9">
        <v>0</v>
      </c>
      <c r="H41" s="18">
        <f t="shared" si="5"/>
        <v>0</v>
      </c>
      <c r="I41" s="12"/>
    </row>
    <row r="42" spans="1:9" s="4" customFormat="1" x14ac:dyDescent="0.75">
      <c r="A42" s="1"/>
      <c r="B42" s="1"/>
      <c r="C42" s="1" t="s">
        <v>112</v>
      </c>
      <c r="D42" s="1"/>
      <c r="E42" s="1" t="s">
        <v>50</v>
      </c>
      <c r="F42" s="1">
        <v>0</v>
      </c>
      <c r="G42" s="9">
        <v>0</v>
      </c>
      <c r="H42" s="18">
        <f>PRODUCT(F42:G42)</f>
        <v>0</v>
      </c>
      <c r="I42" s="12"/>
    </row>
    <row r="43" spans="1:9" s="4" customFormat="1" x14ac:dyDescent="0.75">
      <c r="A43" s="1"/>
      <c r="B43" s="1"/>
      <c r="C43" s="1"/>
      <c r="D43" s="1"/>
      <c r="E43" s="1"/>
      <c r="F43" s="1"/>
      <c r="G43" s="9"/>
      <c r="H43" s="18" t="s">
        <v>6</v>
      </c>
      <c r="I43" s="12">
        <f>SUM(H33:H42)</f>
        <v>3400.3202000000001</v>
      </c>
    </row>
    <row r="44" spans="1:9" s="4" customFormat="1" x14ac:dyDescent="0.75">
      <c r="A44" s="92"/>
      <c r="B44" s="92"/>
      <c r="C44" s="92" t="s">
        <v>22</v>
      </c>
      <c r="D44" s="92" t="s">
        <v>25</v>
      </c>
      <c r="E44" s="92" t="s">
        <v>24</v>
      </c>
      <c r="F44" s="92">
        <v>0</v>
      </c>
      <c r="G44" s="93">
        <v>36.06</v>
      </c>
      <c r="H44" s="94">
        <f>PRODUCT(F44:G44)</f>
        <v>0</v>
      </c>
      <c r="I44" s="95"/>
    </row>
    <row r="45" spans="1:9" s="4" customFormat="1" x14ac:dyDescent="0.75">
      <c r="A45" s="92"/>
      <c r="B45" s="92"/>
      <c r="C45" s="92"/>
      <c r="D45" s="92"/>
      <c r="E45" s="92" t="s">
        <v>77</v>
      </c>
      <c r="F45" s="92">
        <v>0</v>
      </c>
      <c r="G45" s="93">
        <v>36.06</v>
      </c>
      <c r="H45" s="94">
        <f t="shared" ref="H45:H52" si="6">PRODUCT(F45:G45)</f>
        <v>0</v>
      </c>
      <c r="I45" s="95"/>
    </row>
    <row r="46" spans="1:9" s="4" customFormat="1" x14ac:dyDescent="0.75">
      <c r="A46" s="92"/>
      <c r="B46" s="92"/>
      <c r="C46" s="92"/>
      <c r="D46" s="92"/>
      <c r="E46" s="92" t="s">
        <v>39</v>
      </c>
      <c r="F46" s="92">
        <v>0</v>
      </c>
      <c r="G46" s="93">
        <v>600</v>
      </c>
      <c r="H46" s="94">
        <f t="shared" si="6"/>
        <v>0</v>
      </c>
      <c r="I46" s="95"/>
    </row>
    <row r="47" spans="1:9" s="4" customFormat="1" x14ac:dyDescent="0.75">
      <c r="A47" s="92"/>
      <c r="B47" s="92"/>
      <c r="C47" s="92"/>
      <c r="D47" s="92"/>
      <c r="E47" s="92" t="s">
        <v>29</v>
      </c>
      <c r="F47" s="92">
        <v>0</v>
      </c>
      <c r="G47" s="93">
        <v>50</v>
      </c>
      <c r="H47" s="94">
        <f t="shared" si="6"/>
        <v>0</v>
      </c>
      <c r="I47" s="95"/>
    </row>
    <row r="48" spans="1:9" s="4" customFormat="1" x14ac:dyDescent="0.75">
      <c r="A48" s="92"/>
      <c r="B48" s="92"/>
      <c r="C48" s="92"/>
      <c r="D48" s="92"/>
      <c r="E48" s="92" t="s">
        <v>33</v>
      </c>
      <c r="F48" s="92">
        <v>0</v>
      </c>
      <c r="G48" s="93">
        <v>3</v>
      </c>
      <c r="H48" s="94">
        <f t="shared" si="6"/>
        <v>0</v>
      </c>
      <c r="I48" s="95"/>
    </row>
    <row r="49" spans="1:9" s="4" customFormat="1" x14ac:dyDescent="0.75">
      <c r="A49" s="92"/>
      <c r="B49" s="92"/>
      <c r="C49" s="92"/>
      <c r="D49" s="92"/>
      <c r="E49" s="92" t="s">
        <v>36</v>
      </c>
      <c r="F49" s="92">
        <v>0</v>
      </c>
      <c r="G49" s="93">
        <v>75</v>
      </c>
      <c r="H49" s="94">
        <f t="shared" si="6"/>
        <v>0</v>
      </c>
      <c r="I49" s="95"/>
    </row>
    <row r="50" spans="1:9" s="4" customFormat="1" x14ac:dyDescent="0.75">
      <c r="A50" s="92"/>
      <c r="B50" s="92"/>
      <c r="C50" s="92"/>
      <c r="D50" s="92"/>
      <c r="E50" s="92" t="s">
        <v>45</v>
      </c>
      <c r="F50" s="92">
        <v>0</v>
      </c>
      <c r="G50" s="93">
        <v>100</v>
      </c>
      <c r="H50" s="94">
        <f t="shared" si="6"/>
        <v>0</v>
      </c>
      <c r="I50" s="95"/>
    </row>
    <row r="51" spans="1:9" s="4" customFormat="1" x14ac:dyDescent="0.75">
      <c r="A51" s="92"/>
      <c r="B51" s="92"/>
      <c r="C51" s="92"/>
      <c r="D51" s="92"/>
      <c r="E51" s="92" t="s">
        <v>38</v>
      </c>
      <c r="F51" s="92">
        <v>0</v>
      </c>
      <c r="G51" s="93">
        <v>150</v>
      </c>
      <c r="H51" s="94">
        <f t="shared" si="6"/>
        <v>0</v>
      </c>
      <c r="I51" s="95"/>
    </row>
    <row r="52" spans="1:9" s="4" customFormat="1" x14ac:dyDescent="0.75">
      <c r="A52" s="92"/>
      <c r="B52" s="92"/>
      <c r="C52" s="92" t="s">
        <v>112</v>
      </c>
      <c r="D52" s="92"/>
      <c r="E52" s="92" t="s">
        <v>50</v>
      </c>
      <c r="F52" s="92">
        <v>0</v>
      </c>
      <c r="G52" s="93">
        <v>34.909999999999997</v>
      </c>
      <c r="H52" s="94">
        <f t="shared" si="6"/>
        <v>0</v>
      </c>
      <c r="I52" s="95"/>
    </row>
    <row r="53" spans="1:9" s="4" customFormat="1" x14ac:dyDescent="0.75">
      <c r="A53" s="92"/>
      <c r="B53" s="92"/>
      <c r="C53" s="92"/>
      <c r="D53" s="92"/>
      <c r="E53" s="92"/>
      <c r="F53" s="92"/>
      <c r="G53" s="93"/>
      <c r="H53" s="94" t="s">
        <v>6</v>
      </c>
      <c r="I53" s="95">
        <f>SUM(H44:H52)</f>
        <v>0</v>
      </c>
    </row>
    <row r="54" spans="1:9" s="4" customFormat="1" x14ac:dyDescent="0.75">
      <c r="A54" s="1"/>
      <c r="B54" s="1"/>
      <c r="C54" s="1" t="s">
        <v>22</v>
      </c>
      <c r="D54" s="1" t="s">
        <v>110</v>
      </c>
      <c r="E54" s="1" t="s">
        <v>24</v>
      </c>
      <c r="F54" s="1">
        <v>0</v>
      </c>
      <c r="G54" s="9">
        <v>31.25</v>
      </c>
      <c r="H54" s="18">
        <f>PRODUCT(F54:G54)</f>
        <v>0</v>
      </c>
      <c r="I54" s="106"/>
    </row>
    <row r="55" spans="1:9" s="4" customFormat="1" x14ac:dyDescent="0.75">
      <c r="A55" s="1"/>
      <c r="B55" s="1"/>
      <c r="C55" s="1"/>
      <c r="D55" s="1"/>
      <c r="E55" s="1" t="s">
        <v>28</v>
      </c>
      <c r="F55" s="1">
        <v>0</v>
      </c>
      <c r="G55" s="9">
        <v>400</v>
      </c>
      <c r="H55" s="18">
        <f t="shared" ref="H55:H58" si="7">PRODUCT(F55:G55)</f>
        <v>0</v>
      </c>
      <c r="I55" s="107"/>
    </row>
    <row r="56" spans="1:9" s="4" customFormat="1" x14ac:dyDescent="0.75">
      <c r="A56" s="1"/>
      <c r="B56" s="1"/>
      <c r="C56" s="1"/>
      <c r="D56" s="1"/>
      <c r="E56" s="1" t="s">
        <v>29</v>
      </c>
      <c r="F56" s="1">
        <v>0</v>
      </c>
      <c r="G56" s="9">
        <v>50</v>
      </c>
      <c r="H56" s="18">
        <f t="shared" si="7"/>
        <v>0</v>
      </c>
      <c r="I56" s="108"/>
    </row>
    <row r="57" spans="1:9" s="4" customFormat="1" x14ac:dyDescent="0.75">
      <c r="A57" s="1"/>
      <c r="B57" s="1"/>
      <c r="C57" s="1"/>
      <c r="D57" s="1"/>
      <c r="E57" s="1" t="s">
        <v>46</v>
      </c>
      <c r="F57" s="1">
        <v>0</v>
      </c>
      <c r="G57" s="9">
        <v>0</v>
      </c>
      <c r="H57" s="18">
        <f>PRODUCT(F57:G57)</f>
        <v>0</v>
      </c>
      <c r="I57" s="109"/>
    </row>
    <row r="58" spans="1:9" s="4" customFormat="1" x14ac:dyDescent="0.75">
      <c r="A58" s="1"/>
      <c r="B58" s="1"/>
      <c r="C58" s="1" t="s">
        <v>112</v>
      </c>
      <c r="D58" s="1"/>
      <c r="E58" s="1" t="s">
        <v>50</v>
      </c>
      <c r="F58" s="1">
        <v>0</v>
      </c>
      <c r="G58" s="9">
        <v>0</v>
      </c>
      <c r="H58" s="18">
        <f t="shared" si="7"/>
        <v>0</v>
      </c>
      <c r="I58" s="12"/>
    </row>
    <row r="59" spans="1:9" s="4" customFormat="1" x14ac:dyDescent="0.75">
      <c r="A59" s="1"/>
      <c r="B59" s="1"/>
      <c r="C59" s="1"/>
      <c r="D59" s="1"/>
      <c r="E59" s="1"/>
      <c r="F59" s="1"/>
      <c r="G59" s="9"/>
      <c r="H59" s="18"/>
      <c r="I59" s="12"/>
    </row>
    <row r="60" spans="1:9" s="4" customFormat="1" x14ac:dyDescent="0.75">
      <c r="A60" s="1"/>
      <c r="B60" s="1"/>
      <c r="C60" s="1"/>
      <c r="D60" s="1"/>
      <c r="E60" s="1"/>
      <c r="F60" s="1"/>
      <c r="G60" s="9"/>
      <c r="H60" s="18"/>
      <c r="I60" s="12"/>
    </row>
    <row r="61" spans="1:9" s="4" customFormat="1" x14ac:dyDescent="0.75">
      <c r="A61" s="1"/>
      <c r="B61" s="1"/>
      <c r="C61" s="1"/>
      <c r="D61" s="1"/>
      <c r="E61" s="1"/>
      <c r="F61" s="1"/>
      <c r="G61" s="9"/>
      <c r="H61" s="18"/>
      <c r="I61" s="12"/>
    </row>
    <row r="62" spans="1:9" s="4" customFormat="1" x14ac:dyDescent="0.75">
      <c r="A62" s="1"/>
      <c r="B62" s="1"/>
      <c r="C62" s="1"/>
      <c r="D62" s="1"/>
      <c r="E62" s="1"/>
      <c r="F62" s="1"/>
      <c r="G62" s="9"/>
      <c r="H62" s="18" t="s">
        <v>6</v>
      </c>
      <c r="I62" s="12">
        <f>SUM(H54:H61)</f>
        <v>0</v>
      </c>
    </row>
    <row r="63" spans="1:9" s="4" customFormat="1" x14ac:dyDescent="0.75">
      <c r="A63" s="51" t="s">
        <v>16</v>
      </c>
      <c r="B63" s="51" t="s">
        <v>17</v>
      </c>
      <c r="C63" s="51" t="s">
        <v>22</v>
      </c>
      <c r="D63" s="51" t="s">
        <v>9</v>
      </c>
      <c r="E63" s="51" t="s">
        <v>24</v>
      </c>
      <c r="F63" s="51">
        <v>86.67</v>
      </c>
      <c r="G63" s="52">
        <v>22.36</v>
      </c>
      <c r="H63" s="53">
        <f>PRODUCT(F63:G63)</f>
        <v>1937.9412</v>
      </c>
      <c r="I63" s="54"/>
    </row>
    <row r="64" spans="1:9" s="4" customFormat="1" x14ac:dyDescent="0.75">
      <c r="A64" s="51"/>
      <c r="B64" s="51"/>
      <c r="C64" s="51"/>
      <c r="D64" s="51"/>
      <c r="E64" s="51" t="s">
        <v>77</v>
      </c>
      <c r="F64" s="51">
        <v>0</v>
      </c>
      <c r="G64" s="52">
        <v>22.36</v>
      </c>
      <c r="H64" s="53">
        <f t="shared" ref="H64:H65" si="8">PRODUCT(F64:G64)</f>
        <v>0</v>
      </c>
      <c r="I64" s="54"/>
    </row>
    <row r="65" spans="1:20" s="4" customFormat="1" x14ac:dyDescent="0.75">
      <c r="A65" s="51"/>
      <c r="B65" s="51"/>
      <c r="C65" s="51"/>
      <c r="D65" s="51"/>
      <c r="E65" s="51" t="s">
        <v>39</v>
      </c>
      <c r="F65" s="51">
        <v>0.5</v>
      </c>
      <c r="G65" s="52">
        <v>350</v>
      </c>
      <c r="H65" s="53">
        <f t="shared" si="8"/>
        <v>175</v>
      </c>
      <c r="I65" s="54"/>
    </row>
    <row r="66" spans="1:20" s="4" customFormat="1" x14ac:dyDescent="0.75">
      <c r="A66" s="51"/>
      <c r="B66" s="51"/>
      <c r="C66" s="51"/>
      <c r="D66" s="51"/>
      <c r="E66" s="51"/>
      <c r="F66" s="51"/>
      <c r="G66" s="52"/>
      <c r="H66" s="53"/>
      <c r="I66" s="54"/>
    </row>
    <row r="67" spans="1:20" s="4" customFormat="1" x14ac:dyDescent="0.75">
      <c r="A67" s="51"/>
      <c r="B67" s="51"/>
      <c r="C67" s="51"/>
      <c r="D67" s="51"/>
      <c r="E67" s="51"/>
      <c r="F67" s="51"/>
      <c r="G67" s="52"/>
      <c r="H67" s="53"/>
      <c r="I67" s="54"/>
    </row>
    <row r="68" spans="1:20" s="4" customFormat="1" x14ac:dyDescent="0.75">
      <c r="A68" s="51"/>
      <c r="B68" s="51"/>
      <c r="C68" s="51"/>
      <c r="D68" s="51"/>
      <c r="E68" s="51"/>
      <c r="F68" s="51"/>
      <c r="G68" s="52"/>
      <c r="H68" s="53" t="s">
        <v>6</v>
      </c>
      <c r="I68" s="54">
        <f>SUM(H63:H67)</f>
        <v>2112.9412000000002</v>
      </c>
      <c r="J68"/>
      <c r="K68"/>
      <c r="L68"/>
      <c r="M68"/>
      <c r="N68"/>
      <c r="O68"/>
      <c r="P68"/>
      <c r="Q68"/>
      <c r="R68"/>
      <c r="S68"/>
      <c r="T68"/>
    </row>
    <row r="69" spans="1:20" s="4" customFormat="1" x14ac:dyDescent="0.75">
      <c r="A69" s="1" t="s">
        <v>99</v>
      </c>
      <c r="B69" s="1" t="s">
        <v>99</v>
      </c>
      <c r="C69" s="1" t="s">
        <v>22</v>
      </c>
      <c r="D69" s="1" t="s">
        <v>9</v>
      </c>
      <c r="E69" s="1" t="s">
        <v>24</v>
      </c>
      <c r="F69" s="1">
        <v>0</v>
      </c>
      <c r="G69" s="9">
        <v>23</v>
      </c>
      <c r="H69" s="18">
        <f>PRODUCT(F69:G69)</f>
        <v>0</v>
      </c>
      <c r="I69" s="14"/>
    </row>
    <row r="70" spans="1:20" s="4" customFormat="1" x14ac:dyDescent="0.75">
      <c r="A70" s="1"/>
      <c r="B70" s="1"/>
      <c r="C70" s="1"/>
      <c r="D70" s="1"/>
      <c r="E70" s="1" t="s">
        <v>77</v>
      </c>
      <c r="F70" s="1">
        <v>0</v>
      </c>
      <c r="G70" s="9">
        <v>23</v>
      </c>
      <c r="H70" s="18">
        <f t="shared" ref="H70:H72" si="9">PRODUCT(F70:G70)</f>
        <v>0</v>
      </c>
      <c r="I70" s="14"/>
    </row>
    <row r="71" spans="1:20" s="4" customFormat="1" x14ac:dyDescent="0.75">
      <c r="A71" s="1"/>
      <c r="B71" s="1"/>
      <c r="C71" s="1"/>
      <c r="D71" s="1"/>
      <c r="E71" s="1" t="s">
        <v>34</v>
      </c>
      <c r="F71" s="1">
        <v>0</v>
      </c>
      <c r="G71" s="9">
        <v>0.5</v>
      </c>
      <c r="H71" s="18">
        <f t="shared" ref="H71" si="10">PRODUCT(F71:G71)</f>
        <v>0</v>
      </c>
      <c r="I71" s="14"/>
    </row>
    <row r="72" spans="1:20" s="4" customFormat="1" x14ac:dyDescent="0.75">
      <c r="A72" s="1"/>
      <c r="B72" s="1"/>
      <c r="C72" s="1"/>
      <c r="D72" s="1"/>
      <c r="E72" s="1" t="s">
        <v>95</v>
      </c>
      <c r="F72" s="1">
        <v>0</v>
      </c>
      <c r="G72" s="9">
        <v>50</v>
      </c>
      <c r="H72" s="18">
        <f t="shared" si="9"/>
        <v>0</v>
      </c>
      <c r="I72" s="14"/>
    </row>
    <row r="73" spans="1:20" s="4" customFormat="1" x14ac:dyDescent="0.75">
      <c r="A73" s="1"/>
      <c r="B73" s="1"/>
      <c r="C73" s="1"/>
      <c r="D73" s="1"/>
      <c r="E73" s="1"/>
      <c r="F73" s="1"/>
      <c r="G73" s="9"/>
      <c r="H73" s="18"/>
      <c r="I73" s="14"/>
    </row>
    <row r="74" spans="1:20" s="4" customFormat="1" x14ac:dyDescent="0.75">
      <c r="A74" s="1"/>
      <c r="B74" s="1"/>
      <c r="C74" s="1"/>
      <c r="D74" s="1"/>
      <c r="E74" s="1"/>
      <c r="F74" s="1"/>
      <c r="G74" s="9"/>
      <c r="H74" s="18" t="s">
        <v>6</v>
      </c>
      <c r="I74" s="12">
        <f>SUM(H69:H73)</f>
        <v>0</v>
      </c>
    </row>
    <row r="75" spans="1:20" s="4" customFormat="1" x14ac:dyDescent="0.75">
      <c r="A75" s="51" t="s">
        <v>82</v>
      </c>
      <c r="B75" s="51" t="s">
        <v>83</v>
      </c>
      <c r="C75" s="51" t="s">
        <v>22</v>
      </c>
      <c r="D75" s="51" t="s">
        <v>9</v>
      </c>
      <c r="E75" s="51" t="s">
        <v>24</v>
      </c>
      <c r="F75" s="51">
        <v>86.67</v>
      </c>
      <c r="G75" s="52">
        <v>22.12</v>
      </c>
      <c r="H75" s="53">
        <f>PRODUCT(F75:G75)</f>
        <v>1917.1404000000002</v>
      </c>
      <c r="I75" s="59"/>
    </row>
    <row r="76" spans="1:20" s="4" customFormat="1" x14ac:dyDescent="0.75">
      <c r="A76" s="51"/>
      <c r="B76" s="51"/>
      <c r="C76" s="51"/>
      <c r="D76" s="51"/>
      <c r="E76" s="51" t="s">
        <v>80</v>
      </c>
      <c r="F76" s="51">
        <v>0.5</v>
      </c>
      <c r="G76" s="52">
        <v>600</v>
      </c>
      <c r="H76" s="53">
        <f t="shared" ref="H76:H77" si="11">PRODUCT(F76:G76)</f>
        <v>300</v>
      </c>
      <c r="I76" s="59"/>
    </row>
    <row r="77" spans="1:20" s="4" customFormat="1" x14ac:dyDescent="0.75">
      <c r="A77" s="51"/>
      <c r="B77" s="51"/>
      <c r="C77" s="51"/>
      <c r="D77" s="51"/>
      <c r="E77" s="51" t="s">
        <v>29</v>
      </c>
      <c r="F77" s="51"/>
      <c r="G77" s="52"/>
      <c r="H77" s="53">
        <f t="shared" si="11"/>
        <v>0</v>
      </c>
      <c r="I77" s="59"/>
    </row>
    <row r="78" spans="1:20" s="4" customFormat="1" x14ac:dyDescent="0.75">
      <c r="A78" s="51"/>
      <c r="B78" s="51"/>
      <c r="C78" s="51"/>
      <c r="D78" s="51"/>
      <c r="E78" s="51"/>
      <c r="F78" s="51"/>
      <c r="G78" s="52"/>
      <c r="H78" s="53"/>
      <c r="I78" s="54"/>
    </row>
    <row r="79" spans="1:20" s="4" customFormat="1" x14ac:dyDescent="0.75">
      <c r="A79" s="55"/>
      <c r="B79" s="55"/>
      <c r="C79" s="55"/>
      <c r="D79" s="55"/>
      <c r="E79" s="55"/>
      <c r="F79" s="55"/>
      <c r="G79" s="56"/>
      <c r="H79" s="53" t="s">
        <v>6</v>
      </c>
      <c r="I79" s="54">
        <f>SUM(H75:H77)</f>
        <v>2217.1404000000002</v>
      </c>
    </row>
    <row r="80" spans="1:20" s="4" customFormat="1" x14ac:dyDescent="0.75">
      <c r="A80" s="1" t="s">
        <v>104</v>
      </c>
      <c r="B80" s="1" t="s">
        <v>94</v>
      </c>
      <c r="C80" s="1" t="s">
        <v>23</v>
      </c>
      <c r="D80" s="1" t="s">
        <v>9</v>
      </c>
      <c r="E80" s="1" t="s">
        <v>31</v>
      </c>
      <c r="F80" s="1">
        <v>7</v>
      </c>
      <c r="G80" s="9">
        <v>21</v>
      </c>
      <c r="H80" s="18">
        <f t="shared" ref="H80:H81" si="12">PRODUCT(F80:G80)</f>
        <v>147</v>
      </c>
      <c r="I80" s="12"/>
    </row>
    <row r="81" spans="1:9" s="4" customFormat="1" x14ac:dyDescent="0.75">
      <c r="A81" s="1"/>
      <c r="B81" s="1"/>
      <c r="C81" s="1"/>
      <c r="D81" s="97"/>
      <c r="E81" s="1" t="s">
        <v>34</v>
      </c>
      <c r="F81" s="1">
        <v>20</v>
      </c>
      <c r="G81" s="9">
        <v>0.5</v>
      </c>
      <c r="H81" s="18">
        <f t="shared" si="12"/>
        <v>10</v>
      </c>
      <c r="I81" s="12"/>
    </row>
    <row r="82" spans="1:9" s="4" customFormat="1" x14ac:dyDescent="0.75">
      <c r="A82" s="1"/>
      <c r="B82" s="1"/>
      <c r="C82" s="98"/>
      <c r="D82" s="1"/>
      <c r="E82" s="1"/>
      <c r="F82" s="1"/>
      <c r="G82" s="9"/>
      <c r="H82" s="18"/>
      <c r="I82" s="12"/>
    </row>
    <row r="83" spans="1:9" s="4" customFormat="1" x14ac:dyDescent="0.75">
      <c r="A83" s="1"/>
      <c r="B83" s="1"/>
      <c r="C83" s="1"/>
      <c r="D83" s="1"/>
      <c r="E83" s="1"/>
      <c r="F83" s="1"/>
      <c r="G83" s="9"/>
      <c r="H83" s="18"/>
      <c r="I83" s="12"/>
    </row>
    <row r="84" spans="1:9" s="4" customFormat="1" x14ac:dyDescent="0.75">
      <c r="A84" s="1"/>
      <c r="B84" s="1"/>
      <c r="C84" s="1"/>
      <c r="D84" s="1"/>
      <c r="E84" s="1"/>
      <c r="F84" s="1"/>
      <c r="G84" s="9"/>
      <c r="H84" s="18"/>
      <c r="I84" s="12"/>
    </row>
    <row r="85" spans="1:9" s="4" customFormat="1" x14ac:dyDescent="0.75">
      <c r="A85" s="1"/>
      <c r="B85" s="1"/>
      <c r="C85" s="1"/>
      <c r="D85" s="1"/>
      <c r="E85" s="1"/>
      <c r="F85" s="1"/>
      <c r="G85" s="9"/>
      <c r="H85" s="18" t="s">
        <v>6</v>
      </c>
      <c r="I85" s="12">
        <f>SUM(H80:H84)</f>
        <v>157</v>
      </c>
    </row>
    <row r="86" spans="1:9" s="4" customFormat="1" x14ac:dyDescent="0.75">
      <c r="A86" s="51" t="s">
        <v>99</v>
      </c>
      <c r="B86" s="51" t="s">
        <v>99</v>
      </c>
      <c r="C86" s="92" t="s">
        <v>23</v>
      </c>
      <c r="D86" s="92" t="s">
        <v>9</v>
      </c>
      <c r="E86" s="51" t="s">
        <v>23</v>
      </c>
      <c r="F86" s="51">
        <v>0</v>
      </c>
      <c r="G86" s="52">
        <v>21</v>
      </c>
      <c r="H86" s="53">
        <f>PRODUCT(F86:G86)</f>
        <v>0</v>
      </c>
      <c r="I86" s="59"/>
    </row>
    <row r="87" spans="1:9" s="4" customFormat="1" x14ac:dyDescent="0.75">
      <c r="A87" s="92"/>
      <c r="B87" s="92"/>
      <c r="C87" s="92"/>
      <c r="D87" s="92"/>
      <c r="E87" s="51" t="s">
        <v>34</v>
      </c>
      <c r="F87" s="51">
        <v>0</v>
      </c>
      <c r="G87" s="52">
        <v>0.5</v>
      </c>
      <c r="H87" s="53">
        <f t="shared" ref="H87" si="13">PRODUCT(F87:G87)</f>
        <v>0</v>
      </c>
      <c r="I87" s="59"/>
    </row>
    <row r="88" spans="1:9" s="4" customFormat="1" x14ac:dyDescent="0.75">
      <c r="A88" s="51"/>
      <c r="B88" s="51"/>
      <c r="C88" s="51"/>
      <c r="D88" s="51"/>
      <c r="E88" s="51"/>
      <c r="F88" s="51"/>
      <c r="G88" s="52"/>
      <c r="H88" s="53"/>
      <c r="I88" s="59"/>
    </row>
    <row r="89" spans="1:9" s="4" customFormat="1" x14ac:dyDescent="0.75">
      <c r="A89" s="51"/>
      <c r="B89" s="51"/>
      <c r="C89" s="51"/>
      <c r="D89" s="51"/>
      <c r="E89" s="51"/>
      <c r="F89" s="51"/>
      <c r="G89" s="52"/>
      <c r="H89" s="53"/>
      <c r="I89" s="59"/>
    </row>
    <row r="90" spans="1:9" s="4" customFormat="1" x14ac:dyDescent="0.75">
      <c r="A90" s="51"/>
      <c r="B90" s="51"/>
      <c r="C90" s="51"/>
      <c r="D90" s="51"/>
      <c r="E90" s="51"/>
      <c r="F90" s="51"/>
      <c r="G90" s="52"/>
      <c r="H90" s="53" t="s">
        <v>6</v>
      </c>
      <c r="I90" s="54">
        <f>SUM(H86:H89)</f>
        <v>0</v>
      </c>
    </row>
    <row r="91" spans="1:9" s="4" customFormat="1" x14ac:dyDescent="0.75">
      <c r="A91" s="1" t="s">
        <v>113</v>
      </c>
      <c r="B91" s="1" t="s">
        <v>114</v>
      </c>
      <c r="C91" s="1" t="s">
        <v>23</v>
      </c>
      <c r="D91" s="1" t="s">
        <v>9</v>
      </c>
      <c r="E91" s="1" t="s">
        <v>31</v>
      </c>
      <c r="F91" s="1">
        <v>0</v>
      </c>
      <c r="G91" s="9">
        <v>21</v>
      </c>
      <c r="H91" s="18">
        <f>PRODUCT(F91:G91)</f>
        <v>0</v>
      </c>
      <c r="I91" s="12"/>
    </row>
    <row r="92" spans="1:9" s="4" customFormat="1" x14ac:dyDescent="0.75">
      <c r="A92" s="1"/>
      <c r="B92" s="1"/>
      <c r="C92" s="1"/>
      <c r="D92" s="1"/>
      <c r="E92" s="1" t="s">
        <v>34</v>
      </c>
      <c r="F92" s="1">
        <v>0</v>
      </c>
      <c r="G92" s="9">
        <v>0.5</v>
      </c>
      <c r="H92" s="18">
        <f t="shared" ref="H92:H94" si="14">PRODUCT(F92:G92)</f>
        <v>0</v>
      </c>
      <c r="I92" s="12"/>
    </row>
    <row r="93" spans="1:9" s="4" customFormat="1" x14ac:dyDescent="0.75">
      <c r="A93" s="1"/>
      <c r="B93" s="1"/>
      <c r="C93" s="1"/>
      <c r="D93" s="1"/>
      <c r="E93" s="1"/>
      <c r="F93" s="1">
        <v>0</v>
      </c>
      <c r="G93" s="9">
        <v>15</v>
      </c>
      <c r="H93" s="18">
        <f t="shared" si="14"/>
        <v>0</v>
      </c>
      <c r="I93" s="12"/>
    </row>
    <row r="94" spans="1:9" s="4" customFormat="1" x14ac:dyDescent="0.75">
      <c r="A94" s="1"/>
      <c r="B94" s="1"/>
      <c r="C94" s="1"/>
      <c r="D94" s="1"/>
      <c r="E94" s="1"/>
      <c r="F94" s="1">
        <v>0</v>
      </c>
      <c r="G94" s="9">
        <v>0</v>
      </c>
      <c r="H94" s="18">
        <f t="shared" si="14"/>
        <v>0</v>
      </c>
      <c r="I94" s="12"/>
    </row>
    <row r="95" spans="1:9" s="4" customFormat="1" x14ac:dyDescent="0.75">
      <c r="A95" s="1"/>
      <c r="B95" s="1"/>
      <c r="C95" s="1"/>
      <c r="D95" s="1"/>
      <c r="E95" s="1"/>
      <c r="F95" s="1"/>
      <c r="G95" s="9"/>
      <c r="H95" s="18" t="s">
        <v>6</v>
      </c>
      <c r="I95" s="12">
        <f>SUM(H91:H94)</f>
        <v>0</v>
      </c>
    </row>
    <row r="96" spans="1:9" s="4" customFormat="1" x14ac:dyDescent="0.75">
      <c r="A96" s="51" t="s">
        <v>99</v>
      </c>
      <c r="B96" s="51" t="s">
        <v>99</v>
      </c>
      <c r="C96" s="51"/>
      <c r="D96" s="51" t="s">
        <v>110</v>
      </c>
      <c r="E96" s="51" t="s">
        <v>24</v>
      </c>
      <c r="F96" s="51">
        <v>0</v>
      </c>
      <c r="G96" s="52">
        <v>11.54</v>
      </c>
      <c r="H96" s="53">
        <f>PRODUCT(F96:G96)</f>
        <v>0</v>
      </c>
      <c r="I96" s="54"/>
    </row>
    <row r="97" spans="1:9" s="4" customFormat="1" x14ac:dyDescent="0.75">
      <c r="A97" s="51"/>
      <c r="B97" s="51"/>
      <c r="C97" s="51"/>
      <c r="D97" s="51"/>
      <c r="E97" s="51" t="s">
        <v>115</v>
      </c>
      <c r="F97" s="51">
        <v>0</v>
      </c>
      <c r="G97" s="52">
        <v>0.51</v>
      </c>
      <c r="H97" s="53">
        <f t="shared" ref="H97:H98" si="15">PRODUCT(F97:G97)</f>
        <v>0</v>
      </c>
      <c r="I97" s="54"/>
    </row>
    <row r="98" spans="1:9" s="4" customFormat="1" x14ac:dyDescent="0.75">
      <c r="A98" s="51"/>
      <c r="B98" s="51"/>
      <c r="C98" s="55" t="s">
        <v>111</v>
      </c>
      <c r="D98" s="51"/>
      <c r="E98" s="51" t="s">
        <v>50</v>
      </c>
      <c r="F98" s="51">
        <v>0</v>
      </c>
      <c r="G98" s="52">
        <v>0</v>
      </c>
      <c r="H98" s="53">
        <f t="shared" si="15"/>
        <v>0</v>
      </c>
      <c r="I98" s="54"/>
    </row>
    <row r="99" spans="1:9" s="4" customFormat="1" x14ac:dyDescent="0.75">
      <c r="A99" s="51"/>
      <c r="B99" s="51"/>
      <c r="C99" s="51"/>
      <c r="D99" s="51"/>
      <c r="E99" s="51"/>
      <c r="F99" s="51"/>
      <c r="G99" s="52"/>
      <c r="H99" s="53"/>
      <c r="I99" s="54">
        <f>SUM(H96:H98)</f>
        <v>0</v>
      </c>
    </row>
    <row r="100" spans="1:9" s="4" customFormat="1" x14ac:dyDescent="0.75">
      <c r="A100" s="1" t="s">
        <v>99</v>
      </c>
      <c r="B100" s="1" t="s">
        <v>99</v>
      </c>
      <c r="C100" s="1" t="s">
        <v>23</v>
      </c>
      <c r="D100" s="1" t="s">
        <v>9</v>
      </c>
      <c r="E100" s="1" t="s">
        <v>23</v>
      </c>
      <c r="F100" s="1">
        <v>0</v>
      </c>
      <c r="G100" s="9">
        <v>18</v>
      </c>
      <c r="H100" s="18">
        <f>PRODUCT(F100:G100)</f>
        <v>0</v>
      </c>
      <c r="I100" s="14"/>
    </row>
    <row r="101" spans="1:9" s="4" customFormat="1" x14ac:dyDescent="0.75">
      <c r="A101" s="1"/>
      <c r="B101" s="1"/>
      <c r="C101" s="1"/>
      <c r="D101" s="1"/>
      <c r="E101" s="1" t="s">
        <v>34</v>
      </c>
      <c r="F101" s="1">
        <v>0</v>
      </c>
      <c r="G101" s="9">
        <v>0.5</v>
      </c>
      <c r="H101" s="18">
        <f t="shared" ref="H101" si="16">PRODUCT(F101:G101)</f>
        <v>0</v>
      </c>
      <c r="I101" s="14"/>
    </row>
    <row r="102" spans="1:9" s="4" customFormat="1" x14ac:dyDescent="0.75">
      <c r="A102" s="1"/>
      <c r="B102" s="1"/>
      <c r="C102" s="1"/>
      <c r="D102" s="1"/>
      <c r="E102" s="1"/>
      <c r="F102" s="1"/>
      <c r="G102" s="9"/>
      <c r="H102" s="18"/>
      <c r="I102" s="14"/>
    </row>
    <row r="103" spans="1:9" s="4" customFormat="1" x14ac:dyDescent="0.75">
      <c r="A103" s="1"/>
      <c r="B103" s="1"/>
      <c r="C103" s="1"/>
      <c r="D103" s="1"/>
      <c r="E103" s="1"/>
      <c r="F103" s="1"/>
      <c r="G103" s="9"/>
      <c r="H103" s="18" t="s">
        <v>6</v>
      </c>
      <c r="I103" s="12">
        <f>SUM(H100:H102)</f>
        <v>0</v>
      </c>
    </row>
    <row r="104" spans="1:9" s="4" customFormat="1" x14ac:dyDescent="0.75">
      <c r="A104" s="51" t="s">
        <v>57</v>
      </c>
      <c r="B104" s="51" t="s">
        <v>58</v>
      </c>
      <c r="C104" s="51" t="s">
        <v>56</v>
      </c>
      <c r="D104" s="51" t="s">
        <v>10</v>
      </c>
      <c r="E104" s="51" t="s">
        <v>31</v>
      </c>
      <c r="F104" s="51"/>
      <c r="G104" s="52"/>
      <c r="H104" s="53"/>
      <c r="I104" s="54"/>
    </row>
    <row r="105" spans="1:9" s="4" customFormat="1" x14ac:dyDescent="0.75">
      <c r="A105" s="51"/>
      <c r="B105" s="51"/>
      <c r="C105" s="51" t="s">
        <v>79</v>
      </c>
      <c r="D105" s="51"/>
      <c r="E105" s="51" t="s">
        <v>33</v>
      </c>
      <c r="F105" s="51">
        <v>112</v>
      </c>
      <c r="G105" s="52">
        <v>3</v>
      </c>
      <c r="H105" s="53">
        <f t="shared" ref="H105:H107" si="17">PRODUCT(F105:G105)</f>
        <v>336</v>
      </c>
      <c r="I105" s="54"/>
    </row>
    <row r="106" spans="1:9" s="4" customFormat="1" x14ac:dyDescent="0.75">
      <c r="A106" s="51"/>
      <c r="B106" s="51"/>
      <c r="C106" s="51"/>
      <c r="D106" s="51"/>
      <c r="E106" s="51" t="s">
        <v>44</v>
      </c>
      <c r="F106" s="51">
        <v>11</v>
      </c>
      <c r="G106" s="52">
        <v>75</v>
      </c>
      <c r="H106" s="53">
        <f t="shared" si="17"/>
        <v>825</v>
      </c>
      <c r="I106" s="54"/>
    </row>
    <row r="107" spans="1:9" s="4" customFormat="1" x14ac:dyDescent="0.75">
      <c r="A107" s="51"/>
      <c r="B107" s="51"/>
      <c r="C107" s="51"/>
      <c r="D107" s="51"/>
      <c r="E107" s="51" t="s">
        <v>45</v>
      </c>
      <c r="F107" s="51">
        <v>0</v>
      </c>
      <c r="G107" s="52">
        <v>100</v>
      </c>
      <c r="H107" s="53">
        <f t="shared" si="17"/>
        <v>0</v>
      </c>
      <c r="I107" s="54"/>
    </row>
    <row r="108" spans="1:9" s="4" customFormat="1" x14ac:dyDescent="0.75">
      <c r="A108" s="51"/>
      <c r="B108" s="51"/>
      <c r="C108" s="51"/>
      <c r="D108" s="51"/>
      <c r="E108" s="51" t="s">
        <v>108</v>
      </c>
      <c r="F108" s="51">
        <v>0</v>
      </c>
      <c r="G108" s="52">
        <v>65</v>
      </c>
      <c r="H108" s="53">
        <f>PRODUCT(F108:G108)</f>
        <v>0</v>
      </c>
      <c r="I108" s="54"/>
    </row>
    <row r="109" spans="1:9" s="4" customFormat="1" x14ac:dyDescent="0.75">
      <c r="A109" s="51"/>
      <c r="B109" s="51"/>
      <c r="C109" s="51"/>
      <c r="D109" s="51"/>
      <c r="E109" s="51" t="s">
        <v>34</v>
      </c>
      <c r="F109" s="51">
        <v>210</v>
      </c>
      <c r="G109" s="52">
        <v>0.5</v>
      </c>
      <c r="H109" s="53">
        <f>PRODUCT(F109:G109)</f>
        <v>105</v>
      </c>
      <c r="I109" s="54"/>
    </row>
    <row r="110" spans="1:9" s="4" customFormat="1" x14ac:dyDescent="0.75">
      <c r="A110" s="51"/>
      <c r="B110" s="51"/>
      <c r="C110" s="55" t="s">
        <v>111</v>
      </c>
      <c r="D110" s="51"/>
      <c r="E110" s="51" t="s">
        <v>50</v>
      </c>
      <c r="F110" s="51">
        <v>0</v>
      </c>
      <c r="G110" s="52">
        <v>0</v>
      </c>
      <c r="H110" s="53">
        <f>PRODUCT(F110:G110)</f>
        <v>0</v>
      </c>
      <c r="I110" s="54" t="s">
        <v>137</v>
      </c>
    </row>
    <row r="111" spans="1:9" s="4" customFormat="1" x14ac:dyDescent="0.75">
      <c r="A111" s="51"/>
      <c r="B111" s="51"/>
      <c r="C111" s="51"/>
      <c r="D111" s="51"/>
      <c r="E111" s="51"/>
      <c r="F111" s="51"/>
      <c r="G111" s="52"/>
      <c r="H111" s="53"/>
      <c r="I111" s="54"/>
    </row>
    <row r="112" spans="1:9" s="4" customFormat="1" x14ac:dyDescent="0.75">
      <c r="A112" s="51"/>
      <c r="B112" s="51"/>
      <c r="C112" s="51"/>
      <c r="D112" s="51"/>
      <c r="E112" s="51"/>
      <c r="F112" s="51"/>
      <c r="G112" s="52"/>
      <c r="H112" s="53" t="s">
        <v>6</v>
      </c>
      <c r="I112" s="54">
        <f>SUM(H104:H110)</f>
        <v>1266</v>
      </c>
    </row>
    <row r="113" spans="1:9" s="4" customFormat="1" x14ac:dyDescent="0.75">
      <c r="A113" s="1" t="s">
        <v>53</v>
      </c>
      <c r="B113" s="1" t="s">
        <v>54</v>
      </c>
      <c r="C113" s="1" t="s">
        <v>56</v>
      </c>
      <c r="D113" s="1" t="s">
        <v>10</v>
      </c>
      <c r="E113" s="1" t="s">
        <v>31</v>
      </c>
      <c r="F113" s="1"/>
      <c r="G113" s="9"/>
      <c r="H113" s="20"/>
      <c r="I113" s="14"/>
    </row>
    <row r="114" spans="1:9" s="4" customFormat="1" x14ac:dyDescent="0.75">
      <c r="A114" s="1"/>
      <c r="B114" s="1"/>
      <c r="C114" s="1" t="s">
        <v>79</v>
      </c>
      <c r="D114" s="1"/>
      <c r="E114" s="1" t="s">
        <v>33</v>
      </c>
      <c r="F114" s="1">
        <v>144</v>
      </c>
      <c r="G114" s="9">
        <v>3</v>
      </c>
      <c r="H114" s="18">
        <f t="shared" ref="H114:H116" si="18">PRODUCT(F114:G114)</f>
        <v>432</v>
      </c>
      <c r="I114" s="14"/>
    </row>
    <row r="115" spans="1:9" s="4" customFormat="1" x14ac:dyDescent="0.75">
      <c r="A115" s="1"/>
      <c r="B115" s="1"/>
      <c r="C115" s="1"/>
      <c r="D115" s="1"/>
      <c r="E115" s="1" t="s">
        <v>44</v>
      </c>
      <c r="F115" s="1">
        <v>13</v>
      </c>
      <c r="G115" s="9">
        <v>75</v>
      </c>
      <c r="H115" s="18">
        <f t="shared" si="18"/>
        <v>975</v>
      </c>
      <c r="I115" s="14"/>
    </row>
    <row r="116" spans="1:9" s="4" customFormat="1" x14ac:dyDescent="0.75">
      <c r="A116" s="1"/>
      <c r="B116" s="1"/>
      <c r="C116" s="1"/>
      <c r="D116" s="1"/>
      <c r="E116" s="1" t="s">
        <v>45</v>
      </c>
      <c r="F116" s="1">
        <v>1</v>
      </c>
      <c r="G116" s="9">
        <v>100</v>
      </c>
      <c r="H116" s="18">
        <f t="shared" si="18"/>
        <v>100</v>
      </c>
      <c r="I116" s="14"/>
    </row>
    <row r="117" spans="1:9" s="4" customFormat="1" x14ac:dyDescent="0.75">
      <c r="A117" s="1"/>
      <c r="B117" s="1"/>
      <c r="C117" s="1"/>
      <c r="D117" s="1"/>
      <c r="E117" s="1" t="s">
        <v>108</v>
      </c>
      <c r="F117" s="1">
        <v>0</v>
      </c>
      <c r="G117" s="9">
        <v>65</v>
      </c>
      <c r="H117" s="18">
        <f>PRODUCT(F117:G117)</f>
        <v>0</v>
      </c>
      <c r="I117" s="14"/>
    </row>
    <row r="118" spans="1:9" s="4" customFormat="1" x14ac:dyDescent="0.75">
      <c r="A118" s="1"/>
      <c r="B118" s="1"/>
      <c r="C118" s="1"/>
      <c r="D118" s="1"/>
      <c r="E118" s="1" t="s">
        <v>34</v>
      </c>
      <c r="F118" s="1">
        <v>186</v>
      </c>
      <c r="G118" s="9">
        <v>0.5</v>
      </c>
      <c r="H118" s="18">
        <f>PRODUCT(F118:G118)</f>
        <v>93</v>
      </c>
      <c r="I118" s="14"/>
    </row>
    <row r="119" spans="1:9" s="4" customFormat="1" x14ac:dyDescent="0.75">
      <c r="A119" s="1"/>
      <c r="B119" s="1"/>
      <c r="C119" s="1"/>
      <c r="D119" s="1"/>
      <c r="E119" s="1" t="s">
        <v>46</v>
      </c>
      <c r="F119" s="1">
        <v>0</v>
      </c>
      <c r="G119" s="9">
        <v>0</v>
      </c>
      <c r="H119" s="18">
        <f>PRODUCT(F119:G119)</f>
        <v>0</v>
      </c>
      <c r="I119" s="14"/>
    </row>
    <row r="120" spans="1:9" s="4" customFormat="1" x14ac:dyDescent="0.75">
      <c r="A120" s="1"/>
      <c r="B120" s="1"/>
      <c r="C120" s="1" t="s">
        <v>112</v>
      </c>
      <c r="D120" s="1"/>
      <c r="E120" s="1" t="s">
        <v>50</v>
      </c>
      <c r="F120" s="1">
        <v>0</v>
      </c>
      <c r="G120" s="9">
        <v>0</v>
      </c>
      <c r="H120" s="18">
        <f>PRODUCT(F120:G120)</f>
        <v>0</v>
      </c>
      <c r="I120" s="14"/>
    </row>
    <row r="121" spans="1:9" s="4" customFormat="1" x14ac:dyDescent="0.75">
      <c r="A121" s="1"/>
      <c r="B121" s="1"/>
      <c r="C121" s="1"/>
      <c r="D121" s="1"/>
      <c r="E121" s="1"/>
      <c r="F121" s="1"/>
      <c r="G121" s="9"/>
      <c r="H121" s="18" t="s">
        <v>6</v>
      </c>
      <c r="I121" s="12">
        <f>SUM(H114:H119)</f>
        <v>1600</v>
      </c>
    </row>
    <row r="122" spans="1:9" s="4" customFormat="1" x14ac:dyDescent="0.75">
      <c r="A122" s="2" t="s">
        <v>128</v>
      </c>
      <c r="B122" s="2" t="s">
        <v>129</v>
      </c>
      <c r="C122" s="2" t="s">
        <v>22</v>
      </c>
      <c r="D122" s="2" t="s">
        <v>130</v>
      </c>
      <c r="E122" s="2" t="s">
        <v>24</v>
      </c>
      <c r="F122" s="2">
        <v>86.67</v>
      </c>
      <c r="G122" s="10">
        <v>52.92</v>
      </c>
      <c r="H122" s="19">
        <f>PRODUCT(F122:G122)</f>
        <v>4586.5763999999999</v>
      </c>
      <c r="I122" s="13"/>
    </row>
    <row r="123" spans="1:9" s="4" customFormat="1" x14ac:dyDescent="0.75">
      <c r="A123" s="2"/>
      <c r="B123" s="2"/>
      <c r="C123" s="2"/>
      <c r="D123" s="2"/>
      <c r="E123" s="2" t="s">
        <v>28</v>
      </c>
      <c r="F123" s="2">
        <v>0.5</v>
      </c>
      <c r="G123" s="10">
        <v>400</v>
      </c>
      <c r="H123" s="19">
        <f t="shared" ref="H123:H128" si="19">PRODUCT(F123:G123)</f>
        <v>200</v>
      </c>
      <c r="I123" s="13"/>
    </row>
    <row r="124" spans="1:9" s="4" customFormat="1" x14ac:dyDescent="0.75">
      <c r="A124" s="2"/>
      <c r="B124" s="2"/>
      <c r="C124" s="2"/>
      <c r="D124" s="2"/>
      <c r="E124" s="2" t="s">
        <v>29</v>
      </c>
      <c r="F124" s="2">
        <v>0.5</v>
      </c>
      <c r="G124" s="10">
        <v>50</v>
      </c>
      <c r="H124" s="19">
        <f t="shared" si="19"/>
        <v>25</v>
      </c>
      <c r="I124" s="13"/>
    </row>
    <row r="125" spans="1:9" s="4" customFormat="1" x14ac:dyDescent="0.75">
      <c r="A125" s="2"/>
      <c r="B125" s="2"/>
      <c r="C125" s="2"/>
      <c r="D125" s="2"/>
      <c r="E125" s="2" t="s">
        <v>132</v>
      </c>
      <c r="F125" s="2">
        <v>0</v>
      </c>
      <c r="G125" s="10">
        <v>0</v>
      </c>
      <c r="H125" s="19">
        <f t="shared" si="19"/>
        <v>0</v>
      </c>
      <c r="I125" s="13"/>
    </row>
    <row r="126" spans="1:9" s="4" customFormat="1" x14ac:dyDescent="0.75">
      <c r="A126" s="2"/>
      <c r="B126" s="2"/>
      <c r="C126" s="2"/>
      <c r="D126" s="2"/>
      <c r="E126" s="2" t="s">
        <v>131</v>
      </c>
      <c r="F126" s="2">
        <v>0</v>
      </c>
      <c r="G126" s="10">
        <v>0</v>
      </c>
      <c r="H126" s="19">
        <f t="shared" si="19"/>
        <v>0</v>
      </c>
      <c r="I126" s="13"/>
    </row>
    <row r="127" spans="1:9" s="4" customFormat="1" x14ac:dyDescent="0.75">
      <c r="A127" s="2"/>
      <c r="B127" s="2"/>
      <c r="C127" s="2"/>
      <c r="D127" s="2"/>
      <c r="E127" s="2" t="s">
        <v>81</v>
      </c>
      <c r="F127" s="2">
        <v>0</v>
      </c>
      <c r="G127" s="10">
        <v>0</v>
      </c>
      <c r="H127" s="19">
        <f t="shared" si="19"/>
        <v>0</v>
      </c>
      <c r="I127" s="13"/>
    </row>
    <row r="128" spans="1:9" s="4" customFormat="1" x14ac:dyDescent="0.75">
      <c r="A128" s="2"/>
      <c r="B128" s="2"/>
      <c r="C128" s="28" t="s">
        <v>111</v>
      </c>
      <c r="D128" s="2"/>
      <c r="E128" s="2" t="s">
        <v>50</v>
      </c>
      <c r="F128" s="2">
        <v>0</v>
      </c>
      <c r="G128" s="10">
        <v>0</v>
      </c>
      <c r="H128" s="19">
        <f t="shared" si="19"/>
        <v>0</v>
      </c>
      <c r="I128" s="13"/>
    </row>
    <row r="129" spans="1:9" s="4" customFormat="1" x14ac:dyDescent="0.75">
      <c r="A129" s="2"/>
      <c r="B129" s="2"/>
      <c r="C129" s="2"/>
      <c r="D129" s="2"/>
      <c r="E129" s="2"/>
      <c r="F129" s="2"/>
      <c r="G129" s="10"/>
      <c r="H129" s="19" t="s">
        <v>6</v>
      </c>
      <c r="I129" s="13">
        <f>SUM(H122:H128)</f>
        <v>4811.5763999999999</v>
      </c>
    </row>
    <row r="130" spans="1:9" s="4" customFormat="1" x14ac:dyDescent="0.75">
      <c r="A130" s="1" t="s">
        <v>99</v>
      </c>
      <c r="B130" s="1" t="s">
        <v>99</v>
      </c>
      <c r="C130" s="1" t="s">
        <v>8</v>
      </c>
      <c r="D130" s="1"/>
      <c r="E130" s="1" t="s">
        <v>24</v>
      </c>
      <c r="F130" s="1">
        <v>0</v>
      </c>
      <c r="G130" s="9">
        <v>0</v>
      </c>
      <c r="H130" s="18">
        <f>PRODUCT(F130:G130)</f>
        <v>0</v>
      </c>
      <c r="I130" s="12"/>
    </row>
    <row r="131" spans="1:9" s="4" customFormat="1" x14ac:dyDescent="0.75">
      <c r="A131" s="1"/>
      <c r="B131" s="1"/>
      <c r="C131" s="1"/>
      <c r="D131" s="1"/>
      <c r="E131" s="1" t="s">
        <v>29</v>
      </c>
      <c r="F131" s="1">
        <v>0</v>
      </c>
      <c r="G131" s="9">
        <v>0</v>
      </c>
      <c r="H131" s="18">
        <f t="shared" ref="H131" si="20">PRODUCT(F131:G131)</f>
        <v>0</v>
      </c>
      <c r="I131" s="12"/>
    </row>
    <row r="132" spans="1:9" s="4" customFormat="1" x14ac:dyDescent="0.75">
      <c r="A132" s="1"/>
      <c r="B132" s="1"/>
      <c r="C132" s="1"/>
      <c r="D132" s="1"/>
      <c r="E132" s="1"/>
      <c r="F132" s="1">
        <v>0</v>
      </c>
      <c r="G132" s="9">
        <v>0</v>
      </c>
      <c r="H132" s="18">
        <f>PRODUCT(F132:G132)</f>
        <v>0</v>
      </c>
      <c r="I132" s="12"/>
    </row>
    <row r="133" spans="1:9" s="4" customFormat="1" x14ac:dyDescent="0.75">
      <c r="A133" s="1"/>
      <c r="B133" s="1"/>
      <c r="C133" s="1"/>
      <c r="D133" s="1"/>
      <c r="E133" s="1"/>
      <c r="F133" s="1"/>
      <c r="G133" s="9"/>
      <c r="H133" s="18" t="s">
        <v>6</v>
      </c>
      <c r="I133" s="12">
        <f>SUM(H130:H132)</f>
        <v>0</v>
      </c>
    </row>
    <row r="134" spans="1:9" s="4" customFormat="1" x14ac:dyDescent="0.75">
      <c r="A134" s="2" t="s">
        <v>19</v>
      </c>
      <c r="B134" s="2" t="s">
        <v>20</v>
      </c>
      <c r="C134" s="2" t="s">
        <v>8</v>
      </c>
      <c r="D134" s="2" t="s">
        <v>26</v>
      </c>
      <c r="E134" s="2" t="s">
        <v>31</v>
      </c>
      <c r="F134" s="2">
        <v>2</v>
      </c>
      <c r="G134" s="10">
        <v>75</v>
      </c>
      <c r="H134" s="19">
        <f>PRODUCT(F134:G134)</f>
        <v>150</v>
      </c>
      <c r="I134" s="15"/>
    </row>
    <row r="135" spans="1:9" s="4" customFormat="1" x14ac:dyDescent="0.75">
      <c r="A135" s="2"/>
      <c r="B135" s="2"/>
      <c r="C135" s="2"/>
      <c r="D135" s="2"/>
      <c r="E135" s="2" t="s">
        <v>40</v>
      </c>
      <c r="F135" s="2">
        <v>0</v>
      </c>
      <c r="G135" s="10">
        <v>25</v>
      </c>
      <c r="H135" s="19">
        <f t="shared" ref="H135:H137" si="21">PRODUCT(F135:G135)</f>
        <v>0</v>
      </c>
      <c r="I135" s="15"/>
    </row>
    <row r="136" spans="1:9" s="4" customFormat="1" x14ac:dyDescent="0.75">
      <c r="A136" s="2"/>
      <c r="B136" s="2"/>
      <c r="C136" s="2"/>
      <c r="D136" s="2"/>
      <c r="E136" s="2" t="s">
        <v>103</v>
      </c>
      <c r="F136" s="2">
        <v>0</v>
      </c>
      <c r="G136" s="10">
        <v>25</v>
      </c>
      <c r="H136" s="19">
        <f t="shared" si="21"/>
        <v>0</v>
      </c>
      <c r="I136" s="15"/>
    </row>
    <row r="137" spans="1:9" s="4" customFormat="1" x14ac:dyDescent="0.75">
      <c r="A137" s="2"/>
      <c r="B137" s="2"/>
      <c r="C137" s="2"/>
      <c r="D137" s="2"/>
      <c r="E137" s="2" t="s">
        <v>42</v>
      </c>
      <c r="F137" s="2">
        <v>0</v>
      </c>
      <c r="G137" s="10">
        <v>37.5</v>
      </c>
      <c r="H137" s="19">
        <f t="shared" si="21"/>
        <v>0</v>
      </c>
      <c r="I137" s="15"/>
    </row>
    <row r="138" spans="1:9" s="4" customFormat="1" x14ac:dyDescent="0.75">
      <c r="A138" s="2"/>
      <c r="B138" s="2"/>
      <c r="C138" s="2"/>
      <c r="D138" s="2"/>
      <c r="E138" s="2"/>
      <c r="F138" s="2"/>
      <c r="G138" s="10"/>
      <c r="H138" s="19" t="s">
        <v>6</v>
      </c>
      <c r="I138" s="13">
        <f>SUM(H134:H137)</f>
        <v>150</v>
      </c>
    </row>
    <row r="139" spans="1:9" s="4" customFormat="1" x14ac:dyDescent="0.75">
      <c r="A139" s="1" t="s">
        <v>18</v>
      </c>
      <c r="B139" s="1" t="s">
        <v>21</v>
      </c>
      <c r="C139" s="1" t="s">
        <v>8</v>
      </c>
      <c r="D139" s="1" t="s">
        <v>26</v>
      </c>
      <c r="E139" s="1" t="s">
        <v>31</v>
      </c>
      <c r="F139" s="1">
        <v>3</v>
      </c>
      <c r="G139" s="9">
        <v>75</v>
      </c>
      <c r="H139" s="18">
        <f>PRODUCT(F139:G139)</f>
        <v>225</v>
      </c>
      <c r="I139" s="12"/>
    </row>
    <row r="140" spans="1:9" s="4" customFormat="1" x14ac:dyDescent="0.75">
      <c r="A140" s="1"/>
      <c r="B140" s="1"/>
      <c r="C140" s="1"/>
      <c r="D140" s="1"/>
      <c r="E140" s="1" t="s">
        <v>103</v>
      </c>
      <c r="F140" s="1">
        <v>1</v>
      </c>
      <c r="G140" s="9">
        <v>25</v>
      </c>
      <c r="H140" s="18">
        <f t="shared" ref="H140:H142" si="22">PRODUCT(F140:G140)</f>
        <v>25</v>
      </c>
      <c r="I140" s="12"/>
    </row>
    <row r="141" spans="1:9" s="4" customFormat="1" x14ac:dyDescent="0.75">
      <c r="A141" s="1"/>
      <c r="B141" s="1"/>
      <c r="C141" s="1"/>
      <c r="D141" s="1"/>
      <c r="E141" s="1" t="s">
        <v>41</v>
      </c>
      <c r="F141" s="1">
        <v>0</v>
      </c>
      <c r="G141" s="9">
        <v>25</v>
      </c>
      <c r="H141" s="18">
        <f t="shared" si="22"/>
        <v>0</v>
      </c>
      <c r="I141" s="12"/>
    </row>
    <row r="142" spans="1:9" s="4" customFormat="1" x14ac:dyDescent="0.75">
      <c r="A142" s="1"/>
      <c r="B142" s="1"/>
      <c r="C142" s="1"/>
      <c r="D142" s="1"/>
      <c r="E142" s="1" t="s">
        <v>42</v>
      </c>
      <c r="F142" s="1">
        <v>1</v>
      </c>
      <c r="G142" s="9">
        <v>37.5</v>
      </c>
      <c r="H142" s="18">
        <f t="shared" si="22"/>
        <v>37.5</v>
      </c>
      <c r="I142" s="12"/>
    </row>
    <row r="143" spans="1:9" s="4" customFormat="1" x14ac:dyDescent="0.75">
      <c r="A143" s="1"/>
      <c r="B143" s="1"/>
      <c r="C143" s="1"/>
      <c r="D143" s="1"/>
      <c r="E143" s="1"/>
      <c r="F143" s="1"/>
      <c r="G143" s="9"/>
      <c r="H143" s="18"/>
      <c r="I143" s="12"/>
    </row>
    <row r="144" spans="1:9" s="4" customFormat="1" x14ac:dyDescent="0.75">
      <c r="A144" s="1"/>
      <c r="B144" s="1"/>
      <c r="C144" s="1"/>
      <c r="D144" s="1"/>
      <c r="E144" s="1"/>
      <c r="F144" s="1"/>
      <c r="G144" s="9"/>
      <c r="H144" s="18" t="s">
        <v>6</v>
      </c>
      <c r="I144" s="12">
        <f>SUM(H139:H143)</f>
        <v>287.5</v>
      </c>
    </row>
    <row r="145" spans="1:9" s="4" customFormat="1" x14ac:dyDescent="0.75">
      <c r="A145" s="24" t="s">
        <v>47</v>
      </c>
      <c r="B145" s="24" t="s">
        <v>48</v>
      </c>
      <c r="C145" s="2" t="s">
        <v>126</v>
      </c>
      <c r="D145" s="24" t="s">
        <v>49</v>
      </c>
      <c r="E145" s="2" t="s">
        <v>31</v>
      </c>
      <c r="F145" s="24">
        <v>0</v>
      </c>
      <c r="G145" s="25">
        <v>75</v>
      </c>
      <c r="H145" s="26">
        <f>PRODUCT(F145:G145)</f>
        <v>0</v>
      </c>
      <c r="I145" s="27"/>
    </row>
    <row r="146" spans="1:9" s="4" customFormat="1" x14ac:dyDescent="0.75">
      <c r="A146" s="29"/>
      <c r="B146" s="29"/>
      <c r="C146" s="29"/>
      <c r="D146" s="29"/>
      <c r="E146" s="2" t="s">
        <v>125</v>
      </c>
      <c r="F146" s="29">
        <v>0</v>
      </c>
      <c r="G146" s="105">
        <v>25</v>
      </c>
      <c r="H146" s="26">
        <f>PRODUCT(F146:G146)</f>
        <v>0</v>
      </c>
      <c r="I146" s="30"/>
    </row>
    <row r="147" spans="1:9" s="4" customFormat="1" x14ac:dyDescent="0.75">
      <c r="A147" s="29"/>
      <c r="B147" s="29"/>
      <c r="C147" s="29"/>
      <c r="D147" s="29"/>
      <c r="E147" s="2" t="s">
        <v>42</v>
      </c>
      <c r="F147" s="2">
        <v>0</v>
      </c>
      <c r="G147" s="10">
        <v>75</v>
      </c>
      <c r="H147" s="19">
        <f t="shared" ref="H147:H149" si="23">PRODUCT(F147:G147)</f>
        <v>0</v>
      </c>
      <c r="I147" s="30"/>
    </row>
    <row r="148" spans="1:9" s="4" customFormat="1" x14ac:dyDescent="0.75">
      <c r="A148" s="2"/>
      <c r="B148" s="2"/>
      <c r="C148" s="2"/>
      <c r="D148" s="2"/>
      <c r="E148" s="2" t="s">
        <v>34</v>
      </c>
      <c r="F148" s="2">
        <v>0</v>
      </c>
      <c r="G148" s="10">
        <v>0.5</v>
      </c>
      <c r="H148" s="19">
        <f t="shared" si="23"/>
        <v>0</v>
      </c>
      <c r="I148" s="15"/>
    </row>
    <row r="149" spans="1:9" s="4" customFormat="1" x14ac:dyDescent="0.75">
      <c r="A149" s="2"/>
      <c r="B149" s="2"/>
      <c r="C149" s="55" t="s">
        <v>111</v>
      </c>
      <c r="D149" s="51"/>
      <c r="E149" s="2" t="s">
        <v>51</v>
      </c>
      <c r="F149" s="2">
        <v>0</v>
      </c>
      <c r="G149" s="10">
        <v>0</v>
      </c>
      <c r="H149" s="19">
        <f t="shared" si="23"/>
        <v>0</v>
      </c>
      <c r="I149" s="15"/>
    </row>
    <row r="150" spans="1:9" s="4" customFormat="1" x14ac:dyDescent="0.75">
      <c r="A150" s="2"/>
      <c r="B150" s="2"/>
      <c r="C150" s="2"/>
      <c r="D150" s="2"/>
      <c r="E150" s="2"/>
      <c r="F150" s="2"/>
      <c r="G150" s="10"/>
      <c r="H150" s="19"/>
      <c r="I150" s="15"/>
    </row>
    <row r="151" spans="1:9" s="4" customFormat="1" x14ac:dyDescent="0.75">
      <c r="A151" s="28"/>
      <c r="B151" s="2"/>
      <c r="C151" s="2"/>
      <c r="D151" s="2"/>
      <c r="E151" s="2"/>
      <c r="F151" s="2"/>
      <c r="G151" s="10"/>
      <c r="H151" s="19" t="s">
        <v>6</v>
      </c>
      <c r="I151" s="13">
        <f>SUM(H145:H150)</f>
        <v>0</v>
      </c>
    </row>
    <row r="152" spans="1:9" s="4" customFormat="1" x14ac:dyDescent="0.75">
      <c r="A152" s="1" t="s">
        <v>99</v>
      </c>
      <c r="B152" s="1" t="s">
        <v>99</v>
      </c>
      <c r="C152" s="1"/>
      <c r="D152" s="1"/>
      <c r="E152" s="1"/>
      <c r="F152" s="1">
        <v>0</v>
      </c>
      <c r="G152" s="9">
        <v>0</v>
      </c>
      <c r="H152" s="18">
        <f>PRODUCT(F152:G152)</f>
        <v>0</v>
      </c>
      <c r="I152" s="12"/>
    </row>
    <row r="153" spans="1:9" s="4" customFormat="1" x14ac:dyDescent="0.75">
      <c r="A153" s="1"/>
      <c r="B153" s="1"/>
      <c r="C153" s="1"/>
      <c r="D153" s="1"/>
      <c r="E153" s="1"/>
      <c r="F153" s="1">
        <v>0</v>
      </c>
      <c r="G153" s="9">
        <v>0</v>
      </c>
      <c r="H153" s="18">
        <f>PRODUCT(F153:G153)</f>
        <v>0</v>
      </c>
      <c r="I153" s="12"/>
    </row>
    <row r="154" spans="1:9" s="4" customFormat="1" x14ac:dyDescent="0.75">
      <c r="A154" s="1"/>
      <c r="B154" s="1"/>
      <c r="C154" s="1"/>
      <c r="D154" s="1"/>
      <c r="E154" s="1"/>
      <c r="F154" s="1">
        <v>0</v>
      </c>
      <c r="G154" s="9">
        <v>0</v>
      </c>
      <c r="H154" s="18">
        <f t="shared" ref="H154" si="24">PRODUCT(F154:G154)</f>
        <v>0</v>
      </c>
      <c r="I154" s="23"/>
    </row>
    <row r="155" spans="1:9" s="4" customFormat="1" x14ac:dyDescent="0.75">
      <c r="A155" s="73"/>
      <c r="B155" s="73"/>
      <c r="C155" s="73"/>
      <c r="D155" s="73"/>
      <c r="E155" s="73"/>
      <c r="F155" s="73"/>
      <c r="G155" s="74"/>
      <c r="H155" s="75" t="s">
        <v>6</v>
      </c>
      <c r="I155" s="76">
        <f>SUM(H152:H154)</f>
        <v>0</v>
      </c>
    </row>
    <row r="156" spans="1:9" s="4" customFormat="1" x14ac:dyDescent="0.75">
      <c r="A156" s="24" t="s">
        <v>97</v>
      </c>
      <c r="B156" s="24" t="s">
        <v>98</v>
      </c>
      <c r="C156" s="24" t="s">
        <v>8</v>
      </c>
      <c r="D156" s="24" t="s">
        <v>55</v>
      </c>
      <c r="E156" s="2" t="s">
        <v>78</v>
      </c>
      <c r="F156" s="2">
        <v>5</v>
      </c>
      <c r="G156" s="10">
        <v>200</v>
      </c>
      <c r="H156" s="19">
        <f>PRODUCT(F156:G156)</f>
        <v>1000</v>
      </c>
      <c r="I156" s="15"/>
    </row>
    <row r="157" spans="1:9" s="4" customFormat="1" x14ac:dyDescent="0.75">
      <c r="A157" s="29"/>
      <c r="B157" s="29"/>
      <c r="C157" s="29"/>
      <c r="D157" s="29"/>
      <c r="E157" s="2" t="s">
        <v>34</v>
      </c>
      <c r="F157" s="2">
        <v>159</v>
      </c>
      <c r="G157" s="10">
        <v>0.5</v>
      </c>
      <c r="H157" s="19">
        <f>PRODUCT(F157:G157)</f>
        <v>79.5</v>
      </c>
      <c r="I157" s="31"/>
    </row>
    <row r="158" spans="1:9" s="4" customFormat="1" x14ac:dyDescent="0.75">
      <c r="A158" s="2"/>
      <c r="B158" s="2"/>
      <c r="C158" s="2"/>
      <c r="D158" s="2"/>
      <c r="E158" s="2"/>
      <c r="F158" s="2">
        <v>0</v>
      </c>
      <c r="G158" s="10">
        <v>0.5</v>
      </c>
      <c r="H158" s="19">
        <f>PRODUCT(F158:G158)</f>
        <v>0</v>
      </c>
      <c r="I158" s="50"/>
    </row>
    <row r="159" spans="1:9" s="4" customFormat="1" x14ac:dyDescent="0.75">
      <c r="A159" s="2"/>
      <c r="B159" s="2"/>
      <c r="C159" s="2"/>
      <c r="D159" s="2"/>
      <c r="E159" s="2"/>
      <c r="F159" s="2"/>
      <c r="G159" s="10"/>
      <c r="H159" s="19"/>
      <c r="I159" s="13">
        <f>SUM(H156:H158)</f>
        <v>1079.5</v>
      </c>
    </row>
    <row r="160" spans="1:9" s="4" customFormat="1" ht="15.5" thickBot="1" x14ac:dyDescent="0.9">
      <c r="A160" s="85"/>
      <c r="B160" s="85"/>
      <c r="C160" s="85"/>
      <c r="D160" s="85"/>
      <c r="E160" s="85"/>
      <c r="F160" s="85"/>
      <c r="G160" s="86"/>
      <c r="H160" s="87"/>
      <c r="I160" s="23"/>
    </row>
    <row r="161" spans="1:95" s="4" customFormat="1" x14ac:dyDescent="0.75">
      <c r="A161" s="88"/>
      <c r="B161" s="88"/>
      <c r="C161" s="88"/>
      <c r="D161" s="88"/>
      <c r="E161" s="88"/>
      <c r="F161" s="88"/>
      <c r="G161" s="89"/>
      <c r="H161" s="90" t="s">
        <v>43</v>
      </c>
      <c r="I161" s="91">
        <f>SUM(I3:I160)</f>
        <v>33776.848400000003</v>
      </c>
    </row>
    <row r="162" spans="1:95" s="4" customFormat="1" x14ac:dyDescent="0.75">
      <c r="A162" s="51"/>
      <c r="B162" s="51"/>
      <c r="C162" s="51"/>
      <c r="D162" s="51"/>
      <c r="E162" s="51"/>
      <c r="F162" s="51"/>
      <c r="G162" s="60"/>
      <c r="H162" s="61"/>
      <c r="I162" s="111"/>
    </row>
    <row r="163" spans="1:95" s="4" customFormat="1" x14ac:dyDescent="0.75">
      <c r="A163" s="51"/>
      <c r="B163" s="51"/>
      <c r="C163" s="51"/>
      <c r="D163" s="51"/>
      <c r="E163" s="51"/>
      <c r="F163" s="51"/>
      <c r="G163" s="60"/>
      <c r="H163" s="61"/>
      <c r="I163" s="62"/>
    </row>
    <row r="164" spans="1:95" s="4" customFormat="1" x14ac:dyDescent="0.75">
      <c r="A164" s="51"/>
      <c r="B164" s="51"/>
      <c r="C164" s="51"/>
      <c r="D164" s="51"/>
      <c r="E164" s="51"/>
      <c r="F164" s="51"/>
      <c r="G164" s="60"/>
      <c r="H164" s="61"/>
      <c r="I164" s="51"/>
    </row>
    <row r="165" spans="1:95" s="4" customFormat="1" x14ac:dyDescent="0.75">
      <c r="A165" s="51"/>
      <c r="B165" s="51"/>
      <c r="C165" s="51"/>
      <c r="D165" s="51"/>
      <c r="E165" s="51"/>
      <c r="F165" s="51"/>
      <c r="G165" s="60"/>
      <c r="H165" s="61"/>
      <c r="I165" s="51"/>
    </row>
    <row r="166" spans="1:95" s="4" customFormat="1" x14ac:dyDescent="0.75">
      <c r="A166" s="51"/>
      <c r="B166" s="51"/>
      <c r="C166" s="51"/>
      <c r="D166" s="51"/>
      <c r="E166" s="51"/>
      <c r="F166" s="51"/>
      <c r="G166" s="60"/>
      <c r="H166" s="61"/>
      <c r="I166" s="51"/>
    </row>
    <row r="167" spans="1:95" s="4" customFormat="1" x14ac:dyDescent="0.75">
      <c r="A167" s="51"/>
      <c r="B167" s="51"/>
      <c r="C167" s="51"/>
      <c r="D167" s="51"/>
      <c r="E167" s="51"/>
      <c r="F167" s="51"/>
      <c r="G167" s="60"/>
      <c r="H167" s="61"/>
      <c r="I167" s="51"/>
    </row>
    <row r="168" spans="1:95" s="4" customFormat="1" ht="9.75" customHeight="1" x14ac:dyDescent="0.75">
      <c r="A168" s="51"/>
      <c r="B168" s="51"/>
      <c r="C168" s="51"/>
      <c r="D168" s="51"/>
      <c r="E168" s="51"/>
      <c r="F168" s="51"/>
      <c r="G168" s="51"/>
      <c r="H168" s="63"/>
      <c r="I168" s="60"/>
    </row>
    <row r="169" spans="1:95" s="4" customFormat="1" x14ac:dyDescent="0.75">
      <c r="A169" s="51"/>
      <c r="B169" s="51"/>
      <c r="C169" s="51"/>
      <c r="D169" s="51"/>
      <c r="E169" s="51"/>
      <c r="F169" s="51"/>
      <c r="G169" s="60"/>
      <c r="H169" s="61"/>
      <c r="I169" s="51"/>
    </row>
    <row r="170" spans="1:95" s="4" customFormat="1" x14ac:dyDescent="0.75">
      <c r="A170" s="51"/>
      <c r="B170" s="51"/>
      <c r="C170" s="51"/>
      <c r="D170" s="51"/>
      <c r="E170" s="51"/>
      <c r="F170" s="51"/>
      <c r="G170" s="60"/>
      <c r="H170" s="61"/>
      <c r="I170" s="51"/>
    </row>
    <row r="171" spans="1:95" s="4" customFormat="1" x14ac:dyDescent="0.75">
      <c r="A171" s="51"/>
      <c r="B171" s="51"/>
      <c r="C171" s="51"/>
      <c r="D171" s="51"/>
      <c r="E171" s="51"/>
      <c r="F171" s="51"/>
      <c r="G171" s="60"/>
      <c r="H171" s="61"/>
      <c r="I171" s="51"/>
    </row>
    <row r="172" spans="1:95" s="4" customFormat="1" x14ac:dyDescent="0.75">
      <c r="A172" s="51"/>
      <c r="B172" s="51"/>
      <c r="C172" s="51"/>
      <c r="D172" s="51"/>
      <c r="E172" s="51"/>
      <c r="F172" s="51"/>
      <c r="G172" s="60"/>
      <c r="H172" s="61"/>
      <c r="I172" s="51"/>
    </row>
    <row r="173" spans="1:95" s="5" customFormat="1" x14ac:dyDescent="0.75">
      <c r="A173" s="51"/>
      <c r="B173" s="51"/>
      <c r="C173" s="51"/>
      <c r="D173" s="51"/>
      <c r="E173" s="51"/>
      <c r="F173" s="51"/>
      <c r="G173" s="60"/>
      <c r="H173" s="61"/>
      <c r="I173" s="51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</row>
    <row r="174" spans="1:95" s="5" customFormat="1" x14ac:dyDescent="0.75">
      <c r="A174" s="51"/>
      <c r="B174" s="51"/>
      <c r="C174" s="51"/>
      <c r="D174" s="51"/>
      <c r="E174" s="51"/>
      <c r="F174" s="51"/>
      <c r="G174" s="60"/>
      <c r="H174" s="61"/>
      <c r="I174" s="51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</row>
    <row r="175" spans="1:95" s="5" customFormat="1" x14ac:dyDescent="0.75">
      <c r="A175" s="51"/>
      <c r="B175" s="51"/>
      <c r="C175" s="51"/>
      <c r="D175" s="51"/>
      <c r="E175" s="51"/>
      <c r="F175" s="51"/>
      <c r="G175" s="60"/>
      <c r="H175" s="61"/>
      <c r="I175" s="51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</row>
    <row r="176" spans="1:95" s="5" customFormat="1" x14ac:dyDescent="0.75">
      <c r="A176" s="51"/>
      <c r="B176" s="51"/>
      <c r="C176" s="55"/>
      <c r="D176" s="51"/>
      <c r="E176" s="51"/>
      <c r="F176" s="51"/>
      <c r="G176" s="60"/>
      <c r="H176" s="61"/>
      <c r="I176" s="51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</row>
    <row r="177" spans="1:95" s="5" customFormat="1" x14ac:dyDescent="0.75">
      <c r="A177" s="51"/>
      <c r="B177" s="51"/>
      <c r="C177" s="51"/>
      <c r="D177" s="51"/>
      <c r="E177" s="51"/>
      <c r="F177" s="51"/>
      <c r="G177" s="60"/>
      <c r="H177" s="61"/>
      <c r="I177" s="51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</row>
    <row r="178" spans="1:95" s="5" customFormat="1" x14ac:dyDescent="0.75">
      <c r="A178" s="51"/>
      <c r="B178" s="51"/>
      <c r="C178" s="51"/>
      <c r="D178" s="51"/>
      <c r="E178" s="51"/>
      <c r="F178" s="51"/>
      <c r="G178" s="60"/>
      <c r="H178" s="61"/>
      <c r="I178" s="51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</row>
    <row r="179" spans="1:95" s="5" customFormat="1" x14ac:dyDescent="0.75">
      <c r="A179" s="51"/>
      <c r="B179" s="51"/>
      <c r="C179" s="51"/>
      <c r="D179" s="51"/>
      <c r="E179" s="51"/>
      <c r="F179" s="51"/>
      <c r="G179" s="60"/>
      <c r="H179" s="61"/>
      <c r="I179" s="51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</row>
    <row r="180" spans="1:95" s="5" customFormat="1" x14ac:dyDescent="0.75">
      <c r="A180" s="51"/>
      <c r="B180" s="51"/>
      <c r="C180" s="51"/>
      <c r="D180" s="51"/>
      <c r="E180" s="51"/>
      <c r="F180" s="51"/>
      <c r="G180" s="60"/>
      <c r="H180" s="61"/>
      <c r="I180" s="51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</row>
    <row r="181" spans="1:95" s="5" customFormat="1" x14ac:dyDescent="0.75">
      <c r="A181" s="51"/>
      <c r="B181" s="51"/>
      <c r="C181" s="51"/>
      <c r="D181" s="51"/>
      <c r="E181" s="51"/>
      <c r="F181" s="51"/>
      <c r="G181" s="51"/>
      <c r="H181" s="61"/>
      <c r="I181" s="51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</row>
    <row r="182" spans="1:95" s="4" customFormat="1" x14ac:dyDescent="0.75">
      <c r="A182" s="51"/>
      <c r="B182" s="51"/>
      <c r="C182" s="51"/>
      <c r="D182" s="51"/>
      <c r="E182" s="51"/>
      <c r="F182" s="51"/>
      <c r="G182" s="60"/>
      <c r="H182" s="61"/>
      <c r="I182" s="51"/>
    </row>
    <row r="183" spans="1:95" s="4" customFormat="1" x14ac:dyDescent="0.75">
      <c r="A183" s="51"/>
      <c r="B183" s="51"/>
      <c r="C183" s="51"/>
      <c r="D183" s="51"/>
      <c r="E183" s="51"/>
      <c r="F183" s="51"/>
      <c r="G183" s="51"/>
      <c r="H183" s="61"/>
      <c r="I183" s="60"/>
    </row>
    <row r="184" spans="1:95" s="4" customFormat="1" x14ac:dyDescent="0.75">
      <c r="A184" s="51"/>
      <c r="B184" s="51"/>
      <c r="C184" s="51"/>
      <c r="D184" s="51"/>
      <c r="E184" s="51"/>
      <c r="F184" s="51"/>
      <c r="G184" s="51"/>
      <c r="H184" s="63"/>
      <c r="I184" s="60"/>
    </row>
    <row r="185" spans="1:95" s="5" customFormat="1" x14ac:dyDescent="0.75">
      <c r="A185" s="51"/>
      <c r="B185" s="51"/>
      <c r="C185" s="51"/>
      <c r="D185" s="51"/>
      <c r="E185" s="51"/>
      <c r="F185" s="51"/>
      <c r="G185" s="60"/>
      <c r="H185" s="61"/>
      <c r="I185" s="51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</row>
    <row r="186" spans="1:95" s="5" customFormat="1" x14ac:dyDescent="0.75">
      <c r="A186" s="51"/>
      <c r="B186" s="51"/>
      <c r="C186" s="51"/>
      <c r="D186" s="51"/>
      <c r="E186" s="51"/>
      <c r="F186" s="51"/>
      <c r="G186" s="60"/>
      <c r="H186" s="61"/>
      <c r="I186" s="51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</row>
    <row r="187" spans="1:95" s="5" customFormat="1" x14ac:dyDescent="0.75">
      <c r="A187" s="51"/>
      <c r="B187" s="51"/>
      <c r="C187" s="51"/>
      <c r="D187" s="51"/>
      <c r="E187" s="51"/>
      <c r="F187" s="51"/>
      <c r="G187" s="60"/>
      <c r="H187" s="61"/>
      <c r="I187" s="51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</row>
    <row r="188" spans="1:95" s="5" customFormat="1" x14ac:dyDescent="0.75">
      <c r="A188" s="51"/>
      <c r="B188" s="51"/>
      <c r="C188" s="51"/>
      <c r="D188" s="51"/>
      <c r="E188" s="51"/>
      <c r="F188" s="51"/>
      <c r="G188" s="60"/>
      <c r="H188" s="61"/>
      <c r="I188" s="51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</row>
    <row r="189" spans="1:95" s="5" customFormat="1" x14ac:dyDescent="0.75">
      <c r="A189" s="51"/>
      <c r="B189" s="51"/>
      <c r="C189" s="51"/>
      <c r="D189" s="51"/>
      <c r="E189" s="51"/>
      <c r="F189" s="51"/>
      <c r="G189" s="60"/>
      <c r="H189" s="61"/>
      <c r="I189" s="51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</row>
    <row r="190" spans="1:95" s="5" customFormat="1" x14ac:dyDescent="0.75">
      <c r="A190" s="51"/>
      <c r="B190" s="51"/>
      <c r="C190" s="51"/>
      <c r="D190" s="51"/>
      <c r="E190" s="51"/>
      <c r="F190" s="51"/>
      <c r="G190" s="60"/>
      <c r="H190" s="61"/>
      <c r="I190" s="51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</row>
    <row r="191" spans="1:95" s="5" customFormat="1" x14ac:dyDescent="0.75">
      <c r="A191" s="51"/>
      <c r="B191" s="51"/>
      <c r="C191" s="51"/>
      <c r="D191" s="51"/>
      <c r="E191" s="51"/>
      <c r="F191" s="51"/>
      <c r="G191" s="60"/>
      <c r="H191" s="61"/>
      <c r="I191" s="51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</row>
    <row r="192" spans="1:95" s="5" customFormat="1" x14ac:dyDescent="0.75">
      <c r="A192" s="51"/>
      <c r="B192" s="51"/>
      <c r="C192" s="51"/>
      <c r="D192" s="51"/>
      <c r="E192" s="51"/>
      <c r="F192" s="51"/>
      <c r="G192" s="60"/>
      <c r="H192" s="61"/>
      <c r="I192" s="51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</row>
    <row r="193" spans="1:95" s="5" customFormat="1" x14ac:dyDescent="0.75">
      <c r="A193" s="51"/>
      <c r="B193" s="51"/>
      <c r="C193" s="51"/>
      <c r="D193" s="51"/>
      <c r="E193" s="51"/>
      <c r="F193" s="51"/>
      <c r="G193" s="51"/>
      <c r="H193" s="63"/>
      <c r="I193" s="60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</row>
    <row r="194" spans="1:95" s="5" customFormat="1" x14ac:dyDescent="0.75">
      <c r="A194" s="51"/>
      <c r="B194" s="51"/>
      <c r="C194" s="51"/>
      <c r="D194" s="51"/>
      <c r="E194" s="51"/>
      <c r="F194" s="51"/>
      <c r="G194" s="60"/>
      <c r="H194" s="61"/>
      <c r="I194" s="60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</row>
    <row r="195" spans="1:95" s="5" customFormat="1" x14ac:dyDescent="0.75">
      <c r="A195" s="51"/>
      <c r="B195" s="51"/>
      <c r="C195" s="51"/>
      <c r="D195" s="51"/>
      <c r="E195" s="51"/>
      <c r="F195" s="51"/>
      <c r="G195" s="51"/>
      <c r="H195" s="63"/>
      <c r="I195" s="60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</row>
    <row r="196" spans="1:95" s="4" customFormat="1" x14ac:dyDescent="0.75">
      <c r="A196" s="2"/>
      <c r="B196" s="2"/>
      <c r="C196" s="2"/>
      <c r="D196" s="2"/>
      <c r="E196" s="2"/>
      <c r="F196" s="2"/>
      <c r="G196" s="3"/>
      <c r="H196" s="21"/>
      <c r="I196" s="2"/>
    </row>
    <row r="197" spans="1:95" s="4" customFormat="1" x14ac:dyDescent="0.75">
      <c r="A197" s="2"/>
      <c r="B197" s="2"/>
      <c r="C197" s="2"/>
      <c r="D197" s="2"/>
      <c r="E197" s="2"/>
      <c r="F197" s="2"/>
      <c r="G197" s="3"/>
      <c r="H197" s="21"/>
      <c r="I197" s="2"/>
    </row>
    <row r="198" spans="1:95" s="4" customFormat="1" x14ac:dyDescent="0.75">
      <c r="A198" s="2"/>
      <c r="B198" s="2"/>
      <c r="C198" s="2"/>
      <c r="D198" s="2"/>
      <c r="E198" s="2"/>
      <c r="F198" s="2"/>
      <c r="G198" s="2"/>
      <c r="H198" s="22"/>
      <c r="I198" s="3"/>
    </row>
    <row r="199" spans="1:95" x14ac:dyDescent="0.75">
      <c r="A199" s="2"/>
      <c r="B199" s="2"/>
      <c r="C199" s="2"/>
      <c r="D199" s="2"/>
      <c r="E199" s="2"/>
      <c r="F199" s="2"/>
      <c r="G199" s="2"/>
      <c r="H199" s="22"/>
      <c r="I199" s="3"/>
    </row>
    <row r="200" spans="1:95" x14ac:dyDescent="0.75">
      <c r="A200" s="4"/>
      <c r="B200" s="4"/>
      <c r="C200" s="4"/>
      <c r="D200" s="4"/>
      <c r="E200" s="4"/>
      <c r="F200" s="4"/>
      <c r="G200" s="4"/>
      <c r="H200" s="7"/>
      <c r="I200" s="4"/>
    </row>
    <row r="201" spans="1:95" x14ac:dyDescent="0.75">
      <c r="A201" s="4"/>
      <c r="B201" s="4"/>
      <c r="C201" s="4"/>
      <c r="D201" s="4"/>
      <c r="E201" s="4"/>
      <c r="F201" s="4"/>
      <c r="G201" s="4"/>
      <c r="H201" s="7"/>
      <c r="I201" s="4"/>
    </row>
  </sheetData>
  <pageMargins left="0.25" right="0.25" top="0.25" bottom="0.25" header="0.05" footer="0.05"/>
  <pageSetup scale="59" orientation="portrait" r:id="rId1"/>
  <rowBreaks count="1" manualBreakCount="1">
    <brk id="85" max="1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3B0DF-F576-4E06-9450-8AB088DDE4A6}">
  <dimension ref="A1:U24"/>
  <sheetViews>
    <sheetView topLeftCell="A11" zoomScaleNormal="100" workbookViewId="0">
      <selection activeCell="C16" sqref="C16"/>
    </sheetView>
  </sheetViews>
  <sheetFormatPr defaultRowHeight="14.75" x14ac:dyDescent="0.75"/>
  <cols>
    <col min="2" max="2" width="18.26953125" customWidth="1"/>
    <col min="3" max="3" width="8.6796875" customWidth="1"/>
    <col min="5" max="5" width="11.6328125" customWidth="1"/>
    <col min="9" max="9" width="18.26953125" customWidth="1"/>
    <col min="10" max="10" width="7.90625" customWidth="1"/>
    <col min="12" max="12" width="11.6328125" customWidth="1"/>
    <col min="17" max="17" width="14.6328125" customWidth="1"/>
  </cols>
  <sheetData>
    <row r="1" spans="1:21" x14ac:dyDescent="0.75">
      <c r="A1" t="s">
        <v>127</v>
      </c>
      <c r="B1" s="80"/>
      <c r="H1" t="s">
        <v>120</v>
      </c>
      <c r="I1" s="80"/>
      <c r="Q1" s="80"/>
    </row>
    <row r="2" spans="1:21" x14ac:dyDescent="0.75">
      <c r="B2" s="78" t="s">
        <v>116</v>
      </c>
      <c r="C2" s="39"/>
      <c r="D2" s="39"/>
      <c r="E2" s="39"/>
      <c r="F2" t="s">
        <v>119</v>
      </c>
      <c r="I2" s="78" t="s">
        <v>116</v>
      </c>
      <c r="J2" s="39"/>
      <c r="K2" s="39"/>
      <c r="L2" s="39"/>
      <c r="Q2" s="78" t="s">
        <v>105</v>
      </c>
      <c r="R2" s="39"/>
      <c r="S2" s="39"/>
      <c r="T2" s="39"/>
    </row>
    <row r="3" spans="1:21" ht="26.25" customHeight="1" x14ac:dyDescent="0.75">
      <c r="A3" s="99"/>
      <c r="B3" s="100"/>
      <c r="C3" s="101"/>
      <c r="D3" s="102" t="s">
        <v>101</v>
      </c>
      <c r="E3" s="103" t="s">
        <v>102</v>
      </c>
      <c r="F3" s="70"/>
      <c r="H3" s="64"/>
      <c r="I3" s="77" t="s">
        <v>84</v>
      </c>
      <c r="J3" s="83" t="s">
        <v>107</v>
      </c>
      <c r="K3" s="68" t="s">
        <v>101</v>
      </c>
      <c r="L3" s="69"/>
      <c r="M3" s="64"/>
      <c r="P3" s="64"/>
      <c r="Q3" s="77" t="s">
        <v>84</v>
      </c>
      <c r="R3" s="64" t="s">
        <v>100</v>
      </c>
      <c r="S3" s="68" t="s">
        <v>101</v>
      </c>
      <c r="T3" s="69" t="s">
        <v>102</v>
      </c>
      <c r="U3" s="64"/>
    </row>
    <row r="4" spans="1:21" ht="14.75" customHeight="1" x14ac:dyDescent="0.75">
      <c r="A4" s="64"/>
      <c r="B4" s="65" t="s">
        <v>88</v>
      </c>
      <c r="C4" s="66">
        <v>7</v>
      </c>
      <c r="D4" s="68"/>
      <c r="E4" s="69">
        <f>((C4)-D4)</f>
        <v>7</v>
      </c>
      <c r="H4" s="84"/>
      <c r="I4" s="65"/>
      <c r="J4" s="66"/>
      <c r="K4" s="68"/>
      <c r="L4" s="69">
        <f>E4-J4</f>
        <v>7</v>
      </c>
      <c r="M4" s="64"/>
      <c r="P4" s="64"/>
      <c r="Q4" s="65"/>
      <c r="R4" s="66"/>
      <c r="S4" s="68"/>
      <c r="T4" s="69"/>
      <c r="U4" s="64"/>
    </row>
    <row r="5" spans="1:21" ht="40.5" customHeight="1" x14ac:dyDescent="0.75">
      <c r="A5" s="69"/>
      <c r="B5" s="65" t="s">
        <v>86</v>
      </c>
      <c r="C5" s="66">
        <v>10</v>
      </c>
      <c r="D5" s="68"/>
      <c r="E5" s="69">
        <f t="shared" ref="E5:E23" si="0">((C5)-D5)</f>
        <v>10</v>
      </c>
      <c r="F5" s="70"/>
      <c r="H5" s="84"/>
      <c r="I5" s="65"/>
      <c r="J5" s="66"/>
      <c r="K5" s="68"/>
      <c r="L5" s="69">
        <f t="shared" ref="L5:L17" si="1">E5-J5</f>
        <v>10</v>
      </c>
      <c r="M5" s="64"/>
      <c r="P5" s="64"/>
      <c r="Q5" s="65"/>
      <c r="R5" s="66"/>
      <c r="S5" s="68"/>
      <c r="T5" s="69"/>
      <c r="U5" s="64"/>
    </row>
    <row r="6" spans="1:21" ht="27" customHeight="1" x14ac:dyDescent="0.75">
      <c r="A6" s="64"/>
      <c r="B6" s="65" t="s">
        <v>87</v>
      </c>
      <c r="C6" s="66">
        <v>85</v>
      </c>
      <c r="D6" s="68"/>
      <c r="E6" s="69">
        <f t="shared" si="0"/>
        <v>85</v>
      </c>
      <c r="F6" s="70"/>
      <c r="H6" s="84"/>
      <c r="I6" s="65"/>
      <c r="J6" s="66"/>
      <c r="K6" s="68"/>
      <c r="L6" s="69">
        <f t="shared" si="1"/>
        <v>85</v>
      </c>
      <c r="M6" s="64"/>
      <c r="P6" s="64"/>
      <c r="Q6" s="65"/>
      <c r="R6" s="66"/>
      <c r="S6" s="68"/>
      <c r="T6" s="69"/>
      <c r="U6" s="64"/>
    </row>
    <row r="7" spans="1:21" x14ac:dyDescent="0.75">
      <c r="A7" s="64"/>
      <c r="B7" s="65" t="s">
        <v>89</v>
      </c>
      <c r="C7" s="66">
        <v>56</v>
      </c>
      <c r="D7" s="68"/>
      <c r="E7" s="69">
        <f t="shared" si="0"/>
        <v>56</v>
      </c>
      <c r="F7" s="70"/>
      <c r="H7" s="84"/>
      <c r="I7" s="65"/>
      <c r="J7" s="66"/>
      <c r="K7" s="68"/>
      <c r="L7" s="69">
        <f t="shared" si="1"/>
        <v>56</v>
      </c>
      <c r="M7" s="64"/>
      <c r="P7" s="64"/>
      <c r="Q7" s="65"/>
      <c r="R7" s="66"/>
      <c r="S7" s="68"/>
      <c r="T7" s="69"/>
      <c r="U7" s="64"/>
    </row>
    <row r="8" spans="1:21" ht="27" customHeight="1" x14ac:dyDescent="0.75">
      <c r="A8" s="64"/>
      <c r="B8" s="65" t="s">
        <v>118</v>
      </c>
      <c r="C8" s="66">
        <v>10</v>
      </c>
      <c r="D8" s="68"/>
      <c r="E8" s="69">
        <f t="shared" si="0"/>
        <v>10</v>
      </c>
      <c r="F8" s="70"/>
      <c r="H8" s="84"/>
      <c r="I8" s="65"/>
      <c r="J8" s="66"/>
      <c r="K8" s="68"/>
      <c r="L8" s="69">
        <f t="shared" si="1"/>
        <v>10</v>
      </c>
      <c r="M8" s="64"/>
      <c r="P8" s="64"/>
      <c r="Q8" s="65"/>
      <c r="R8" s="66"/>
      <c r="S8" s="68"/>
      <c r="T8" s="69"/>
      <c r="U8" s="64"/>
    </row>
    <row r="9" spans="1:21" ht="27" customHeight="1" x14ac:dyDescent="0.75">
      <c r="A9" s="69"/>
      <c r="B9" s="65" t="s">
        <v>121</v>
      </c>
      <c r="C9" s="66">
        <v>1</v>
      </c>
      <c r="D9" s="68"/>
      <c r="E9" s="69">
        <f t="shared" si="0"/>
        <v>1</v>
      </c>
      <c r="H9" s="84"/>
      <c r="I9" s="65"/>
      <c r="J9" s="66"/>
      <c r="K9" s="68"/>
      <c r="L9" s="69">
        <f t="shared" si="1"/>
        <v>1</v>
      </c>
      <c r="M9" s="64"/>
      <c r="P9" s="64"/>
      <c r="Q9" s="65"/>
      <c r="R9" s="66"/>
      <c r="S9" s="68"/>
      <c r="T9" s="79"/>
      <c r="U9" s="64"/>
    </row>
    <row r="10" spans="1:21" ht="27" customHeight="1" x14ac:dyDescent="0.75">
      <c r="A10" s="64"/>
      <c r="B10" s="65" t="s">
        <v>109</v>
      </c>
      <c r="C10" s="66">
        <v>7</v>
      </c>
      <c r="D10" s="68"/>
      <c r="E10" s="69">
        <f t="shared" si="0"/>
        <v>7</v>
      </c>
      <c r="F10" s="70"/>
      <c r="H10" s="84"/>
      <c r="I10" s="65"/>
      <c r="J10" s="66"/>
      <c r="K10" s="68"/>
      <c r="L10" s="69">
        <f t="shared" si="1"/>
        <v>7</v>
      </c>
      <c r="M10" s="64"/>
      <c r="P10" s="64"/>
      <c r="Q10" s="65"/>
      <c r="R10" s="66"/>
      <c r="S10" s="68"/>
      <c r="T10" s="69"/>
      <c r="U10" s="64"/>
    </row>
    <row r="11" spans="1:21" ht="27" customHeight="1" x14ac:dyDescent="0.75">
      <c r="A11" s="64"/>
      <c r="B11" s="65" t="s">
        <v>124</v>
      </c>
      <c r="C11" s="66">
        <v>12</v>
      </c>
      <c r="D11" s="68"/>
      <c r="E11" s="69">
        <f t="shared" si="0"/>
        <v>12</v>
      </c>
      <c r="F11" s="70"/>
      <c r="H11" s="84"/>
      <c r="I11" s="65"/>
      <c r="J11" s="66"/>
      <c r="K11" s="68"/>
      <c r="L11" s="69">
        <f t="shared" si="1"/>
        <v>12</v>
      </c>
      <c r="M11" s="64"/>
      <c r="P11" s="64"/>
      <c r="Q11" s="65"/>
      <c r="R11" s="66"/>
      <c r="S11" s="68"/>
      <c r="T11" s="81"/>
      <c r="U11" s="64"/>
    </row>
    <row r="12" spans="1:21" x14ac:dyDescent="0.75">
      <c r="A12" s="69"/>
      <c r="B12" s="65" t="s">
        <v>90</v>
      </c>
      <c r="C12" s="66">
        <v>13</v>
      </c>
      <c r="D12" s="68"/>
      <c r="E12" s="69">
        <f t="shared" si="0"/>
        <v>13</v>
      </c>
      <c r="H12" s="84"/>
      <c r="I12" s="65"/>
      <c r="J12" s="66"/>
      <c r="K12" s="68"/>
      <c r="L12" s="69">
        <f t="shared" si="1"/>
        <v>13</v>
      </c>
      <c r="M12" s="64"/>
      <c r="P12" s="64"/>
      <c r="Q12" s="65"/>
      <c r="R12" s="66"/>
      <c r="S12" s="68"/>
      <c r="T12" s="69"/>
      <c r="U12" s="64"/>
    </row>
    <row r="13" spans="1:21" ht="27" customHeight="1" x14ac:dyDescent="0.75">
      <c r="A13" s="64"/>
      <c r="B13" s="65" t="s">
        <v>85</v>
      </c>
      <c r="C13" s="66">
        <v>7</v>
      </c>
      <c r="D13" s="68"/>
      <c r="E13" s="69">
        <f t="shared" si="0"/>
        <v>7</v>
      </c>
      <c r="F13" s="70"/>
      <c r="H13" s="84"/>
      <c r="I13" s="65"/>
      <c r="J13" s="66"/>
      <c r="K13" s="68"/>
      <c r="L13" s="69">
        <f t="shared" si="1"/>
        <v>7</v>
      </c>
      <c r="M13" s="64"/>
      <c r="P13" s="64"/>
      <c r="Q13" s="65"/>
      <c r="R13" s="66"/>
      <c r="S13" s="68"/>
      <c r="T13" s="69"/>
      <c r="U13" s="64"/>
    </row>
    <row r="14" spans="1:21" ht="27" customHeight="1" x14ac:dyDescent="0.75">
      <c r="A14" s="64"/>
      <c r="B14" s="65" t="s">
        <v>91</v>
      </c>
      <c r="C14" s="66">
        <v>65</v>
      </c>
      <c r="D14" s="68"/>
      <c r="E14" s="69">
        <f t="shared" si="0"/>
        <v>65</v>
      </c>
      <c r="F14" s="70"/>
      <c r="H14" s="84"/>
      <c r="I14" s="65"/>
      <c r="J14" s="66"/>
      <c r="K14" s="68"/>
      <c r="L14" s="69">
        <f t="shared" si="1"/>
        <v>65</v>
      </c>
      <c r="M14" s="64"/>
      <c r="P14" s="64"/>
      <c r="Q14" s="65"/>
      <c r="R14" s="66"/>
      <c r="S14" s="68"/>
      <c r="T14" s="79"/>
      <c r="U14" s="64"/>
    </row>
    <row r="15" spans="1:21" ht="27" customHeight="1" x14ac:dyDescent="0.75">
      <c r="A15" s="64"/>
      <c r="B15" s="65" t="s">
        <v>96</v>
      </c>
      <c r="C15" s="66">
        <v>3</v>
      </c>
      <c r="D15" s="68"/>
      <c r="E15" s="69">
        <f t="shared" si="0"/>
        <v>3</v>
      </c>
      <c r="F15" s="70"/>
      <c r="H15" s="84"/>
      <c r="I15" s="65"/>
      <c r="J15" s="66"/>
      <c r="K15" s="68"/>
      <c r="L15" s="69">
        <f t="shared" si="1"/>
        <v>3</v>
      </c>
      <c r="M15" s="64"/>
      <c r="P15" s="64"/>
      <c r="Q15" s="65"/>
      <c r="R15" s="66"/>
      <c r="S15" s="68"/>
      <c r="T15" s="69"/>
      <c r="U15" s="64"/>
    </row>
    <row r="16" spans="1:21" ht="27" customHeight="1" x14ac:dyDescent="0.75">
      <c r="A16" s="64"/>
      <c r="B16" s="65" t="s">
        <v>117</v>
      </c>
      <c r="C16" s="66">
        <v>2</v>
      </c>
      <c r="D16" s="68"/>
      <c r="E16" s="69">
        <f t="shared" si="0"/>
        <v>2</v>
      </c>
      <c r="F16" s="70" t="s">
        <v>122</v>
      </c>
      <c r="H16" s="84"/>
      <c r="I16" s="65"/>
      <c r="J16" s="66"/>
      <c r="K16" s="68"/>
      <c r="L16" s="69">
        <f t="shared" si="1"/>
        <v>2</v>
      </c>
      <c r="M16" s="64"/>
      <c r="P16" s="64"/>
      <c r="Q16" s="65"/>
      <c r="R16" s="66"/>
      <c r="S16" s="68"/>
      <c r="T16" s="69"/>
      <c r="U16" s="64"/>
    </row>
    <row r="17" spans="1:21" ht="40.5" customHeight="1" x14ac:dyDescent="0.75">
      <c r="A17" s="64"/>
      <c r="B17" s="65" t="s">
        <v>106</v>
      </c>
      <c r="C17" s="66">
        <v>16</v>
      </c>
      <c r="D17" s="68"/>
      <c r="E17" s="69">
        <f t="shared" si="0"/>
        <v>16</v>
      </c>
      <c r="F17" s="70"/>
      <c r="H17" s="64"/>
      <c r="I17" s="65"/>
      <c r="J17" s="66"/>
      <c r="K17" s="68"/>
      <c r="L17" s="69">
        <f t="shared" si="1"/>
        <v>16</v>
      </c>
      <c r="M17" s="64"/>
      <c r="P17" s="64"/>
      <c r="Q17" s="65"/>
      <c r="R17" s="66"/>
      <c r="S17" s="68"/>
      <c r="T17" s="69"/>
      <c r="U17" s="64"/>
    </row>
    <row r="18" spans="1:21" x14ac:dyDescent="0.75">
      <c r="A18" s="64"/>
      <c r="B18" s="65"/>
      <c r="C18" s="66"/>
      <c r="D18" s="68"/>
      <c r="E18" s="69">
        <f t="shared" si="0"/>
        <v>0</v>
      </c>
      <c r="F18" s="70"/>
      <c r="H18" s="64"/>
      <c r="I18" s="65"/>
      <c r="J18" s="66"/>
      <c r="K18" s="68"/>
      <c r="L18" s="69">
        <f t="shared" ref="L18:L23" si="2">J18-K18</f>
        <v>0</v>
      </c>
      <c r="M18" s="64"/>
      <c r="P18" s="64"/>
      <c r="Q18" s="65"/>
      <c r="R18" s="66"/>
      <c r="S18" s="68"/>
      <c r="T18" s="69"/>
      <c r="U18" s="64"/>
    </row>
    <row r="19" spans="1:21" ht="22.5" customHeight="1" x14ac:dyDescent="0.75">
      <c r="A19" s="64"/>
      <c r="B19" s="65"/>
      <c r="C19" s="69"/>
      <c r="D19" s="68"/>
      <c r="E19" s="69">
        <f t="shared" si="0"/>
        <v>0</v>
      </c>
      <c r="F19" s="70"/>
      <c r="H19" s="64"/>
      <c r="I19" s="65"/>
      <c r="J19" s="66"/>
      <c r="K19" s="68"/>
      <c r="L19" s="69">
        <f t="shared" si="2"/>
        <v>0</v>
      </c>
      <c r="M19" s="64"/>
      <c r="P19" s="64"/>
      <c r="Q19" s="65"/>
      <c r="R19" s="66"/>
      <c r="S19" s="68"/>
      <c r="T19" s="69"/>
      <c r="U19" s="64"/>
    </row>
    <row r="20" spans="1:21" ht="18" customHeight="1" x14ac:dyDescent="0.75">
      <c r="A20" s="64"/>
      <c r="B20" s="65"/>
      <c r="C20" s="66"/>
      <c r="D20" s="68"/>
      <c r="E20" s="81">
        <f t="shared" si="0"/>
        <v>0</v>
      </c>
      <c r="F20" s="70"/>
      <c r="H20" s="64"/>
      <c r="I20" s="64"/>
      <c r="J20" s="82"/>
      <c r="K20" s="68"/>
      <c r="L20" s="81">
        <f t="shared" si="2"/>
        <v>0</v>
      </c>
      <c r="M20" s="64"/>
      <c r="P20" s="64"/>
      <c r="Q20" s="64"/>
      <c r="R20" s="82"/>
      <c r="S20" s="68"/>
      <c r="T20" s="81"/>
      <c r="U20" s="64"/>
    </row>
    <row r="21" spans="1:21" x14ac:dyDescent="0.75">
      <c r="A21" s="64"/>
      <c r="B21" s="65"/>
      <c r="C21" s="64"/>
      <c r="D21" s="68"/>
      <c r="E21" s="81">
        <f t="shared" si="0"/>
        <v>0</v>
      </c>
      <c r="F21" s="70"/>
      <c r="H21" s="64"/>
      <c r="I21" s="64"/>
      <c r="J21" s="64"/>
      <c r="K21" s="68"/>
      <c r="L21" s="81">
        <f t="shared" si="2"/>
        <v>0</v>
      </c>
      <c r="M21" s="64"/>
      <c r="P21" s="64"/>
      <c r="Q21" s="64"/>
      <c r="R21" s="64"/>
      <c r="S21" s="68"/>
      <c r="T21" s="81"/>
      <c r="U21" s="64"/>
    </row>
    <row r="22" spans="1:21" x14ac:dyDescent="0.75">
      <c r="A22" s="64"/>
      <c r="B22" s="65"/>
      <c r="C22" s="64"/>
      <c r="D22" s="68"/>
      <c r="E22" s="81">
        <f t="shared" si="0"/>
        <v>0</v>
      </c>
      <c r="F22" s="70"/>
      <c r="H22" s="64"/>
      <c r="I22" s="65"/>
      <c r="J22" s="64"/>
      <c r="K22" s="68"/>
      <c r="L22" s="81">
        <f t="shared" si="2"/>
        <v>0</v>
      </c>
      <c r="M22" s="64"/>
      <c r="P22" s="64"/>
      <c r="Q22" s="65"/>
      <c r="R22" s="64"/>
      <c r="S22" s="68"/>
      <c r="T22" s="81"/>
      <c r="U22" s="64"/>
    </row>
    <row r="23" spans="1:21" x14ac:dyDescent="0.75">
      <c r="A23" s="64"/>
      <c r="B23" s="65"/>
      <c r="C23" s="64"/>
      <c r="D23" s="67"/>
      <c r="E23" s="81">
        <f t="shared" si="0"/>
        <v>0</v>
      </c>
      <c r="F23" s="70"/>
      <c r="H23" s="64"/>
      <c r="I23" s="65"/>
      <c r="J23" s="64"/>
      <c r="K23" s="67"/>
      <c r="L23" s="69">
        <f t="shared" si="2"/>
        <v>0</v>
      </c>
      <c r="M23" s="64"/>
      <c r="P23" s="64"/>
      <c r="Q23" s="65"/>
      <c r="R23" s="64"/>
      <c r="S23" s="67"/>
      <c r="T23" s="69"/>
      <c r="U23" s="64"/>
    </row>
    <row r="24" spans="1:21" x14ac:dyDescent="0.75">
      <c r="A24" s="34"/>
      <c r="B24" s="71"/>
      <c r="C24" s="34"/>
      <c r="D24" s="34"/>
      <c r="E24" s="72"/>
      <c r="H24" s="34"/>
      <c r="I24" s="71"/>
      <c r="J24" s="34"/>
      <c r="K24" s="34"/>
      <c r="L24" s="72"/>
      <c r="M24" s="34"/>
    </row>
  </sheetData>
  <pageMargins left="0.25" right="0.25" top="0.25" bottom="0.25" header="0" footer="0"/>
  <pageSetup orientation="portrait" r:id="rId1"/>
  <colBreaks count="1" manualBreakCount="1">
    <brk id="7" max="2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386E8-630B-4FEF-94A7-85E4AB48EF0F}">
  <dimension ref="A1:H35"/>
  <sheetViews>
    <sheetView topLeftCell="A14" zoomScaleNormal="100" workbookViewId="0">
      <selection activeCell="G25" sqref="G25"/>
    </sheetView>
  </sheetViews>
  <sheetFormatPr defaultRowHeight="14.75" x14ac:dyDescent="0.75"/>
  <cols>
    <col min="1" max="1" width="16.76953125" customWidth="1"/>
    <col min="2" max="2" width="6.453125" customWidth="1"/>
    <col min="6" max="6" width="11.6328125" customWidth="1"/>
    <col min="7" max="7" width="4.953125" customWidth="1"/>
    <col min="11" max="11" width="6.453125" customWidth="1"/>
  </cols>
  <sheetData>
    <row r="1" spans="1:8" x14ac:dyDescent="0.75">
      <c r="A1" t="s">
        <v>76</v>
      </c>
    </row>
    <row r="3" spans="1:8" x14ac:dyDescent="0.75">
      <c r="A3" s="33" t="s">
        <v>60</v>
      </c>
      <c r="B3" s="34" t="s">
        <v>61</v>
      </c>
      <c r="C3" s="34"/>
      <c r="D3" s="34"/>
      <c r="E3" s="35"/>
    </row>
    <row r="4" spans="1:8" x14ac:dyDescent="0.75">
      <c r="A4" s="36"/>
      <c r="E4" s="37"/>
      <c r="G4" s="49">
        <v>16</v>
      </c>
      <c r="H4" t="s">
        <v>75</v>
      </c>
    </row>
    <row r="5" spans="1:8" x14ac:dyDescent="0.75">
      <c r="A5" s="38" t="s">
        <v>62</v>
      </c>
      <c r="B5" s="39" t="s">
        <v>63</v>
      </c>
      <c r="C5" s="41">
        <v>16</v>
      </c>
      <c r="D5" s="39" t="s">
        <v>59</v>
      </c>
      <c r="E5" s="40"/>
    </row>
    <row r="7" spans="1:8" x14ac:dyDescent="0.75">
      <c r="A7" s="33" t="s">
        <v>62</v>
      </c>
      <c r="B7" s="34" t="s">
        <v>61</v>
      </c>
      <c r="C7" s="34"/>
      <c r="D7" s="34"/>
      <c r="E7" s="35"/>
    </row>
    <row r="8" spans="1:8" x14ac:dyDescent="0.75">
      <c r="A8" s="36"/>
      <c r="E8" s="37"/>
    </row>
    <row r="9" spans="1:8" x14ac:dyDescent="0.75">
      <c r="A9" s="38" t="s">
        <v>64</v>
      </c>
      <c r="B9" s="39" t="s">
        <v>63</v>
      </c>
      <c r="C9" s="41">
        <v>16</v>
      </c>
      <c r="D9" s="39" t="s">
        <v>59</v>
      </c>
      <c r="E9" s="40"/>
    </row>
    <row r="11" spans="1:8" x14ac:dyDescent="0.75">
      <c r="A11" s="33" t="s">
        <v>64</v>
      </c>
      <c r="B11" s="34" t="s">
        <v>61</v>
      </c>
      <c r="C11" s="34"/>
      <c r="D11" s="34"/>
      <c r="E11" s="35"/>
    </row>
    <row r="12" spans="1:8" x14ac:dyDescent="0.75">
      <c r="A12" s="36"/>
      <c r="E12" s="37"/>
    </row>
    <row r="13" spans="1:8" x14ac:dyDescent="0.75">
      <c r="A13" s="38" t="s">
        <v>65</v>
      </c>
      <c r="B13" s="39" t="s">
        <v>63</v>
      </c>
      <c r="C13" s="41">
        <v>16</v>
      </c>
      <c r="D13" s="39" t="s">
        <v>59</v>
      </c>
      <c r="E13" s="40"/>
    </row>
    <row r="15" spans="1:8" x14ac:dyDescent="0.75">
      <c r="A15" s="33" t="s">
        <v>65</v>
      </c>
      <c r="B15" s="34" t="s">
        <v>61</v>
      </c>
      <c r="C15" s="34"/>
      <c r="D15" s="34"/>
      <c r="E15" s="35"/>
    </row>
    <row r="16" spans="1:8" x14ac:dyDescent="0.75">
      <c r="A16" s="36"/>
      <c r="E16" s="37"/>
    </row>
    <row r="17" spans="1:8" x14ac:dyDescent="0.75">
      <c r="A17" s="38" t="s">
        <v>66</v>
      </c>
      <c r="B17" s="39" t="s">
        <v>63</v>
      </c>
      <c r="C17" s="41">
        <v>16</v>
      </c>
      <c r="D17" s="39" t="s">
        <v>59</v>
      </c>
      <c r="E17" s="40"/>
    </row>
    <row r="19" spans="1:8" x14ac:dyDescent="0.75">
      <c r="A19" s="33" t="s">
        <v>66</v>
      </c>
      <c r="B19" s="34" t="s">
        <v>61</v>
      </c>
      <c r="C19" s="34"/>
      <c r="D19" s="34"/>
      <c r="E19" s="35"/>
    </row>
    <row r="20" spans="1:8" x14ac:dyDescent="0.75">
      <c r="A20" s="36"/>
      <c r="E20" s="37"/>
    </row>
    <row r="21" spans="1:8" x14ac:dyDescent="0.75">
      <c r="A21" s="38" t="s">
        <v>67</v>
      </c>
      <c r="B21" s="39" t="s">
        <v>63</v>
      </c>
      <c r="C21" s="41">
        <v>16</v>
      </c>
      <c r="D21" s="39" t="s">
        <v>59</v>
      </c>
      <c r="E21" s="40"/>
    </row>
    <row r="23" spans="1:8" x14ac:dyDescent="0.75">
      <c r="A23" s="33" t="s">
        <v>67</v>
      </c>
      <c r="B23" s="34" t="s">
        <v>63</v>
      </c>
      <c r="C23" s="34"/>
      <c r="D23" s="34"/>
      <c r="E23" s="35"/>
    </row>
    <row r="24" spans="1:8" x14ac:dyDescent="0.75">
      <c r="A24" s="36"/>
      <c r="E24" s="37"/>
      <c r="G24" s="42">
        <f>SUM(C21,C25,C29)</f>
        <v>64</v>
      </c>
      <c r="H24" t="s">
        <v>70</v>
      </c>
    </row>
    <row r="25" spans="1:8" x14ac:dyDescent="0.75">
      <c r="A25" s="38" t="s">
        <v>68</v>
      </c>
      <c r="B25" s="39" t="s">
        <v>63</v>
      </c>
      <c r="C25" s="39">
        <v>24</v>
      </c>
      <c r="D25" s="39" t="s">
        <v>59</v>
      </c>
      <c r="E25" s="40"/>
    </row>
    <row r="27" spans="1:8" x14ac:dyDescent="0.75">
      <c r="A27" s="33" t="s">
        <v>68</v>
      </c>
      <c r="B27" s="34" t="s">
        <v>63</v>
      </c>
      <c r="C27" s="34"/>
      <c r="D27" s="34"/>
      <c r="E27" s="35"/>
    </row>
    <row r="28" spans="1:8" x14ac:dyDescent="0.75">
      <c r="A28" s="36"/>
      <c r="E28" s="37"/>
    </row>
    <row r="29" spans="1:8" x14ac:dyDescent="0.75">
      <c r="A29" s="38" t="s">
        <v>60</v>
      </c>
      <c r="B29" s="39" t="s">
        <v>63</v>
      </c>
      <c r="C29" s="39">
        <v>24</v>
      </c>
      <c r="D29" s="39" t="s">
        <v>59</v>
      </c>
      <c r="E29" s="40"/>
    </row>
    <row r="31" spans="1:8" ht="15.5" thickBot="1" x14ac:dyDescent="0.9"/>
    <row r="32" spans="1:8" x14ac:dyDescent="0.75">
      <c r="A32" s="44" t="s">
        <v>69</v>
      </c>
      <c r="B32" s="45"/>
      <c r="C32" s="46">
        <f>SUM(C5,C9,C13,C17,C21,C25,C29)</f>
        <v>128</v>
      </c>
      <c r="D32" s="45" t="s">
        <v>59</v>
      </c>
      <c r="E32" s="45"/>
      <c r="F32" s="45"/>
      <c r="G32" s="45"/>
      <c r="H32" s="45"/>
    </row>
    <row r="35" spans="1:4" x14ac:dyDescent="0.75">
      <c r="A35" s="47" t="s">
        <v>71</v>
      </c>
      <c r="C35">
        <f>C32*2</f>
        <v>256</v>
      </c>
      <c r="D35" t="s">
        <v>59</v>
      </c>
    </row>
  </sheetData>
  <pageMargins left="0.25" right="0.25" top="0.25" bottom="0.25" header="0" footer="0"/>
  <pageSetup scale="9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Tyler Payroll Example</vt:lpstr>
      <vt:lpstr>Sheet1</vt:lpstr>
      <vt:lpstr>On call Hour</vt:lpstr>
      <vt:lpstr>Sheet1!Print_Area</vt:lpstr>
      <vt:lpstr>'Tyler Payroll Example'!Print_Area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Ahlman</dc:creator>
  <cp:lastModifiedBy>Silas Shelton</cp:lastModifiedBy>
  <cp:lastPrinted>2026-05-05T21:17:05Z</cp:lastPrinted>
  <dcterms:created xsi:type="dcterms:W3CDTF">2021-04-07T17:06:04Z</dcterms:created>
  <dcterms:modified xsi:type="dcterms:W3CDTF">2026-05-05T21:19:03Z</dcterms:modified>
</cp:coreProperties>
</file>