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ilas\Downloads\"/>
    </mc:Choice>
  </mc:AlternateContent>
  <xr:revisionPtr revIDLastSave="0" documentId="13_ncr:1_{A953AE37-E4C0-48E3-A293-AD5C8DED5C1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yler Payroll Example" sheetId="6" r:id="rId1"/>
    <sheet name="Sheet1" sheetId="5" r:id="rId2"/>
    <sheet name="On call Hour" sheetId="2" r:id="rId3"/>
  </sheets>
  <definedNames>
    <definedName name="_xlnm.Print_Area" localSheetId="1">Sheet1!$A$1:$O$24</definedName>
    <definedName name="_xlnm.Print_Area" localSheetId="0">'Tyler Payroll Example'!$A$1:$O$173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0" i="6" l="1"/>
  <c r="J56" i="6"/>
  <c r="N104" i="6"/>
  <c r="O104" i="6" s="1"/>
  <c r="P92" i="6"/>
  <c r="N91" i="6"/>
  <c r="O91" i="6" s="1"/>
  <c r="P81" i="6"/>
  <c r="Q81" i="6"/>
  <c r="N80" i="6"/>
  <c r="O80" i="6" s="1"/>
  <c r="N75" i="6"/>
  <c r="O75" i="6" s="1"/>
  <c r="N69" i="6"/>
  <c r="O69" i="6" s="1"/>
  <c r="N3" i="6"/>
  <c r="O3" i="6" s="1"/>
  <c r="N9" i="6"/>
  <c r="O9" i="6" s="1"/>
  <c r="N16" i="6"/>
  <c r="O16" i="6" s="1"/>
  <c r="N24" i="6"/>
  <c r="O24" i="6" s="1"/>
  <c r="N33" i="6"/>
  <c r="O33" i="6" s="1"/>
  <c r="O44" i="6"/>
  <c r="N44" i="6"/>
  <c r="O63" i="6"/>
  <c r="N63" i="6"/>
  <c r="H126" i="6"/>
  <c r="J122" i="6"/>
  <c r="H128" i="6"/>
  <c r="H127" i="6"/>
  <c r="H125" i="6"/>
  <c r="H124" i="6"/>
  <c r="H123" i="6"/>
  <c r="H122" i="6"/>
  <c r="H86" i="6" l="1"/>
  <c r="J86" i="6"/>
  <c r="L86" i="6" s="1"/>
  <c r="M86" i="6" s="1"/>
  <c r="H87" i="6"/>
  <c r="P87" i="6"/>
  <c r="H7" i="6"/>
  <c r="H54" i="6"/>
  <c r="H58" i="6"/>
  <c r="H57" i="6"/>
  <c r="H56" i="6"/>
  <c r="H55" i="6"/>
  <c r="I90" i="6" l="1"/>
  <c r="J88" i="6" s="1"/>
  <c r="J90" i="6"/>
  <c r="O88" i="6"/>
  <c r="I62" i="6"/>
  <c r="J148" i="6"/>
  <c r="H146" i="6"/>
  <c r="J82" i="6"/>
  <c r="E19" i="5" l="1"/>
  <c r="K1" i="6"/>
  <c r="O25" i="6" s="1"/>
  <c r="H41" i="6"/>
  <c r="O45" i="6" l="1"/>
  <c r="O34" i="6"/>
  <c r="L80" i="6"/>
  <c r="M80" i="6" s="1"/>
  <c r="H81" i="6"/>
  <c r="H80" i="6"/>
  <c r="J3" i="6"/>
  <c r="J9" i="6"/>
  <c r="M19" i="6"/>
  <c r="M20" i="6"/>
  <c r="J24" i="6"/>
  <c r="L24" i="6"/>
  <c r="M24" i="6" s="1"/>
  <c r="N27" i="6"/>
  <c r="N28" i="6"/>
  <c r="J33" i="6"/>
  <c r="L33" i="6"/>
  <c r="M33" i="6" s="1"/>
  <c r="N37" i="6"/>
  <c r="N38" i="6"/>
  <c r="J44" i="6"/>
  <c r="J45" i="6" s="1"/>
  <c r="L44" i="6"/>
  <c r="M44" i="6" s="1"/>
  <c r="N46" i="6"/>
  <c r="N48" i="6"/>
  <c r="J54" i="6"/>
  <c r="P55" i="6" s="1"/>
  <c r="P56" i="6" s="1"/>
  <c r="L54" i="6"/>
  <c r="M54" i="6"/>
  <c r="N57" i="6"/>
  <c r="N58" i="6"/>
  <c r="J63" i="6"/>
  <c r="P64" i="6" s="1"/>
  <c r="L63" i="6"/>
  <c r="M63" i="6" s="1"/>
  <c r="L69" i="6"/>
  <c r="M69" i="6" s="1"/>
  <c r="L75" i="6"/>
  <c r="M75" i="6" s="1"/>
  <c r="J91" i="6"/>
  <c r="L91" i="6" s="1"/>
  <c r="M91" i="6" s="1"/>
  <c r="J100" i="6"/>
  <c r="L100" i="6" s="1"/>
  <c r="M100" i="6" s="1"/>
  <c r="J104" i="6"/>
  <c r="L104" i="6" s="1"/>
  <c r="M104" i="6" s="1"/>
  <c r="N106" i="6"/>
  <c r="N107" i="6"/>
  <c r="N108" i="6"/>
  <c r="O109" i="6" s="1"/>
  <c r="J113" i="6"/>
  <c r="L113" i="6" s="1"/>
  <c r="M113" i="6" s="1"/>
  <c r="N114" i="6"/>
  <c r="N115" i="6"/>
  <c r="N116" i="6"/>
  <c r="O117" i="6" s="1"/>
  <c r="L122" i="6"/>
  <c r="M122" i="6" s="1"/>
  <c r="J134" i="6"/>
  <c r="J139" i="6"/>
  <c r="J145" i="6"/>
  <c r="L145" i="6"/>
  <c r="M145" i="6" s="1"/>
  <c r="J152" i="6"/>
  <c r="J156" i="6"/>
  <c r="L156" i="6" s="1"/>
  <c r="M156" i="6" s="1"/>
  <c r="N167" i="6"/>
  <c r="H20" i="6"/>
  <c r="H21" i="6"/>
  <c r="H52" i="6"/>
  <c r="H51" i="6"/>
  <c r="H50" i="6"/>
  <c r="H49" i="6"/>
  <c r="H48" i="6"/>
  <c r="H47" i="6"/>
  <c r="H46" i="6"/>
  <c r="H45" i="6"/>
  <c r="H44" i="6"/>
  <c r="H42" i="6"/>
  <c r="H120" i="6"/>
  <c r="H98" i="6"/>
  <c r="H97" i="6"/>
  <c r="H96" i="6"/>
  <c r="J96" i="6" s="1"/>
  <c r="L96" i="6" s="1"/>
  <c r="M96" i="6" s="1"/>
  <c r="K62" i="6" l="1"/>
  <c r="P34" i="6"/>
  <c r="P35" i="6" s="1"/>
  <c r="J34" i="6"/>
  <c r="P25" i="6"/>
  <c r="Q25" i="6" s="1"/>
  <c r="J25" i="6"/>
  <c r="N161" i="6"/>
  <c r="J99" i="6"/>
  <c r="K85" i="6"/>
  <c r="J80" i="6"/>
  <c r="N162" i="6"/>
  <c r="K53" i="6"/>
  <c r="Q64" i="6"/>
  <c r="P65" i="6"/>
  <c r="Q55" i="6"/>
  <c r="N163" i="6"/>
  <c r="O60" i="6"/>
  <c r="I53" i="6"/>
  <c r="J48" i="6" s="1"/>
  <c r="H71" i="6"/>
  <c r="E4" i="5"/>
  <c r="L4" i="5" s="1"/>
  <c r="E5" i="5"/>
  <c r="L5" i="5" s="1"/>
  <c r="E6" i="5"/>
  <c r="L6" i="5" s="1"/>
  <c r="E7" i="5"/>
  <c r="L7" i="5" s="1"/>
  <c r="E8" i="5"/>
  <c r="L8" i="5" s="1"/>
  <c r="E9" i="5"/>
  <c r="L9" i="5" s="1"/>
  <c r="E10" i="5"/>
  <c r="L10" i="5" s="1"/>
  <c r="E11" i="5"/>
  <c r="L11" i="5" s="1"/>
  <c r="E12" i="5"/>
  <c r="L12" i="5" s="1"/>
  <c r="E13" i="5"/>
  <c r="L13" i="5" s="1"/>
  <c r="E14" i="5"/>
  <c r="L14" i="5" s="1"/>
  <c r="E15" i="5"/>
  <c r="L15" i="5" s="1"/>
  <c r="E16" i="5"/>
  <c r="L16" i="5" s="1"/>
  <c r="E17" i="5"/>
  <c r="L17" i="5" s="1"/>
  <c r="E18" i="5"/>
  <c r="E20" i="5"/>
  <c r="H65" i="6"/>
  <c r="H64" i="6"/>
  <c r="P26" i="6" l="1"/>
  <c r="Q34" i="6"/>
  <c r="J53" i="6"/>
  <c r="O50" i="6"/>
  <c r="E21" i="5"/>
  <c r="E22" i="5"/>
  <c r="E23" i="5"/>
  <c r="H158" i="6"/>
  <c r="H157" i="6"/>
  <c r="H156" i="6"/>
  <c r="J159" i="6" s="1"/>
  <c r="H154" i="6"/>
  <c r="H153" i="6"/>
  <c r="H152" i="6"/>
  <c r="H149" i="6"/>
  <c r="H148" i="6"/>
  <c r="H147" i="6"/>
  <c r="H145" i="6"/>
  <c r="H142" i="6"/>
  <c r="H141" i="6"/>
  <c r="H140" i="6"/>
  <c r="H139" i="6"/>
  <c r="H137" i="6"/>
  <c r="H136" i="6"/>
  <c r="H135" i="6"/>
  <c r="H134" i="6"/>
  <c r="H132" i="6"/>
  <c r="H131" i="6"/>
  <c r="H130" i="6"/>
  <c r="H119" i="6"/>
  <c r="H118" i="6"/>
  <c r="H117" i="6"/>
  <c r="H116" i="6"/>
  <c r="H115" i="6"/>
  <c r="H114" i="6"/>
  <c r="H110" i="6"/>
  <c r="H109" i="6"/>
  <c r="H108" i="6"/>
  <c r="H107" i="6"/>
  <c r="H106" i="6"/>
  <c r="H105" i="6"/>
  <c r="H101" i="6"/>
  <c r="H100" i="6"/>
  <c r="J103" i="6" s="1"/>
  <c r="H94" i="6"/>
  <c r="H93" i="6"/>
  <c r="H92" i="6"/>
  <c r="H91" i="6"/>
  <c r="J95" i="6" s="1"/>
  <c r="H77" i="6"/>
  <c r="H76" i="6"/>
  <c r="H75" i="6"/>
  <c r="H72" i="6"/>
  <c r="H70" i="6"/>
  <c r="H69" i="6"/>
  <c r="K74" i="6" s="1"/>
  <c r="H63" i="6"/>
  <c r="H40" i="6"/>
  <c r="H39" i="6"/>
  <c r="H38" i="6"/>
  <c r="H37" i="6"/>
  <c r="H36" i="6"/>
  <c r="H35" i="6"/>
  <c r="H34" i="6"/>
  <c r="H33" i="6"/>
  <c r="H31" i="6"/>
  <c r="H30" i="6"/>
  <c r="H29" i="6"/>
  <c r="H28" i="6"/>
  <c r="H27" i="6"/>
  <c r="H26" i="6"/>
  <c r="H25" i="6"/>
  <c r="H24" i="6"/>
  <c r="H22" i="6"/>
  <c r="H19" i="6"/>
  <c r="H18" i="6"/>
  <c r="H17" i="6"/>
  <c r="H16" i="6"/>
  <c r="H14" i="6"/>
  <c r="H13" i="6"/>
  <c r="H12" i="6"/>
  <c r="H11" i="6"/>
  <c r="H10" i="6"/>
  <c r="H9" i="6"/>
  <c r="H6" i="6"/>
  <c r="H5" i="6"/>
  <c r="H4" i="6"/>
  <c r="H3" i="6"/>
  <c r="E1" i="6"/>
  <c r="K165" i="6" s="1"/>
  <c r="K166" i="6" s="1"/>
  <c r="N166" i="6" s="1"/>
  <c r="N165" i="6" s="1"/>
  <c r="N169" i="6" s="1"/>
  <c r="L173" i="6" l="1"/>
  <c r="K8" i="6"/>
  <c r="J129" i="6"/>
  <c r="I129" i="6"/>
  <c r="J123" i="6" s="1"/>
  <c r="K32" i="6"/>
  <c r="J151" i="6"/>
  <c r="J112" i="6"/>
  <c r="K15" i="6"/>
  <c r="K154" i="6"/>
  <c r="J138" i="6"/>
  <c r="J121" i="6"/>
  <c r="K79" i="6"/>
  <c r="J75" i="6"/>
  <c r="P76" i="6" s="1"/>
  <c r="I68" i="6"/>
  <c r="K68" i="6"/>
  <c r="J69" i="6"/>
  <c r="P70" i="6" s="1"/>
  <c r="K43" i="6"/>
  <c r="J130" i="6"/>
  <c r="J133" i="6"/>
  <c r="J23" i="6"/>
  <c r="J16" i="6"/>
  <c r="O19" i="6"/>
  <c r="I155" i="6"/>
  <c r="I8" i="6"/>
  <c r="J4" i="6" s="1"/>
  <c r="I133" i="6"/>
  <c r="I15" i="6"/>
  <c r="J11" i="6" s="1"/>
  <c r="I151" i="6"/>
  <c r="O149" i="6" s="1"/>
  <c r="I85" i="6"/>
  <c r="I159" i="6"/>
  <c r="I144" i="6"/>
  <c r="I138" i="6"/>
  <c r="I121" i="6"/>
  <c r="I112" i="6"/>
  <c r="I95" i="6"/>
  <c r="I74" i="6"/>
  <c r="I32" i="6"/>
  <c r="J28" i="6" s="1"/>
  <c r="I23" i="6"/>
  <c r="J17" i="6" s="1"/>
  <c r="I43" i="6"/>
  <c r="J38" i="6" s="1"/>
  <c r="I103" i="6"/>
  <c r="I79" i="6"/>
  <c r="I99" i="6"/>
  <c r="L74" i="6" l="1"/>
  <c r="J74" i="6"/>
  <c r="O136" i="6"/>
  <c r="L174" i="6"/>
  <c r="M174" i="6" s="1"/>
  <c r="O77" i="6"/>
  <c r="J76" i="6"/>
  <c r="O118" i="6"/>
  <c r="J115" i="6"/>
  <c r="O158" i="6"/>
  <c r="J158" i="6"/>
  <c r="O83" i="6"/>
  <c r="J81" i="6"/>
  <c r="O72" i="6"/>
  <c r="J70" i="6"/>
  <c r="O93" i="6"/>
  <c r="J93" i="6"/>
  <c r="O66" i="6"/>
  <c r="J65" i="6"/>
  <c r="O110" i="6"/>
  <c r="J106" i="6"/>
  <c r="O40" i="6"/>
  <c r="J43" i="6"/>
  <c r="O30" i="6"/>
  <c r="J32" i="6"/>
  <c r="I161" i="6"/>
  <c r="O142" i="6"/>
  <c r="J144" i="6"/>
  <c r="Q70" i="6"/>
  <c r="P71" i="6"/>
  <c r="P82" i="6"/>
  <c r="Q76" i="6"/>
  <c r="P77" i="6"/>
  <c r="L23" i="5"/>
  <c r="L22" i="5"/>
  <c r="L21" i="5"/>
  <c r="L20" i="5"/>
  <c r="L19" i="5"/>
  <c r="L18" i="5"/>
  <c r="L170" i="6" l="1"/>
  <c r="L171" i="6" s="1"/>
  <c r="M171" i="6" s="1"/>
  <c r="M173" i="6"/>
  <c r="C35" i="2"/>
  <c r="C32" i="2"/>
  <c r="G24" i="2"/>
  <c r="M170" i="6" l="1"/>
  <c r="M172" i="6" s="1"/>
  <c r="L172" i="6"/>
</calcChain>
</file>

<file path=xl/sharedStrings.xml><?xml version="1.0" encoding="utf-8"?>
<sst xmlns="http://schemas.openxmlformats.org/spreadsheetml/2006/main" count="553" uniqueCount="213">
  <si>
    <t>LAST NAME</t>
  </si>
  <si>
    <t>FIRST NAME</t>
  </si>
  <si>
    <t>POSITION</t>
  </si>
  <si>
    <t>EXCEPTION</t>
  </si>
  <si>
    <t>HOURS</t>
  </si>
  <si>
    <t>RATE</t>
  </si>
  <si>
    <t>TOTAL</t>
  </si>
  <si>
    <t>Grand Total</t>
  </si>
  <si>
    <t>PRN</t>
  </si>
  <si>
    <t>CNA</t>
  </si>
  <si>
    <t>LVN</t>
  </si>
  <si>
    <t>Shelton</t>
  </si>
  <si>
    <t>Woodard</t>
  </si>
  <si>
    <t>Brad</t>
  </si>
  <si>
    <t xml:space="preserve">Frost </t>
  </si>
  <si>
    <t>Angie</t>
  </si>
  <si>
    <t>Robison</t>
  </si>
  <si>
    <t>Tanisha</t>
  </si>
  <si>
    <t>Johnson</t>
  </si>
  <si>
    <t>Ector</t>
  </si>
  <si>
    <t>Randy</t>
  </si>
  <si>
    <t>James</t>
  </si>
  <si>
    <t>Salary</t>
  </si>
  <si>
    <t>Per Visit</t>
  </si>
  <si>
    <t>Hourly</t>
  </si>
  <si>
    <t>RN - CM</t>
  </si>
  <si>
    <t>CHAP</t>
  </si>
  <si>
    <t>Admin</t>
  </si>
  <si>
    <t>Vehicle</t>
  </si>
  <si>
    <t>phone</t>
  </si>
  <si>
    <t>Silas</t>
  </si>
  <si>
    <t>Per visit</t>
  </si>
  <si>
    <t>PAY TYPE</t>
  </si>
  <si>
    <t>On Call Pager</t>
  </si>
  <si>
    <t>Mileage</t>
  </si>
  <si>
    <t>On Call pager</t>
  </si>
  <si>
    <t>On call Visit</t>
  </si>
  <si>
    <t>on call Death</t>
  </si>
  <si>
    <t>on call Admit</t>
  </si>
  <si>
    <t>auto allowance</t>
  </si>
  <si>
    <t>Extended Visit</t>
  </si>
  <si>
    <t>extended visits</t>
  </si>
  <si>
    <t>IDT</t>
  </si>
  <si>
    <t>Total=</t>
  </si>
  <si>
    <t xml:space="preserve"> /Yr</t>
  </si>
  <si>
    <t>Randy Ector</t>
  </si>
  <si>
    <t>James Johnson</t>
  </si>
  <si>
    <t>On Call Visit</t>
  </si>
  <si>
    <t>On Call Death</t>
  </si>
  <si>
    <t>Bonus</t>
  </si>
  <si>
    <t>/Yr                                                                                                          *changed from 31.80/hr to 34.86/hr(72,500/yr)</t>
  </si>
  <si>
    <t>Sanders</t>
  </si>
  <si>
    <t>Jasmine</t>
  </si>
  <si>
    <t>SW</t>
  </si>
  <si>
    <t>Reimbursement</t>
  </si>
  <si>
    <t>Expenses</t>
  </si>
  <si>
    <t>Office Mgr</t>
  </si>
  <si>
    <t>Foster</t>
  </si>
  <si>
    <t>Joyce Wyvonne</t>
  </si>
  <si>
    <t>NP</t>
  </si>
  <si>
    <t>PRN ONCALL</t>
  </si>
  <si>
    <t>Kendricks-Tuck</t>
  </si>
  <si>
    <t>Artheria</t>
  </si>
  <si>
    <t>Hours</t>
  </si>
  <si>
    <t xml:space="preserve">Hours-OnCall </t>
  </si>
  <si>
    <t>Visits-OnCall</t>
  </si>
  <si>
    <t>Total Q2weeks:</t>
  </si>
  <si>
    <t>Monday</t>
  </si>
  <si>
    <t>5pm</t>
  </si>
  <si>
    <t>Tuesday</t>
  </si>
  <si>
    <t>9am</t>
  </si>
  <si>
    <t>Wednesday</t>
  </si>
  <si>
    <t>Thursday</t>
  </si>
  <si>
    <t>Friday</t>
  </si>
  <si>
    <t>Saturday</t>
  </si>
  <si>
    <t>Sunday</t>
  </si>
  <si>
    <t>one 7 day week =</t>
  </si>
  <si>
    <t>Hrs for Weekend (Fri PM - Mon AM)</t>
  </si>
  <si>
    <t>Approx one 14 day PayPrd =</t>
  </si>
  <si>
    <t xml:space="preserve">Tyler Payroll </t>
  </si>
  <si>
    <t xml:space="preserve">through </t>
  </si>
  <si>
    <t xml:space="preserve"> = # Days in Pay Period</t>
  </si>
  <si>
    <t>Days in Pay Period</t>
  </si>
  <si>
    <t xml:space="preserve"># Weekdays </t>
  </si>
  <si>
    <t># Weekend days</t>
  </si>
  <si>
    <t xml:space="preserve">Hrs Worked-OnCall </t>
  </si>
  <si>
    <t>Visits made-OnCall</t>
  </si>
  <si>
    <t>Total Hrs Oncall available in Pay Prd</t>
  </si>
  <si>
    <t>(# days X 16hrs)</t>
  </si>
  <si>
    <t>(# days X 24hrs)</t>
  </si>
  <si>
    <t>Hrs for Weekday (Mon PM - Tue AM)</t>
  </si>
  <si>
    <t>ON Call HOURS BREAKDOWN:</t>
  </si>
  <si>
    <t xml:space="preserve"> Surplus OnCall hours worked/claimed</t>
  </si>
  <si>
    <t>PTO</t>
  </si>
  <si>
    <t>Wyvonne Foster</t>
  </si>
  <si>
    <t>Jasmine Sanders</t>
  </si>
  <si>
    <t>Artheria Tuck</t>
  </si>
  <si>
    <t>Per F2F visit</t>
  </si>
  <si>
    <t>ON CALL</t>
  </si>
  <si>
    <t>Tanisha Robison</t>
  </si>
  <si>
    <t>Car Allowance</t>
  </si>
  <si>
    <t>expenses</t>
  </si>
  <si>
    <t>Wooten</t>
  </si>
  <si>
    <t>Clarenca</t>
  </si>
  <si>
    <t>Clarenca Wooten</t>
  </si>
  <si>
    <t>*increased to 47,800 on 1/10/2023</t>
  </si>
  <si>
    <t>Chart Owner</t>
  </si>
  <si>
    <t>Kendricks-Tuck, Artheria</t>
  </si>
  <si>
    <t>Ector, Randy</t>
  </si>
  <si>
    <t>Haney, lori</t>
  </si>
  <si>
    <t>Foster, Joyce</t>
  </si>
  <si>
    <t>Wooten, Clarenca</t>
  </si>
  <si>
    <t>Johnson, James</t>
  </si>
  <si>
    <t>Robison, Tanisha</t>
  </si>
  <si>
    <t>McCollum</t>
  </si>
  <si>
    <t>Jodi</t>
  </si>
  <si>
    <t>Jessica</t>
  </si>
  <si>
    <t>Phone</t>
  </si>
  <si>
    <t>McCollum, Jodi</t>
  </si>
  <si>
    <t>Rogers</t>
  </si>
  <si>
    <t>Laura</t>
  </si>
  <si>
    <t>N/A</t>
  </si>
  <si>
    <t>Jodi McCollum</t>
  </si>
  <si>
    <t>Angie Frost</t>
  </si>
  <si>
    <t>Brad Woodard</t>
  </si>
  <si>
    <t>Silas Shelton</t>
  </si>
  <si>
    <t>avg/day</t>
  </si>
  <si>
    <t>avg/ wk</t>
  </si>
  <si>
    <t>Charted</t>
  </si>
  <si>
    <t>Claimed</t>
  </si>
  <si>
    <t>Outstanding</t>
  </si>
  <si>
    <t>Bereavement Call</t>
  </si>
  <si>
    <t>Henson</t>
  </si>
  <si>
    <t>Jessica Henson</t>
  </si>
  <si>
    <t>Byrd Team</t>
  </si>
  <si>
    <t>Henson, Jessica</t>
  </si>
  <si>
    <t>Charted Bessonet</t>
  </si>
  <si>
    <t>Laura Rogers, NP</t>
  </si>
  <si>
    <t>PRN Visit</t>
  </si>
  <si>
    <t>PRN scheduled visits</t>
  </si>
  <si>
    <t>*Salary increased to 46,500 (8/21/23)</t>
  </si>
  <si>
    <t>Frost, Angelita</t>
  </si>
  <si>
    <t xml:space="preserve"> /Actual yr</t>
  </si>
  <si>
    <t xml:space="preserve">  * start date 11/28/23</t>
  </si>
  <si>
    <t xml:space="preserve">  (w/auto)</t>
  </si>
  <si>
    <t xml:space="preserve"> (PRN/PV)</t>
  </si>
  <si>
    <t xml:space="preserve"> est /yr in Sched visits</t>
  </si>
  <si>
    <t xml:space="preserve"> /Yr annualized </t>
  </si>
  <si>
    <t xml:space="preserve"> /HR</t>
  </si>
  <si>
    <t xml:space="preserve"> increase</t>
  </si>
  <si>
    <t xml:space="preserve"> /visit</t>
  </si>
  <si>
    <t>extra</t>
  </si>
  <si>
    <t xml:space="preserve"> Sched Visits by PRN</t>
  </si>
  <si>
    <t xml:space="preserve"> pt visits /0 visits w/deliveries, on call etc</t>
  </si>
  <si>
    <t>Marketer</t>
  </si>
  <si>
    <t xml:space="preserve"> * start date 2/21/2024</t>
  </si>
  <si>
    <t xml:space="preserve">     Non Taxable expense </t>
  </si>
  <si>
    <t xml:space="preserve">      Non Taxable expense</t>
  </si>
  <si>
    <t>Mills</t>
  </si>
  <si>
    <t>Deschuanique</t>
  </si>
  <si>
    <t>Deschuanique Mills</t>
  </si>
  <si>
    <t>Milage</t>
  </si>
  <si>
    <t>Heikimian Team</t>
  </si>
  <si>
    <t>Brandi Portillo</t>
  </si>
  <si>
    <t xml:space="preserve"> *chg to PRN/PV 8/14/24</t>
  </si>
  <si>
    <t>*Change from 400 to 600/mo auto 9/11/24</t>
  </si>
  <si>
    <t>Harrison, Amy</t>
  </si>
  <si>
    <t>Mills, Deschuanique</t>
  </si>
  <si>
    <t xml:space="preserve"> * last Full Time day 10/8/24*</t>
  </si>
  <si>
    <t>Direct Labor:</t>
  </si>
  <si>
    <t>Indirect Labor:</t>
  </si>
  <si>
    <t>(70% best, 65%avg, 60%poor)</t>
  </si>
  <si>
    <t>(30% best, 35%avg, 40%poor)</t>
  </si>
  <si>
    <t>Rhonda Smith</t>
  </si>
  <si>
    <t xml:space="preserve">     *Start date 11/27/24</t>
  </si>
  <si>
    <t>6 days After PPD</t>
  </si>
  <si>
    <t xml:space="preserve">6 days </t>
  </si>
  <si>
    <t>Davenport, Dana</t>
  </si>
  <si>
    <t>26/40</t>
  </si>
  <si>
    <t>Start Dt</t>
  </si>
  <si>
    <t>Start Dt 10/1/21</t>
  </si>
  <si>
    <t>Years:</t>
  </si>
  <si>
    <t>/hr</t>
  </si>
  <si>
    <t>work Hrs/yr</t>
  </si>
  <si>
    <t>On call Admit</t>
  </si>
  <si>
    <t xml:space="preserve"> </t>
  </si>
  <si>
    <t xml:space="preserve">  *Change to PRN/PV on 5/21/25*</t>
  </si>
  <si>
    <t>Sanders, Jasmine</t>
  </si>
  <si>
    <t>Phone Visit</t>
  </si>
  <si>
    <t>PRN/PV</t>
  </si>
  <si>
    <t xml:space="preserve"> Chart Audit report for payroll period 07_06_25 to 7_20_25, run 7/28/25 @ 9am</t>
  </si>
  <si>
    <t>Auto&amp;phone</t>
  </si>
  <si>
    <t>Sum  Auto/Mileage &amp;Phone:</t>
  </si>
  <si>
    <t>of Payroll Cost</t>
  </si>
  <si>
    <t>Davenport</t>
  </si>
  <si>
    <t>Dana</t>
  </si>
  <si>
    <t>Dir. Clinical Services</t>
  </si>
  <si>
    <t>Dana Davenport</t>
  </si>
  <si>
    <t>Admission</t>
  </si>
  <si>
    <t>Visit</t>
  </si>
  <si>
    <t xml:space="preserve">     * last full time date </t>
  </si>
  <si>
    <t>Sum PRN Chaplains annualized :</t>
  </si>
  <si>
    <t>__</t>
  </si>
  <si>
    <t xml:space="preserve"> visits / __ total visits w/PRN deliveries, etc</t>
  </si>
  <si>
    <t>Last FT day 1/2/26</t>
  </si>
  <si>
    <t>Last day 12/19/25</t>
  </si>
  <si>
    <t>PRN/Part Time</t>
  </si>
  <si>
    <t>Smith</t>
  </si>
  <si>
    <t>Rhonda</t>
  </si>
  <si>
    <t>Prestwood</t>
  </si>
  <si>
    <t>pt expense</t>
  </si>
  <si>
    <t>pt visits /34 visits  w/prn,deliveries,etc</t>
  </si>
  <si>
    <t xml:space="preserve"> pt visits /26 visits w/deliveries,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</si>
</sst>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0.0"/>
    <numFmt numFmtId="165" formatCode="&quot;$&quot;#,##0"/>
    <numFmt numFmtId="166" formatCode="&quot;$&quot;#,##0.00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505050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rgb="FF50505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 style="medium">
        <color auto="1"/>
      </left>
      <right/>
      <top style="medium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8" fontId="0" fillId="3" borderId="1" xfId="0" applyNumberFormat="1" applyFill="1" applyBorder="1"/>
    <xf numFmtId="0" fontId="0" fillId="3" borderId="0" xfId="0" applyFill="1"/>
    <xf numFmtId="0" fontId="0" fillId="2" borderId="0" xfId="0" applyFill="1"/>
    <xf numFmtId="0" fontId="1" fillId="0" borderId="1" xfId="0" applyFont="1" applyBorder="1"/>
    <xf numFmtId="164" fontId="0" fillId="3" borderId="0" xfId="0" applyNumberFormat="1" applyFill="1"/>
    <xf numFmtId="16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3" borderId="3" xfId="0" applyNumberFormat="1" applyFill="1" applyBorder="1"/>
    <xf numFmtId="165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1" fillId="0" borderId="2" xfId="0" applyFont="1" applyBorder="1"/>
    <xf numFmtId="166" fontId="0" fillId="2" borderId="2" xfId="0" applyNumberFormat="1" applyFill="1" applyBorder="1"/>
    <xf numFmtId="166" fontId="0" fillId="3" borderId="2" xfId="0" applyNumberFormat="1" applyFill="1" applyBorder="1"/>
    <xf numFmtId="0" fontId="1" fillId="0" borderId="5" xfId="0" applyFont="1" applyBorder="1"/>
    <xf numFmtId="8" fontId="0" fillId="2" borderId="5" xfId="0" applyNumberFormat="1" applyFill="1" applyBorder="1"/>
    <xf numFmtId="8" fontId="0" fillId="3" borderId="5" xfId="0" applyNumberFormat="1" applyFill="1" applyBorder="1"/>
    <xf numFmtId="0" fontId="0" fillId="2" borderId="5" xfId="0" applyFill="1" applyBorder="1"/>
    <xf numFmtId="0" fontId="0" fillId="3" borderId="5" xfId="0" applyFill="1" applyBorder="1"/>
    <xf numFmtId="0" fontId="0" fillId="0" borderId="0" xfId="0" applyAlignment="1">
      <alignment horizontal="right"/>
    </xf>
    <xf numFmtId="0" fontId="1" fillId="0" borderId="4" xfId="0" applyFont="1" applyBorder="1" applyAlignment="1">
      <alignment horizontal="right"/>
    </xf>
    <xf numFmtId="8" fontId="0" fillId="2" borderId="4" xfId="0" applyNumberFormat="1" applyFill="1" applyBorder="1" applyAlignment="1">
      <alignment horizontal="right"/>
    </xf>
    <xf numFmtId="8" fontId="0" fillId="3" borderId="4" xfId="0" applyNumberFormat="1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8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165" fontId="0" fillId="3" borderId="0" xfId="0" applyNumberFormat="1" applyFill="1" applyAlignment="1">
      <alignment horizontal="right"/>
    </xf>
    <xf numFmtId="3" fontId="0" fillId="3" borderId="7" xfId="0" applyNumberFormat="1" applyFill="1" applyBorder="1" applyAlignment="1">
      <alignment horizontal="center"/>
    </xf>
    <xf numFmtId="0" fontId="0" fillId="3" borderId="9" xfId="0" applyFill="1" applyBorder="1"/>
    <xf numFmtId="165" fontId="0" fillId="3" borderId="7" xfId="0" applyNumberFormat="1" applyFill="1" applyBorder="1" applyAlignment="1">
      <alignment horizontal="right"/>
    </xf>
    <xf numFmtId="165" fontId="0" fillId="3" borderId="10" xfId="0" applyNumberFormat="1" applyFill="1" applyBorder="1" applyAlignment="1">
      <alignment horizontal="right"/>
    </xf>
    <xf numFmtId="8" fontId="0" fillId="3" borderId="0" xfId="0" applyNumberFormat="1" applyFill="1"/>
    <xf numFmtId="166" fontId="0" fillId="3" borderId="0" xfId="0" applyNumberFormat="1" applyFill="1"/>
    <xf numFmtId="8" fontId="2" fillId="3" borderId="0" xfId="0" applyNumberFormat="1" applyFont="1" applyFill="1"/>
    <xf numFmtId="3" fontId="0" fillId="3" borderId="0" xfId="0" applyNumberFormat="1" applyFill="1" applyAlignment="1">
      <alignment horizontal="right"/>
    </xf>
    <xf numFmtId="8" fontId="0" fillId="2" borderId="6" xfId="0" applyNumberFormat="1" applyFill="1" applyBorder="1"/>
    <xf numFmtId="0" fontId="0" fillId="3" borderId="11" xfId="0" applyFill="1" applyBorder="1"/>
    <xf numFmtId="166" fontId="0" fillId="3" borderId="15" xfId="0" applyNumberFormat="1" applyFill="1" applyBorder="1"/>
    <xf numFmtId="8" fontId="0" fillId="3" borderId="16" xfId="0" applyNumberFormat="1" applyFill="1" applyBorder="1" applyAlignment="1">
      <alignment horizontal="right"/>
    </xf>
    <xf numFmtId="0" fontId="0" fillId="3" borderId="17" xfId="0" applyFill="1" applyBorder="1"/>
    <xf numFmtId="0" fontId="0" fillId="3" borderId="12" xfId="0" applyFill="1" applyBorder="1"/>
    <xf numFmtId="0" fontId="0" fillId="3" borderId="18" xfId="0" applyFill="1" applyBorder="1"/>
    <xf numFmtId="0" fontId="0" fillId="3" borderId="19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8" fontId="0" fillId="3" borderId="20" xfId="0" applyNumberFormat="1" applyFill="1" applyBorder="1"/>
    <xf numFmtId="164" fontId="0" fillId="3" borderId="9" xfId="0" applyNumberFormat="1" applyFill="1" applyBorder="1"/>
    <xf numFmtId="0" fontId="0" fillId="0" borderId="0" xfId="0" applyAlignment="1">
      <alignment horizontal="center"/>
    </xf>
    <xf numFmtId="0" fontId="1" fillId="0" borderId="21" xfId="0" applyFont="1" applyBorder="1"/>
    <xf numFmtId="0" fontId="0" fillId="0" borderId="9" xfId="0" applyBorder="1"/>
    <xf numFmtId="0" fontId="0" fillId="0" borderId="8" xfId="0" applyBorder="1"/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1" fontId="0" fillId="0" borderId="25" xfId="0" applyNumberFormat="1" applyBorder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7" xfId="0" applyFont="1" applyBorder="1" applyAlignment="1">
      <alignment horizontal="right"/>
    </xf>
    <xf numFmtId="0" fontId="1" fillId="0" borderId="27" xfId="0" applyFont="1" applyBorder="1"/>
    <xf numFmtId="1" fontId="1" fillId="0" borderId="27" xfId="0" applyNumberFormat="1" applyFont="1" applyBorder="1"/>
    <xf numFmtId="0" fontId="1" fillId="0" borderId="0" xfId="0" applyFont="1" applyAlignment="1">
      <alignment horizontal="left"/>
    </xf>
    <xf numFmtId="14" fontId="0" fillId="0" borderId="0" xfId="0" applyNumberFormat="1"/>
    <xf numFmtId="0" fontId="0" fillId="3" borderId="28" xfId="0" applyFill="1" applyBorder="1"/>
    <xf numFmtId="0" fontId="0" fillId="3" borderId="29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30" xfId="0" applyNumberForma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25" xfId="0" applyFill="1" applyBorder="1"/>
    <xf numFmtId="0" fontId="0" fillId="3" borderId="24" xfId="0" applyFill="1" applyBorder="1" applyAlignment="1">
      <alignment horizontal="left" vertical="center"/>
    </xf>
    <xf numFmtId="0" fontId="0" fillId="3" borderId="24" xfId="0" applyFill="1" applyBorder="1"/>
    <xf numFmtId="0" fontId="0" fillId="3" borderId="26" xfId="0" applyFill="1" applyBorder="1"/>
    <xf numFmtId="164" fontId="0" fillId="3" borderId="31" xfId="0" applyNumberFormat="1" applyFill="1" applyBorder="1"/>
    <xf numFmtId="0" fontId="0" fillId="0" borderId="0" xfId="0" applyAlignment="1">
      <alignment horizontal="center" vertical="center"/>
    </xf>
    <xf numFmtId="8" fontId="0" fillId="3" borderId="19" xfId="0" applyNumberFormat="1" applyFill="1" applyBorder="1"/>
    <xf numFmtId="0" fontId="0" fillId="4" borderId="1" xfId="0" applyFill="1" applyBorder="1"/>
    <xf numFmtId="166" fontId="0" fillId="4" borderId="2" xfId="0" applyNumberFormat="1" applyFill="1" applyBorder="1"/>
    <xf numFmtId="8" fontId="0" fillId="4" borderId="4" xfId="0" applyNumberFormat="1" applyFill="1" applyBorder="1" applyAlignment="1">
      <alignment horizontal="right"/>
    </xf>
    <xf numFmtId="8" fontId="0" fillId="4" borderId="5" xfId="0" applyNumberFormat="1" applyFill="1" applyBorder="1"/>
    <xf numFmtId="0" fontId="0" fillId="4" borderId="12" xfId="0" applyFill="1" applyBorder="1"/>
    <xf numFmtId="166" fontId="0" fillId="4" borderId="13" xfId="0" applyNumberFormat="1" applyFill="1" applyBorder="1"/>
    <xf numFmtId="8" fontId="0" fillId="4" borderId="14" xfId="0" applyNumberFormat="1" applyFill="1" applyBorder="1" applyAlignment="1">
      <alignment horizontal="right"/>
    </xf>
    <xf numFmtId="8" fontId="0" fillId="4" borderId="6" xfId="0" applyNumberFormat="1" applyFill="1" applyBorder="1"/>
    <xf numFmtId="0" fontId="0" fillId="4" borderId="5" xfId="0" applyFill="1" applyBorder="1"/>
    <xf numFmtId="8" fontId="0" fillId="4" borderId="1" xfId="0" applyNumberFormat="1" applyFill="1" applyBorder="1"/>
    <xf numFmtId="8" fontId="0" fillId="4" borderId="1" xfId="0" applyNumberFormat="1" applyFill="1" applyBorder="1" applyAlignment="1">
      <alignment horizontal="right"/>
    </xf>
    <xf numFmtId="8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165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3" xfId="0" applyBorder="1"/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164" fontId="0" fillId="4" borderId="3" xfId="0" applyNumberFormat="1" applyFill="1" applyBorder="1"/>
    <xf numFmtId="0" fontId="0" fillId="4" borderId="0" xfId="0" applyFill="1"/>
    <xf numFmtId="3" fontId="0" fillId="4" borderId="0" xfId="0" applyNumberFormat="1" applyFill="1" applyAlignment="1">
      <alignment horizontal="center"/>
    </xf>
    <xf numFmtId="164" fontId="0" fillId="4" borderId="0" xfId="0" applyNumberFormat="1" applyFill="1"/>
    <xf numFmtId="3" fontId="0" fillId="4" borderId="7" xfId="0" applyNumberFormat="1" applyFill="1" applyBorder="1" applyAlignment="1">
      <alignment horizontal="center"/>
    </xf>
    <xf numFmtId="0" fontId="0" fillId="4" borderId="3" xfId="0" applyFill="1" applyBorder="1"/>
    <xf numFmtId="165" fontId="0" fillId="4" borderId="0" xfId="0" applyNumberFormat="1" applyFill="1" applyAlignment="1">
      <alignment horizontal="right"/>
    </xf>
    <xf numFmtId="8" fontId="2" fillId="4" borderId="0" xfId="0" applyNumberFormat="1" applyFont="1" applyFill="1"/>
    <xf numFmtId="0" fontId="0" fillId="2" borderId="32" xfId="0" applyFill="1" applyBorder="1"/>
    <xf numFmtId="166" fontId="0" fillId="2" borderId="33" xfId="0" applyNumberFormat="1" applyFill="1" applyBorder="1"/>
    <xf numFmtId="8" fontId="0" fillId="2" borderId="34" xfId="0" applyNumberFormat="1" applyFill="1" applyBorder="1" applyAlignment="1">
      <alignment horizontal="right"/>
    </xf>
    <xf numFmtId="8" fontId="0" fillId="2" borderId="35" xfId="0" applyNumberFormat="1" applyFill="1" applyBorder="1"/>
    <xf numFmtId="165" fontId="0" fillId="3" borderId="25" xfId="0" applyNumberFormat="1" applyFill="1" applyBorder="1" applyAlignment="1">
      <alignment horizontal="right"/>
    </xf>
    <xf numFmtId="8" fontId="0" fillId="3" borderId="25" xfId="0" applyNumberFormat="1" applyFill="1" applyBorder="1"/>
    <xf numFmtId="0" fontId="0" fillId="4" borderId="36" xfId="0" applyFill="1" applyBorder="1"/>
    <xf numFmtId="164" fontId="0" fillId="4" borderId="37" xfId="0" applyNumberFormat="1" applyFill="1" applyBorder="1"/>
    <xf numFmtId="0" fontId="1" fillId="0" borderId="3" xfId="0" applyFont="1" applyBorder="1"/>
    <xf numFmtId="0" fontId="1" fillId="0" borderId="25" xfId="0" applyFont="1" applyBorder="1"/>
    <xf numFmtId="0" fontId="0" fillId="5" borderId="3" xfId="0" applyFill="1" applyBorder="1" applyAlignment="1">
      <alignment vertical="center"/>
    </xf>
    <xf numFmtId="0" fontId="1" fillId="0" borderId="0" xfId="0" applyFont="1"/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center" vertical="center" wrapText="1"/>
    </xf>
    <xf numFmtId="2" fontId="0" fillId="3" borderId="0" xfId="0" applyNumberFormat="1" applyFill="1" applyAlignment="1">
      <alignment horizontal="center"/>
    </xf>
    <xf numFmtId="0" fontId="0" fillId="6" borderId="3" xfId="0" applyFill="1" applyBorder="1"/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8" fontId="0" fillId="0" borderId="0" xfId="0" applyNumberFormat="1"/>
    <xf numFmtId="164" fontId="0" fillId="0" borderId="0" xfId="0" applyNumberFormat="1" applyAlignment="1">
      <alignment horizontal="right"/>
    </xf>
    <xf numFmtId="164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65" fontId="0" fillId="3" borderId="0" xfId="0" applyNumberFormat="1" applyFill="1"/>
    <xf numFmtId="0" fontId="0" fillId="3" borderId="21" xfId="0" applyFill="1" applyBorder="1"/>
    <xf numFmtId="165" fontId="1" fillId="3" borderId="0" xfId="0" applyNumberFormat="1" applyFont="1" applyFill="1"/>
    <xf numFmtId="0" fontId="0" fillId="3" borderId="25" xfId="0" applyFill="1" applyBorder="1" applyAlignment="1">
      <alignment horizontal="right"/>
    </xf>
    <xf numFmtId="8" fontId="2" fillId="3" borderId="21" xfId="0" applyNumberFormat="1" applyFont="1" applyFill="1" applyBorder="1"/>
    <xf numFmtId="0" fontId="0" fillId="4" borderId="38" xfId="0" applyFill="1" applyBorder="1"/>
    <xf numFmtId="0" fontId="0" fillId="4" borderId="30" xfId="0" applyFill="1" applyBorder="1"/>
    <xf numFmtId="166" fontId="4" fillId="4" borderId="0" xfId="0" applyNumberFormat="1" applyFont="1" applyFill="1"/>
    <xf numFmtId="165" fontId="0" fillId="3" borderId="39" xfId="0" applyNumberFormat="1" applyFill="1" applyBorder="1" applyAlignment="1">
      <alignment horizontal="center"/>
    </xf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 applyAlignment="1">
      <alignment horizontal="center" vertical="center"/>
    </xf>
    <xf numFmtId="0" fontId="0" fillId="3" borderId="42" xfId="0" applyFill="1" applyBorder="1"/>
    <xf numFmtId="0" fontId="0" fillId="2" borderId="12" xfId="0" applyFill="1" applyBorder="1"/>
    <xf numFmtId="166" fontId="0" fillId="2" borderId="13" xfId="0" applyNumberFormat="1" applyFill="1" applyBorder="1"/>
    <xf numFmtId="8" fontId="0" fillId="2" borderId="14" xfId="0" applyNumberFormat="1" applyFill="1" applyBorder="1" applyAlignment="1">
      <alignment horizontal="right"/>
    </xf>
    <xf numFmtId="0" fontId="0" fillId="4" borderId="43" xfId="0" applyFill="1" applyBorder="1"/>
    <xf numFmtId="166" fontId="0" fillId="4" borderId="44" xfId="0" applyNumberFormat="1" applyFill="1" applyBorder="1"/>
    <xf numFmtId="8" fontId="0" fillId="4" borderId="45" xfId="0" applyNumberFormat="1" applyFill="1" applyBorder="1" applyAlignment="1">
      <alignment horizontal="right"/>
    </xf>
    <xf numFmtId="8" fontId="0" fillId="4" borderId="46" xfId="0" applyNumberFormat="1" applyFill="1" applyBorder="1"/>
    <xf numFmtId="166" fontId="2" fillId="3" borderId="0" xfId="0" applyNumberFormat="1" applyFont="1" applyFill="1"/>
    <xf numFmtId="9" fontId="0" fillId="3" borderId="0" xfId="0" applyNumberFormat="1" applyFill="1"/>
    <xf numFmtId="0" fontId="2" fillId="3" borderId="0" xfId="0" applyFont="1" applyFill="1"/>
    <xf numFmtId="166" fontId="5" fillId="3" borderId="0" xfId="0" applyNumberFormat="1" applyFont="1" applyFill="1"/>
    <xf numFmtId="0" fontId="3" fillId="3" borderId="0" xfId="0" applyFont="1" applyFill="1"/>
    <xf numFmtId="0" fontId="2" fillId="3" borderId="0" xfId="0" applyFont="1" applyFill="1" applyAlignment="1">
      <alignment horizontal="right" vertical="center"/>
    </xf>
    <xf numFmtId="0" fontId="0" fillId="0" borderId="1" xfId="0" applyBorder="1"/>
    <xf numFmtId="166" fontId="0" fillId="0" borderId="2" xfId="0" applyNumberFormat="1" applyBorder="1"/>
    <xf numFmtId="8" fontId="0" fillId="0" borderId="4" xfId="0" applyNumberFormat="1" applyBorder="1" applyAlignment="1">
      <alignment horizontal="right"/>
    </xf>
    <xf numFmtId="8" fontId="0" fillId="0" borderId="5" xfId="0" applyNumberFormat="1" applyBorder="1"/>
    <xf numFmtId="164" fontId="0" fillId="0" borderId="3" xfId="0" applyNumberFormat="1" applyBorder="1"/>
    <xf numFmtId="165" fontId="0" fillId="0" borderId="0" xfId="0" applyNumberFormat="1" applyAlignment="1">
      <alignment horizontal="right"/>
    </xf>
    <xf numFmtId="9" fontId="0" fillId="0" borderId="0" xfId="0" applyNumberFormat="1"/>
    <xf numFmtId="2" fontId="0" fillId="4" borderId="1" xfId="0" applyNumberFormat="1" applyFill="1" applyBorder="1"/>
    <xf numFmtId="10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0" fontId="0" fillId="7" borderId="3" xfId="0" applyFill="1" applyBorder="1"/>
    <xf numFmtId="0" fontId="1" fillId="7" borderId="3" xfId="0" applyFont="1" applyFill="1" applyBorder="1" applyAlignment="1">
      <alignment vertical="center"/>
    </xf>
    <xf numFmtId="0" fontId="0" fillId="7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vertical="center"/>
    </xf>
    <xf numFmtId="2" fontId="0" fillId="2" borderId="1" xfId="0" applyNumberFormat="1" applyFill="1" applyBorder="1"/>
    <xf numFmtId="166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right"/>
    </xf>
    <xf numFmtId="167" fontId="0" fillId="3" borderId="0" xfId="0" applyNumberFormat="1" applyFill="1"/>
    <xf numFmtId="3" fontId="0" fillId="3" borderId="7" xfId="0" applyNumberFormat="1" applyFill="1" applyBorder="1" applyAlignment="1">
      <alignment horizontal="right"/>
    </xf>
    <xf numFmtId="167" fontId="0" fillId="3" borderId="9" xfId="0" applyNumberFormat="1" applyFill="1" applyBorder="1"/>
    <xf numFmtId="166" fontId="0" fillId="3" borderId="9" xfId="0" applyNumberFormat="1" applyFill="1" applyBorder="1"/>
    <xf numFmtId="14" fontId="0" fillId="3" borderId="0" xfId="0" applyNumberFormat="1" applyFill="1"/>
    <xf numFmtId="0" fontId="0" fillId="3" borderId="9" xfId="0" applyFill="1" applyBorder="1" applyAlignment="1">
      <alignment horizontal="left"/>
    </xf>
    <xf numFmtId="14" fontId="0" fillId="3" borderId="9" xfId="0" applyNumberForma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164" fontId="6" fillId="3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right"/>
    </xf>
    <xf numFmtId="165" fontId="3" fillId="3" borderId="0" xfId="0" applyNumberFormat="1" applyFont="1" applyFill="1" applyAlignment="1">
      <alignment horizontal="left"/>
    </xf>
    <xf numFmtId="166" fontId="0" fillId="3" borderId="47" xfId="0" applyNumberFormat="1" applyFill="1" applyBorder="1"/>
    <xf numFmtId="8" fontId="0" fillId="2" borderId="5" xfId="0" applyNumberFormat="1" applyFill="1" applyBorder="1" applyAlignment="1">
      <alignment horizontal="right"/>
    </xf>
    <xf numFmtId="8" fontId="1" fillId="2" borderId="5" xfId="0" applyNumberFormat="1" applyFont="1" applyFill="1" applyBorder="1" applyAlignment="1">
      <alignment horizontal="right"/>
    </xf>
    <xf numFmtId="14" fontId="1" fillId="2" borderId="5" xfId="0" applyNumberFormat="1" applyFont="1" applyFill="1" applyBorder="1" applyAlignment="1">
      <alignment horizontal="right"/>
    </xf>
    <xf numFmtId="8" fontId="0" fillId="2" borderId="5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165" fontId="0" fillId="0" borderId="7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3" fontId="1" fillId="3" borderId="3" xfId="0" applyNumberFormat="1" applyFont="1" applyFill="1" applyBorder="1" applyAlignment="1">
      <alignment horizontal="left"/>
    </xf>
    <xf numFmtId="0" fontId="1" fillId="3" borderId="3" xfId="0" applyFont="1" applyFill="1" applyBorder="1"/>
    <xf numFmtId="0" fontId="1" fillId="4" borderId="3" xfId="0" applyFont="1" applyFill="1" applyBorder="1" applyAlignment="1">
      <alignment horizontal="center"/>
    </xf>
    <xf numFmtId="167" fontId="0" fillId="4" borderId="0" xfId="0" applyNumberFormat="1" applyFill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167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166" fontId="0" fillId="3" borderId="21" xfId="0" applyNumberFormat="1" applyFill="1" applyBorder="1"/>
    <xf numFmtId="166" fontId="0" fillId="3" borderId="9" xfId="0" applyNumberFormat="1" applyFill="1" applyBorder="1" applyAlignment="1">
      <alignment horizontal="left"/>
    </xf>
    <xf numFmtId="8" fontId="5" fillId="0" borderId="0" xfId="0" applyNumberFormat="1" applyFont="1"/>
    <xf numFmtId="0" fontId="7" fillId="3" borderId="1" xfId="0" applyFont="1" applyFill="1" applyBorder="1"/>
    <xf numFmtId="8" fontId="2" fillId="4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2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15875</xdr:colOff>
      <xdr:row>18</xdr:row>
      <xdr:rowOff>25400</xdr:rowOff>
    </xdr:from>
    <xdr:to>
      <xdr:col>6</xdr:col>
      <xdr:colOff>41275</xdr:colOff>
      <xdr:row>28</xdr:row>
      <xdr:rowOff>177800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A4B4837-1BC9-439C-BE6D-CD60BDDF7CFD}"/>
            </a:ext>
          </a:extLst>
        </xdr:cNvPr>
        <xdr:cNvSpPr/>
      </xdr:nvSpPr>
      <xdr:spPr>
        <a:xfrm>
          <a:off x="3467100" y="3397250"/>
          <a:ext cx="838200" cy="2025650"/>
        </a:xfrm>
        <a:prstGeom prst="rightBrac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2</xdr:row>
      <xdr:rowOff>4233</xdr:rowOff>
    </xdr:from>
    <xdr:to>
      <xdr:col>6</xdr:col>
      <xdr:colOff>25400</xdr:colOff>
      <xdr:row>5</xdr:row>
      <xdr:rowOff>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DFC0EDBA-3643-43A0-84F7-76C36262C49F}"/>
            </a:ext>
          </a:extLst>
        </xdr:cNvPr>
        <xdr:cNvSpPr/>
      </xdr:nvSpPr>
      <xdr:spPr>
        <a:xfrm>
          <a:off x="3602567" y="368300"/>
          <a:ext cx="863600" cy="541867"/>
        </a:xfrm>
        <a:prstGeom prst="rightBrac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6B5E-A248-4F9E-B4BE-B5059756134C}">
  <dimension ref="A1:DB201"/>
  <sheetViews>
    <sheetView tabSelected="1" topLeftCell="A150" zoomScale="80" zoomScaleNormal="80" zoomScaleSheetLayoutView="70" workbookViewId="0">
      <selection activeCell="H11" sqref="H11"/>
    </sheetView>
  </sheetViews>
  <sheetFormatPr defaultRowHeight="14.75" x14ac:dyDescent="0.75"/>
  <cols>
    <col min="1" max="1" width="12.6796875" customWidth="1"/>
    <col min="2" max="2" width="12.90625" customWidth="1"/>
    <col min="3" max="3" width="10.7265625" customWidth="1"/>
    <col min="4" max="4" width="10.54296875" customWidth="1"/>
    <col min="5" max="5" width="18.40625" customWidth="1"/>
    <col min="7" max="7" width="9.86328125" bestFit="1" customWidth="1"/>
    <col min="8" max="8" width="9.86328125" style="21" bestFit="1" customWidth="1"/>
    <col min="9" max="9" width="10.6328125" customWidth="1"/>
    <col min="10" max="10" width="9.1796875" style="11" customWidth="1"/>
    <col min="11" max="11" width="16.953125" style="4" customWidth="1"/>
    <col min="12" max="12" width="10.6328125" style="4" customWidth="1"/>
    <col min="13" max="13" width="8.7265625" style="4"/>
    <col min="14" max="14" width="6.5" style="4" customWidth="1"/>
    <col min="15" max="15" width="13.1328125" style="4" customWidth="1"/>
    <col min="16" max="16" width="9.7265625" style="4" bestFit="1" customWidth="1"/>
    <col min="17" max="17" width="6.453125" style="4" customWidth="1"/>
    <col min="18" max="18" width="8.7265625" style="4"/>
    <col min="19" max="19" width="10.54296875" style="4" bestFit="1" customWidth="1"/>
    <col min="20" max="106" width="8.7265625" style="4"/>
  </cols>
  <sheetData>
    <row r="1" spans="1:16" x14ac:dyDescent="0.75">
      <c r="A1" t="s">
        <v>79</v>
      </c>
      <c r="B1" s="65">
        <v>46143</v>
      </c>
      <c r="C1" s="49" t="s">
        <v>80</v>
      </c>
      <c r="D1" s="65">
        <v>46157</v>
      </c>
      <c r="E1" s="60">
        <f>((D1-B1)+1)</f>
        <v>15</v>
      </c>
      <c r="F1" t="s">
        <v>81</v>
      </c>
      <c r="K1" s="186">
        <f ca="1">TODAY()</f>
        <v>46161</v>
      </c>
    </row>
    <row r="2" spans="1:16" x14ac:dyDescent="0.75">
      <c r="A2" s="6" t="s">
        <v>0</v>
      </c>
      <c r="B2" s="6" t="s">
        <v>1</v>
      </c>
      <c r="C2" s="6" t="s">
        <v>32</v>
      </c>
      <c r="D2" s="6" t="s">
        <v>2</v>
      </c>
      <c r="E2" s="6" t="s">
        <v>3</v>
      </c>
      <c r="F2" s="6" t="s">
        <v>4</v>
      </c>
      <c r="G2" s="13" t="s">
        <v>5</v>
      </c>
      <c r="H2" s="22" t="s">
        <v>6</v>
      </c>
      <c r="I2" s="16" t="s">
        <v>7</v>
      </c>
    </row>
    <row r="3" spans="1:16" s="4" customFormat="1" x14ac:dyDescent="0.75">
      <c r="A3" s="1" t="s">
        <v>11</v>
      </c>
      <c r="B3" s="1" t="s">
        <v>30</v>
      </c>
      <c r="C3" s="1" t="s">
        <v>22</v>
      </c>
      <c r="D3" s="1" t="s">
        <v>27</v>
      </c>
      <c r="E3" s="1" t="s">
        <v>24</v>
      </c>
      <c r="F3" s="1">
        <v>86.67</v>
      </c>
      <c r="G3" s="14">
        <v>57.69</v>
      </c>
      <c r="H3" s="23">
        <f>PRODUCT(F3:G3)</f>
        <v>4999.9922999999999</v>
      </c>
      <c r="I3" s="17"/>
      <c r="J3" s="31">
        <f>(F3*G3)*24</f>
        <v>119999.8152</v>
      </c>
      <c r="K3" s="30" t="s">
        <v>44</v>
      </c>
      <c r="L3" s="185"/>
      <c r="M3" s="30"/>
      <c r="N3" s="210">
        <f>G3*1.023</f>
        <v>59.01686999999999</v>
      </c>
      <c r="O3" s="211">
        <f>N3*2080</f>
        <v>122755.08959999998</v>
      </c>
    </row>
    <row r="4" spans="1:16" s="4" customFormat="1" x14ac:dyDescent="0.75">
      <c r="A4" s="1"/>
      <c r="B4" s="1"/>
      <c r="C4" s="1"/>
      <c r="D4" s="1"/>
      <c r="E4" s="1" t="s">
        <v>28</v>
      </c>
      <c r="F4" s="1">
        <v>0.5</v>
      </c>
      <c r="G4" s="14">
        <v>400</v>
      </c>
      <c r="H4" s="23">
        <f t="shared" ref="H4:H5" si="0">PRODUCT(F4:G4)</f>
        <v>200</v>
      </c>
      <c r="I4" s="17"/>
      <c r="J4" s="181">
        <f>SUM(H4:H5)/I8</f>
        <v>4.3062264417116941E-2</v>
      </c>
      <c r="K4" s="4" t="s">
        <v>191</v>
      </c>
    </row>
    <row r="5" spans="1:16" s="4" customFormat="1" x14ac:dyDescent="0.75">
      <c r="A5" s="1"/>
      <c r="B5" s="1"/>
      <c r="C5" s="1"/>
      <c r="D5" s="1"/>
      <c r="E5" s="1" t="s">
        <v>29</v>
      </c>
      <c r="F5" s="1">
        <v>0.5</v>
      </c>
      <c r="G5" s="14">
        <v>50</v>
      </c>
      <c r="H5" s="23">
        <f t="shared" si="0"/>
        <v>25</v>
      </c>
      <c r="I5" s="17"/>
      <c r="J5" s="28"/>
      <c r="K5" s="198" t="s">
        <v>125</v>
      </c>
    </row>
    <row r="6" spans="1:16" s="4" customFormat="1" x14ac:dyDescent="0.75">
      <c r="A6" s="1"/>
      <c r="B6" s="1"/>
      <c r="C6" s="1"/>
      <c r="D6" s="215"/>
      <c r="E6" s="1" t="s">
        <v>49</v>
      </c>
      <c r="F6" s="1">
        <v>0</v>
      </c>
      <c r="G6" s="14">
        <v>0</v>
      </c>
      <c r="H6" s="23">
        <f>PRODUCT(F6:G6)</f>
        <v>0</v>
      </c>
      <c r="I6" s="17"/>
      <c r="J6" s="94"/>
    </row>
    <row r="7" spans="1:16" s="4" customFormat="1" x14ac:dyDescent="0.75">
      <c r="A7" s="1"/>
      <c r="B7" s="1"/>
      <c r="C7" s="1" t="s">
        <v>157</v>
      </c>
      <c r="D7" s="1"/>
      <c r="E7" s="1" t="s">
        <v>54</v>
      </c>
      <c r="F7" s="1">
        <v>0</v>
      </c>
      <c r="G7" s="14">
        <v>0</v>
      </c>
      <c r="H7" s="23">
        <f>PRODUCT(F7:G7)</f>
        <v>0</v>
      </c>
      <c r="I7" s="17"/>
      <c r="J7" s="28"/>
    </row>
    <row r="8" spans="1:16" s="4" customFormat="1" x14ac:dyDescent="0.75">
      <c r="A8" s="1"/>
      <c r="B8" s="1"/>
      <c r="C8" s="1"/>
      <c r="D8" s="1"/>
      <c r="E8" s="1"/>
      <c r="F8" s="1"/>
      <c r="G8" s="14"/>
      <c r="H8" s="23" t="s">
        <v>6</v>
      </c>
      <c r="I8" s="17">
        <f>SUM(H3:H7)</f>
        <v>5224.9922999999999</v>
      </c>
      <c r="J8" s="28"/>
      <c r="K8" s="33">
        <f>(H3+H4+H5+(H6*0.5))*24</f>
        <v>125399.8152</v>
      </c>
    </row>
    <row r="9" spans="1:16" s="4" customFormat="1" x14ac:dyDescent="0.75">
      <c r="A9" s="2" t="s">
        <v>12</v>
      </c>
      <c r="B9" s="2" t="s">
        <v>13</v>
      </c>
      <c r="C9" s="2" t="s">
        <v>22</v>
      </c>
      <c r="D9" s="2" t="s">
        <v>27</v>
      </c>
      <c r="E9" s="2" t="s">
        <v>24</v>
      </c>
      <c r="F9" s="2">
        <v>86.67</v>
      </c>
      <c r="G9" s="15">
        <v>57.69</v>
      </c>
      <c r="H9" s="24">
        <f>PRODUCT(F9:G9)</f>
        <v>4999.9922999999999</v>
      </c>
      <c r="I9" s="18"/>
      <c r="J9" s="31">
        <f t="shared" ref="J9:J33" si="1">(F9*G9)*24</f>
        <v>119999.8152</v>
      </c>
      <c r="K9" s="30" t="s">
        <v>44</v>
      </c>
      <c r="L9" s="30"/>
      <c r="M9" s="30"/>
      <c r="N9" s="210">
        <f>G9*1.023</f>
        <v>59.01686999999999</v>
      </c>
      <c r="O9" s="211">
        <f>N9*2080</f>
        <v>122755.08959999998</v>
      </c>
    </row>
    <row r="10" spans="1:16" s="4" customFormat="1" x14ac:dyDescent="0.75">
      <c r="A10" s="2"/>
      <c r="B10" s="2"/>
      <c r="C10" s="2"/>
      <c r="D10" s="2"/>
      <c r="E10" s="2" t="s">
        <v>28</v>
      </c>
      <c r="F10" s="2">
        <v>0.5</v>
      </c>
      <c r="G10" s="15">
        <v>400</v>
      </c>
      <c r="H10" s="24">
        <f t="shared" ref="H10:H14" si="2">PRODUCT(F10:G10)</f>
        <v>200</v>
      </c>
      <c r="I10" s="18"/>
      <c r="J10" s="28"/>
    </row>
    <row r="11" spans="1:16" s="4" customFormat="1" x14ac:dyDescent="0.75">
      <c r="A11" s="213"/>
      <c r="B11" s="213"/>
      <c r="C11" s="213"/>
      <c r="D11" s="213"/>
      <c r="E11" s="2" t="s">
        <v>29</v>
      </c>
      <c r="F11" s="2">
        <v>0.5</v>
      </c>
      <c r="G11" s="15">
        <v>50</v>
      </c>
      <c r="H11" s="24">
        <f t="shared" si="2"/>
        <v>25</v>
      </c>
      <c r="I11" s="18"/>
      <c r="J11" s="181">
        <f>SUM(H10:H11)/I15</f>
        <v>4.3062264417116941E-2</v>
      </c>
      <c r="K11" s="4" t="s">
        <v>191</v>
      </c>
    </row>
    <row r="12" spans="1:16" s="4" customFormat="1" x14ac:dyDescent="0.75">
      <c r="A12" s="213"/>
      <c r="B12" s="213"/>
      <c r="C12" s="213"/>
      <c r="D12" s="213"/>
      <c r="E12" s="2" t="s">
        <v>49</v>
      </c>
      <c r="F12" s="2">
        <v>0</v>
      </c>
      <c r="G12" s="15">
        <v>300</v>
      </c>
      <c r="H12" s="24">
        <f t="shared" si="2"/>
        <v>0</v>
      </c>
      <c r="I12" s="18"/>
      <c r="J12" s="94"/>
      <c r="K12" s="198" t="s">
        <v>124</v>
      </c>
    </row>
    <row r="13" spans="1:16" s="4" customFormat="1" x14ac:dyDescent="0.75">
      <c r="A13" s="213"/>
      <c r="B13" s="213"/>
      <c r="C13" s="213"/>
      <c r="D13" s="213"/>
      <c r="E13" s="2" t="s">
        <v>101</v>
      </c>
      <c r="F13" s="2">
        <v>0</v>
      </c>
      <c r="G13" s="15">
        <v>0</v>
      </c>
      <c r="H13" s="24">
        <f t="shared" si="2"/>
        <v>0</v>
      </c>
      <c r="I13" s="18"/>
      <c r="J13" s="94"/>
    </row>
    <row r="14" spans="1:16" s="4" customFormat="1" x14ac:dyDescent="0.75">
      <c r="A14" s="2"/>
      <c r="B14" s="2"/>
      <c r="C14" s="85" t="s">
        <v>156</v>
      </c>
      <c r="D14" s="2"/>
      <c r="E14" s="2" t="s">
        <v>54</v>
      </c>
      <c r="F14" s="2">
        <v>0</v>
      </c>
      <c r="G14" s="15">
        <v>0</v>
      </c>
      <c r="H14" s="24">
        <f t="shared" si="2"/>
        <v>0</v>
      </c>
      <c r="I14" s="18"/>
      <c r="J14" s="94"/>
      <c r="K14" s="95"/>
    </row>
    <row r="15" spans="1:16" s="4" customFormat="1" x14ac:dyDescent="0.75">
      <c r="A15" s="2"/>
      <c r="B15" s="2"/>
      <c r="C15" s="2"/>
      <c r="D15" s="2"/>
      <c r="E15" s="2"/>
      <c r="F15" s="2"/>
      <c r="G15" s="15"/>
      <c r="H15" s="24" t="s">
        <v>6</v>
      </c>
      <c r="I15" s="18">
        <f>SUM(H9:H14)</f>
        <v>5224.9922999999999</v>
      </c>
      <c r="J15" s="28"/>
      <c r="K15" s="33">
        <f>(H9+H10+H11)*24</f>
        <v>125399.8152</v>
      </c>
    </row>
    <row r="16" spans="1:16" s="4" customFormat="1" x14ac:dyDescent="0.75">
      <c r="A16" s="1" t="s">
        <v>207</v>
      </c>
      <c r="B16" s="1" t="s">
        <v>208</v>
      </c>
      <c r="C16" s="1" t="s">
        <v>206</v>
      </c>
      <c r="D16" s="1" t="s">
        <v>56</v>
      </c>
      <c r="E16" s="1" t="s">
        <v>24</v>
      </c>
      <c r="F16" s="1">
        <v>60.75</v>
      </c>
      <c r="G16" s="14">
        <v>30</v>
      </c>
      <c r="H16" s="23">
        <f>PRODUCT(F16:G16)</f>
        <v>1822.5</v>
      </c>
      <c r="I16" s="17"/>
      <c r="J16" s="29">
        <f>H16*24</f>
        <v>43740</v>
      </c>
      <c r="K16" s="30" t="s">
        <v>44</v>
      </c>
      <c r="L16" s="48"/>
      <c r="M16" s="30"/>
      <c r="N16" s="210">
        <f>G16*1.023</f>
        <v>30.689999999999998</v>
      </c>
      <c r="O16" s="211">
        <f>N16*2080</f>
        <v>63835.199999999997</v>
      </c>
      <c r="P16" s="158"/>
    </row>
    <row r="17" spans="1:18" s="4" customFormat="1" x14ac:dyDescent="0.75">
      <c r="A17" s="1"/>
      <c r="B17" s="1"/>
      <c r="C17" s="1"/>
      <c r="D17" s="1"/>
      <c r="E17" s="1" t="s">
        <v>93</v>
      </c>
      <c r="F17" s="179">
        <v>0</v>
      </c>
      <c r="G17" s="14">
        <v>28.85</v>
      </c>
      <c r="H17" s="23">
        <f t="shared" ref="H17:H18" si="3">PRODUCT(F17:G17)</f>
        <v>0</v>
      </c>
      <c r="I17" s="17"/>
      <c r="J17" s="181">
        <f>SUM(H18:H19)/I23</f>
        <v>0</v>
      </c>
      <c r="K17" s="4" t="s">
        <v>191</v>
      </c>
      <c r="L17" s="7"/>
      <c r="O17" s="4" t="s">
        <v>204</v>
      </c>
      <c r="P17" s="157"/>
      <c r="Q17" s="157"/>
    </row>
    <row r="18" spans="1:18" s="4" customFormat="1" x14ac:dyDescent="0.75">
      <c r="A18" s="1"/>
      <c r="B18" s="1"/>
      <c r="C18" s="1"/>
      <c r="D18" s="1"/>
      <c r="E18" s="1" t="s">
        <v>29</v>
      </c>
      <c r="F18" s="1">
        <v>0</v>
      </c>
      <c r="G18" s="14">
        <v>50</v>
      </c>
      <c r="H18" s="23">
        <f t="shared" si="3"/>
        <v>0</v>
      </c>
      <c r="I18" s="17"/>
      <c r="J18" s="12"/>
      <c r="K18" s="198" t="s">
        <v>173</v>
      </c>
      <c r="L18" s="7"/>
      <c r="N18" s="137"/>
      <c r="O18" s="137"/>
      <c r="P18" s="160"/>
      <c r="Q18" s="161"/>
    </row>
    <row r="19" spans="1:18" s="4" customFormat="1" x14ac:dyDescent="0.75">
      <c r="A19" s="1"/>
      <c r="B19" s="1"/>
      <c r="C19" s="1"/>
      <c r="D19" s="1"/>
      <c r="E19" s="1" t="s">
        <v>34</v>
      </c>
      <c r="F19" s="1">
        <v>0</v>
      </c>
      <c r="G19" s="14">
        <v>0.5</v>
      </c>
      <c r="H19" s="23">
        <f>PRODUCT(F19:G19)</f>
        <v>0</v>
      </c>
      <c r="I19" s="17"/>
      <c r="J19" s="12"/>
      <c r="L19" s="7"/>
      <c r="M19" s="68">
        <f>D18</f>
        <v>0</v>
      </c>
      <c r="N19" s="68" t="s">
        <v>64</v>
      </c>
      <c r="O19" s="139">
        <f>SUM(H16:H19)*24</f>
        <v>43740</v>
      </c>
    </row>
    <row r="20" spans="1:18" s="4" customFormat="1" x14ac:dyDescent="0.75">
      <c r="A20" s="1"/>
      <c r="B20" s="1"/>
      <c r="C20" s="1"/>
      <c r="D20" s="1"/>
      <c r="E20" s="1" t="s">
        <v>184</v>
      </c>
      <c r="F20" s="1">
        <v>0</v>
      </c>
      <c r="G20" s="14">
        <v>150</v>
      </c>
      <c r="H20" s="23">
        <f t="shared" ref="H20" si="4">PRODUCT(F20:G20)</f>
        <v>0</v>
      </c>
      <c r="I20" s="17"/>
      <c r="J20" s="12"/>
      <c r="L20" s="7"/>
      <c r="M20" s="68">
        <f>SUM(F20)</f>
        <v>0</v>
      </c>
      <c r="N20" s="68" t="s">
        <v>65</v>
      </c>
      <c r="O20" s="139"/>
    </row>
    <row r="21" spans="1:18" s="4" customFormat="1" x14ac:dyDescent="0.75">
      <c r="A21" s="1"/>
      <c r="B21" s="1"/>
      <c r="C21" s="1"/>
      <c r="D21" s="1"/>
      <c r="E21" s="1" t="s">
        <v>49</v>
      </c>
      <c r="F21" s="1">
        <v>0</v>
      </c>
      <c r="G21" s="14">
        <v>0</v>
      </c>
      <c r="H21" s="23">
        <f>PRODUCT(F21:G21)</f>
        <v>0</v>
      </c>
      <c r="I21" s="17"/>
      <c r="J21" s="12"/>
      <c r="L21" s="7"/>
      <c r="N21" s="30" t="s">
        <v>174</v>
      </c>
      <c r="O21" s="30"/>
    </row>
    <row r="22" spans="1:18" s="4" customFormat="1" x14ac:dyDescent="0.75">
      <c r="A22" s="1"/>
      <c r="B22" s="1"/>
      <c r="C22" s="1" t="s">
        <v>157</v>
      </c>
      <c r="D22" s="1"/>
      <c r="E22" s="1" t="s">
        <v>54</v>
      </c>
      <c r="F22" s="1">
        <v>0</v>
      </c>
      <c r="G22" s="14">
        <v>0</v>
      </c>
      <c r="H22" s="23">
        <f>PRODUCT(F22:G22)</f>
        <v>0</v>
      </c>
      <c r="I22" s="17"/>
      <c r="J22" s="12"/>
      <c r="L22" s="7"/>
      <c r="O22" s="9" t="s">
        <v>142</v>
      </c>
    </row>
    <row r="23" spans="1:18" s="4" customFormat="1" x14ac:dyDescent="0.75">
      <c r="A23" s="1"/>
      <c r="B23" s="1"/>
      <c r="C23" s="1"/>
      <c r="D23" s="1"/>
      <c r="E23" s="1"/>
      <c r="F23" s="1"/>
      <c r="G23" s="14"/>
      <c r="H23" s="23" t="s">
        <v>6</v>
      </c>
      <c r="I23" s="17">
        <f>SUM(H16:H22)</f>
        <v>1822.5</v>
      </c>
      <c r="J23" s="28">
        <f>SUM(H16,H17,H18)*24</f>
        <v>43740</v>
      </c>
      <c r="K23" s="4" t="s">
        <v>44</v>
      </c>
      <c r="L23" s="8"/>
      <c r="M23" s="9"/>
      <c r="O23" s="140" t="s">
        <v>144</v>
      </c>
    </row>
    <row r="24" spans="1:18" s="4" customFormat="1" x14ac:dyDescent="0.75">
      <c r="A24" s="81" t="s">
        <v>14</v>
      </c>
      <c r="B24" s="81" t="s">
        <v>15</v>
      </c>
      <c r="C24" s="81" t="s">
        <v>22</v>
      </c>
      <c r="D24" s="81" t="s">
        <v>25</v>
      </c>
      <c r="E24" s="81" t="s">
        <v>24</v>
      </c>
      <c r="F24" s="81">
        <v>86.67</v>
      </c>
      <c r="G24" s="82">
        <v>37.26</v>
      </c>
      <c r="H24" s="83">
        <f>PRODUCT(F24:G24)</f>
        <v>3229.3242</v>
      </c>
      <c r="I24" s="84"/>
      <c r="J24" s="31">
        <f t="shared" si="1"/>
        <v>77503.780800000008</v>
      </c>
      <c r="K24" s="30" t="s">
        <v>44</v>
      </c>
      <c r="L24" s="10">
        <f>J27/10</f>
        <v>3.4</v>
      </c>
      <c r="M24" s="68">
        <f>L24*5</f>
        <v>17</v>
      </c>
      <c r="N24" s="210">
        <f>G24*1.023</f>
        <v>38.116979999999998</v>
      </c>
      <c r="O24" s="211">
        <f>N24*2080</f>
        <v>79283.318399999989</v>
      </c>
      <c r="P24" s="158">
        <v>0.03</v>
      </c>
      <c r="Q24" s="4" t="s">
        <v>149</v>
      </c>
    </row>
    <row r="25" spans="1:18" s="4" customFormat="1" x14ac:dyDescent="0.75">
      <c r="A25" s="81"/>
      <c r="B25" s="81"/>
      <c r="C25" s="81"/>
      <c r="D25" s="81"/>
      <c r="E25" s="81" t="s">
        <v>93</v>
      </c>
      <c r="F25" s="170">
        <v>0</v>
      </c>
      <c r="G25" s="82">
        <v>37.26</v>
      </c>
      <c r="H25" s="83">
        <f>PRODUCT(F25:G25)</f>
        <v>0</v>
      </c>
      <c r="I25" s="84"/>
      <c r="J25" s="191">
        <f>J24/J26</f>
        <v>37.261433076923083</v>
      </c>
      <c r="K25" t="s">
        <v>182</v>
      </c>
      <c r="L25" s="8" t="s">
        <v>126</v>
      </c>
      <c r="M25" s="9" t="s">
        <v>127</v>
      </c>
      <c r="N25" s="189" t="s">
        <v>181</v>
      </c>
      <c r="O25" s="190">
        <f ca="1">(K1-O24)/365</f>
        <v>-90.746077808219155</v>
      </c>
      <c r="P25" s="157">
        <f>((J24)*(1+P24))</f>
        <v>79828.894224000003</v>
      </c>
      <c r="Q25" s="157">
        <f>P25/2080</f>
        <v>38.37927606923077</v>
      </c>
      <c r="R25" s="4" t="s">
        <v>148</v>
      </c>
    </row>
    <row r="26" spans="1:18" s="4" customFormat="1" x14ac:dyDescent="0.75">
      <c r="A26" s="81"/>
      <c r="B26" s="81"/>
      <c r="C26" s="81"/>
      <c r="D26" s="81"/>
      <c r="E26" s="81" t="s">
        <v>39</v>
      </c>
      <c r="F26" s="81">
        <v>0.5</v>
      </c>
      <c r="G26" s="82">
        <v>400</v>
      </c>
      <c r="H26" s="83">
        <f t="shared" ref="H26:H31" si="5">PRODUCT(F26:G26)</f>
        <v>200</v>
      </c>
      <c r="I26" s="84"/>
      <c r="J26" s="36">
        <v>2080</v>
      </c>
      <c r="K26" s="4" t="s">
        <v>183</v>
      </c>
      <c r="P26" s="160">
        <f>P25-J24</f>
        <v>2325.1134239999956</v>
      </c>
      <c r="Q26" s="161" t="s">
        <v>151</v>
      </c>
    </row>
    <row r="27" spans="1:18" s="4" customFormat="1" x14ac:dyDescent="0.75">
      <c r="A27" s="81"/>
      <c r="B27" s="81"/>
      <c r="C27" s="81"/>
      <c r="D27" s="81"/>
      <c r="E27" s="81" t="s">
        <v>35</v>
      </c>
      <c r="F27" s="81">
        <v>0</v>
      </c>
      <c r="G27" s="82">
        <v>3</v>
      </c>
      <c r="H27" s="83">
        <f t="shared" si="5"/>
        <v>0</v>
      </c>
      <c r="I27" s="84"/>
      <c r="J27" s="36">
        <v>34</v>
      </c>
      <c r="K27" s="4" t="s">
        <v>211</v>
      </c>
      <c r="N27" s="68">
        <f>F27</f>
        <v>0</v>
      </c>
      <c r="O27" s="68" t="s">
        <v>64</v>
      </c>
    </row>
    <row r="28" spans="1:18" s="4" customFormat="1" x14ac:dyDescent="0.75">
      <c r="A28" s="81"/>
      <c r="B28" s="81"/>
      <c r="C28" s="81"/>
      <c r="D28" s="81"/>
      <c r="E28" s="81" t="s">
        <v>36</v>
      </c>
      <c r="F28" s="81">
        <v>0</v>
      </c>
      <c r="G28" s="82">
        <v>75</v>
      </c>
      <c r="H28" s="83">
        <f t="shared" si="5"/>
        <v>0</v>
      </c>
      <c r="I28" s="84"/>
      <c r="J28" s="208">
        <f>SUM(H26)/I32</f>
        <v>5.8320528575280223E-2</v>
      </c>
      <c r="K28" s="4" t="s">
        <v>191</v>
      </c>
      <c r="N28" s="68">
        <f>SUM(F28:F30)</f>
        <v>0</v>
      </c>
      <c r="O28" s="68" t="s">
        <v>65</v>
      </c>
    </row>
    <row r="29" spans="1:18" s="4" customFormat="1" x14ac:dyDescent="0.75">
      <c r="A29" s="81"/>
      <c r="B29" s="81"/>
      <c r="C29" s="81"/>
      <c r="D29" s="81"/>
      <c r="E29" s="81" t="s">
        <v>37</v>
      </c>
      <c r="F29" s="81">
        <v>0</v>
      </c>
      <c r="G29" s="82">
        <v>100</v>
      </c>
      <c r="H29" s="83">
        <f t="shared" si="5"/>
        <v>0</v>
      </c>
      <c r="I29" s="84"/>
      <c r="J29" s="28"/>
      <c r="K29" s="198" t="s">
        <v>123</v>
      </c>
      <c r="N29" s="187" t="s">
        <v>179</v>
      </c>
      <c r="O29" s="188">
        <v>44470</v>
      </c>
    </row>
    <row r="30" spans="1:18" s="4" customFormat="1" x14ac:dyDescent="0.75">
      <c r="A30" s="81"/>
      <c r="B30" s="81"/>
      <c r="C30" s="81"/>
      <c r="D30" s="81"/>
      <c r="E30" s="81" t="s">
        <v>38</v>
      </c>
      <c r="F30" s="81">
        <v>0</v>
      </c>
      <c r="G30" s="82">
        <v>150</v>
      </c>
      <c r="H30" s="83">
        <f t="shared" si="5"/>
        <v>0</v>
      </c>
      <c r="I30" s="84" t="s">
        <v>209</v>
      </c>
      <c r="J30" s="28"/>
      <c r="L30" s="33"/>
      <c r="N30" s="137"/>
      <c r="O30" s="139">
        <f>I32*24</f>
        <v>82303.780800000008</v>
      </c>
    </row>
    <row r="31" spans="1:18" s="4" customFormat="1" x14ac:dyDescent="0.75">
      <c r="A31" s="85"/>
      <c r="B31" s="81"/>
      <c r="C31" s="85" t="s">
        <v>156</v>
      </c>
      <c r="D31" s="85"/>
      <c r="E31" s="81" t="s">
        <v>54</v>
      </c>
      <c r="F31" s="85">
        <v>0</v>
      </c>
      <c r="G31" s="86">
        <v>0</v>
      </c>
      <c r="H31" s="83">
        <f t="shared" si="5"/>
        <v>0</v>
      </c>
      <c r="I31" s="88"/>
      <c r="J31" s="28"/>
      <c r="K31" s="33"/>
      <c r="L31" s="33"/>
      <c r="O31" s="9" t="s">
        <v>142</v>
      </c>
    </row>
    <row r="32" spans="1:18" s="4" customFormat="1" x14ac:dyDescent="0.75">
      <c r="A32" s="85"/>
      <c r="B32" s="85"/>
      <c r="C32" s="85"/>
      <c r="D32" s="85"/>
      <c r="E32" s="85"/>
      <c r="F32" s="85"/>
      <c r="G32" s="86"/>
      <c r="H32" s="87" t="s">
        <v>6</v>
      </c>
      <c r="I32" s="88">
        <f>SUM(H24:H31)</f>
        <v>3429.3242</v>
      </c>
      <c r="J32" s="192">
        <f>I32*24</f>
        <v>82303.780800000008</v>
      </c>
      <c r="K32" s="33">
        <f>(H24+H27+H28+H29+H25+H30+H26)*24</f>
        <v>82303.780800000008</v>
      </c>
      <c r="L32" s="8"/>
      <c r="M32" s="9"/>
      <c r="O32" s="140" t="s">
        <v>144</v>
      </c>
    </row>
    <row r="33" spans="1:18" s="4" customFormat="1" x14ac:dyDescent="0.75">
      <c r="A33" s="1" t="s">
        <v>114</v>
      </c>
      <c r="B33" s="1" t="s">
        <v>115</v>
      </c>
      <c r="C33" s="1" t="s">
        <v>22</v>
      </c>
      <c r="D33" s="1" t="s">
        <v>25</v>
      </c>
      <c r="E33" s="1" t="s">
        <v>24</v>
      </c>
      <c r="F33" s="1">
        <v>86.67</v>
      </c>
      <c r="G33" s="14">
        <v>36.06</v>
      </c>
      <c r="H33" s="23">
        <f>PRODUCT(F33:G33)</f>
        <v>3125.3202000000001</v>
      </c>
      <c r="I33" s="17"/>
      <c r="J33" s="31">
        <f t="shared" si="1"/>
        <v>75007.684800000003</v>
      </c>
      <c r="K33" s="30" t="s">
        <v>50</v>
      </c>
      <c r="L33" s="10">
        <f>J37/10</f>
        <v>2.6</v>
      </c>
      <c r="M33" s="68">
        <f>L33*5</f>
        <v>13</v>
      </c>
      <c r="N33" s="210">
        <f>G33*1.023</f>
        <v>36.889379999999996</v>
      </c>
      <c r="O33" s="211">
        <f>N33*2080</f>
        <v>76729.910399999993</v>
      </c>
      <c r="P33" s="158">
        <v>0.03</v>
      </c>
      <c r="Q33" s="4" t="s">
        <v>149</v>
      </c>
    </row>
    <row r="34" spans="1:18" s="4" customFormat="1" x14ac:dyDescent="0.75">
      <c r="A34" s="1"/>
      <c r="B34" s="1"/>
      <c r="C34" s="1"/>
      <c r="D34" s="1"/>
      <c r="E34" s="1" t="s">
        <v>93</v>
      </c>
      <c r="F34" s="1">
        <v>0</v>
      </c>
      <c r="G34" s="14">
        <v>36.06</v>
      </c>
      <c r="H34" s="23">
        <f>PRODUCT(F34:G34)</f>
        <v>0</v>
      </c>
      <c r="I34" s="17"/>
      <c r="J34" s="191">
        <f>J33/J35</f>
        <v>36.061386923076924</v>
      </c>
      <c r="K34" t="s">
        <v>182</v>
      </c>
      <c r="L34" s="8" t="s">
        <v>126</v>
      </c>
      <c r="M34" s="9" t="s">
        <v>127</v>
      </c>
      <c r="N34" s="189" t="s">
        <v>181</v>
      </c>
      <c r="O34" s="190">
        <f ca="1">(K1-O33)/365</f>
        <v>-83.750439452054778</v>
      </c>
      <c r="P34" s="157">
        <f>((J33)*(1+P33))</f>
        <v>77257.915344000008</v>
      </c>
      <c r="Q34" s="157">
        <f>P34/2080</f>
        <v>37.143228530769235</v>
      </c>
      <c r="R34" s="4" t="s">
        <v>148</v>
      </c>
    </row>
    <row r="35" spans="1:18" s="4" customFormat="1" x14ac:dyDescent="0.75">
      <c r="A35" s="1"/>
      <c r="B35" s="1"/>
      <c r="C35" s="1"/>
      <c r="D35" s="1"/>
      <c r="E35" s="1" t="s">
        <v>29</v>
      </c>
      <c r="F35" s="1">
        <v>0.5</v>
      </c>
      <c r="G35" s="14">
        <v>50</v>
      </c>
      <c r="H35" s="23">
        <f t="shared" ref="H35:H41" si="6">PRODUCT(F35:G35)</f>
        <v>25</v>
      </c>
      <c r="I35" s="17"/>
      <c r="J35" s="36">
        <v>2080</v>
      </c>
      <c r="K35" s="4" t="s">
        <v>183</v>
      </c>
      <c r="P35" s="160">
        <f>P34-J33</f>
        <v>2250.2305440000055</v>
      </c>
      <c r="Q35" s="161" t="s">
        <v>151</v>
      </c>
    </row>
    <row r="36" spans="1:18" s="4" customFormat="1" x14ac:dyDescent="0.75">
      <c r="A36" s="1"/>
      <c r="B36" s="1"/>
      <c r="C36" s="1"/>
      <c r="D36" s="1"/>
      <c r="E36" s="1" t="s">
        <v>39</v>
      </c>
      <c r="F36" s="1">
        <v>0.5</v>
      </c>
      <c r="G36" s="14">
        <v>500</v>
      </c>
      <c r="H36" s="23">
        <f t="shared" si="6"/>
        <v>250</v>
      </c>
      <c r="I36" s="17"/>
      <c r="J36" s="36"/>
    </row>
    <row r="37" spans="1:18" s="4" customFormat="1" x14ac:dyDescent="0.75">
      <c r="A37" s="1"/>
      <c r="B37" s="1"/>
      <c r="C37" s="1"/>
      <c r="D37" s="1"/>
      <c r="E37" s="1" t="s">
        <v>35</v>
      </c>
      <c r="F37" s="1">
        <v>0</v>
      </c>
      <c r="G37" s="14">
        <v>3</v>
      </c>
      <c r="H37" s="23">
        <f t="shared" si="6"/>
        <v>0</v>
      </c>
      <c r="I37" s="17"/>
      <c r="J37" s="36">
        <v>26</v>
      </c>
      <c r="K37" s="4" t="s">
        <v>212</v>
      </c>
      <c r="N37" s="68">
        <f>F37</f>
        <v>0</v>
      </c>
      <c r="O37" s="68" t="s">
        <v>64</v>
      </c>
    </row>
    <row r="38" spans="1:18" s="4" customFormat="1" x14ac:dyDescent="0.75">
      <c r="A38" s="1"/>
      <c r="B38" s="1"/>
      <c r="C38" s="1"/>
      <c r="D38" s="1"/>
      <c r="E38" s="1" t="s">
        <v>36</v>
      </c>
      <c r="F38" s="1">
        <v>0</v>
      </c>
      <c r="G38" s="14">
        <v>75</v>
      </c>
      <c r="H38" s="23">
        <f t="shared" si="6"/>
        <v>0</v>
      </c>
      <c r="I38" s="17"/>
      <c r="J38" s="181">
        <f>SUM(H35:H36)/I43</f>
        <v>8.087473644393843E-2</v>
      </c>
      <c r="K38" s="4" t="s">
        <v>191</v>
      </c>
      <c r="N38" s="68">
        <f>SUM(F38:F40)</f>
        <v>0</v>
      </c>
      <c r="O38" s="68" t="s">
        <v>65</v>
      </c>
    </row>
    <row r="39" spans="1:18" s="4" customFormat="1" x14ac:dyDescent="0.75">
      <c r="A39" s="1"/>
      <c r="B39" s="1"/>
      <c r="C39" s="1"/>
      <c r="D39" s="1"/>
      <c r="E39" s="1" t="s">
        <v>38</v>
      </c>
      <c r="F39" s="1">
        <v>0</v>
      </c>
      <c r="G39" s="14">
        <v>150</v>
      </c>
      <c r="H39" s="23">
        <f t="shared" si="6"/>
        <v>0</v>
      </c>
      <c r="I39" s="17"/>
      <c r="J39" s="28"/>
      <c r="K39" s="198" t="s">
        <v>122</v>
      </c>
      <c r="N39" s="187" t="s">
        <v>180</v>
      </c>
      <c r="O39" s="188">
        <v>44963</v>
      </c>
    </row>
    <row r="40" spans="1:18" s="4" customFormat="1" x14ac:dyDescent="0.75">
      <c r="A40" s="1"/>
      <c r="B40" s="1"/>
      <c r="C40" s="1"/>
      <c r="D40" s="1"/>
      <c r="E40" s="1" t="s">
        <v>37</v>
      </c>
      <c r="F40" s="1">
        <v>0</v>
      </c>
      <c r="G40" s="14">
        <v>100</v>
      </c>
      <c r="H40" s="23">
        <f t="shared" si="6"/>
        <v>0</v>
      </c>
      <c r="I40" s="17"/>
      <c r="J40" s="28"/>
      <c r="O40" s="139">
        <f>I43*24</f>
        <v>81607.684800000003</v>
      </c>
    </row>
    <row r="41" spans="1:18" s="4" customFormat="1" x14ac:dyDescent="0.75">
      <c r="A41" s="1"/>
      <c r="B41" s="1"/>
      <c r="C41" s="1"/>
      <c r="D41" s="1"/>
      <c r="E41" s="1" t="s">
        <v>49</v>
      </c>
      <c r="F41" s="1">
        <v>0</v>
      </c>
      <c r="G41" s="14">
        <v>0</v>
      </c>
      <c r="H41" s="23">
        <f t="shared" si="6"/>
        <v>0</v>
      </c>
      <c r="I41" s="17"/>
      <c r="J41" s="28"/>
      <c r="O41" s="139"/>
    </row>
    <row r="42" spans="1:18" s="4" customFormat="1" x14ac:dyDescent="0.75">
      <c r="A42" s="1"/>
      <c r="B42" s="1"/>
      <c r="C42" s="1" t="s">
        <v>157</v>
      </c>
      <c r="D42" s="1"/>
      <c r="E42" s="1" t="s">
        <v>54</v>
      </c>
      <c r="F42" s="1">
        <v>0</v>
      </c>
      <c r="G42" s="14">
        <v>0</v>
      </c>
      <c r="H42" s="23">
        <f>PRODUCT(F42:G42)</f>
        <v>0</v>
      </c>
      <c r="I42" s="17"/>
      <c r="J42" s="28"/>
      <c r="O42" s="9" t="s">
        <v>142</v>
      </c>
    </row>
    <row r="43" spans="1:18" s="4" customFormat="1" x14ac:dyDescent="0.75">
      <c r="A43" s="1"/>
      <c r="B43" s="1"/>
      <c r="C43" s="1"/>
      <c r="D43" s="1"/>
      <c r="E43" s="1"/>
      <c r="F43" s="1"/>
      <c r="G43" s="14"/>
      <c r="H43" s="23" t="s">
        <v>6</v>
      </c>
      <c r="I43" s="17">
        <f>SUM(H33:H42)</f>
        <v>3400.3202000000001</v>
      </c>
      <c r="J43" s="192">
        <f>I43*24</f>
        <v>81607.684800000003</v>
      </c>
      <c r="K43" s="33">
        <f>(H33+H37+H38+H39+H40+H35)*24</f>
        <v>75607.684800000003</v>
      </c>
      <c r="L43" s="8"/>
      <c r="M43" s="9"/>
      <c r="O43" s="140" t="s">
        <v>144</v>
      </c>
    </row>
    <row r="44" spans="1:18" s="4" customFormat="1" x14ac:dyDescent="0.75">
      <c r="A44" s="163"/>
      <c r="B44" s="163"/>
      <c r="C44" s="163" t="s">
        <v>22</v>
      </c>
      <c r="D44" s="163" t="s">
        <v>25</v>
      </c>
      <c r="E44" s="163" t="s">
        <v>24</v>
      </c>
      <c r="F44" s="163">
        <v>0</v>
      </c>
      <c r="G44" s="164">
        <v>36.06</v>
      </c>
      <c r="H44" s="165">
        <f>PRODUCT(F44:G44)</f>
        <v>0</v>
      </c>
      <c r="I44" s="166"/>
      <c r="J44" s="199">
        <f t="shared" ref="J44" si="7">(F44*G44)*24</f>
        <v>0</v>
      </c>
      <c r="K44" s="51" t="s">
        <v>44</v>
      </c>
      <c r="L44" s="167" t="e">
        <f>J47/10</f>
        <v>#VALUE!</v>
      </c>
      <c r="M44" s="167" t="e">
        <f>L44*5</f>
        <v>#VALUE!</v>
      </c>
      <c r="N44" s="210">
        <f>G44*1.023</f>
        <v>36.889379999999996</v>
      </c>
      <c r="O44" s="211">
        <f>N44*2080</f>
        <v>76729.910399999993</v>
      </c>
      <c r="P44"/>
      <c r="Q44"/>
      <c r="R44"/>
    </row>
    <row r="45" spans="1:18" s="4" customFormat="1" x14ac:dyDescent="0.75">
      <c r="A45" s="163"/>
      <c r="B45" s="163"/>
      <c r="C45" s="163"/>
      <c r="D45" s="163"/>
      <c r="E45" s="163" t="s">
        <v>93</v>
      </c>
      <c r="F45" s="163">
        <v>0</v>
      </c>
      <c r="G45" s="164">
        <v>36.06</v>
      </c>
      <c r="H45" s="165">
        <f t="shared" ref="H45:H52" si="8">PRODUCT(F45:G45)</f>
        <v>0</v>
      </c>
      <c r="I45" s="166"/>
      <c r="J45" s="191">
        <f>J44/2080</f>
        <v>0</v>
      </c>
      <c r="K45" t="s">
        <v>182</v>
      </c>
      <c r="L45" s="134" t="s">
        <v>126</v>
      </c>
      <c r="M45" s="21" t="s">
        <v>127</v>
      </c>
      <c r="N45" s="189" t="s">
        <v>181</v>
      </c>
      <c r="O45" s="190">
        <f ca="1">(K1-O44)/365</f>
        <v>-83.750439452054778</v>
      </c>
      <c r="P45" t="s">
        <v>165</v>
      </c>
      <c r="Q45"/>
      <c r="R45"/>
    </row>
    <row r="46" spans="1:18" s="4" customFormat="1" x14ac:dyDescent="0.75">
      <c r="A46" s="163"/>
      <c r="B46" s="163"/>
      <c r="C46" s="163"/>
      <c r="D46" s="163"/>
      <c r="E46" s="163" t="s">
        <v>39</v>
      </c>
      <c r="F46" s="163">
        <v>0</v>
      </c>
      <c r="G46" s="164">
        <v>600</v>
      </c>
      <c r="H46" s="165">
        <f t="shared" si="8"/>
        <v>0</v>
      </c>
      <c r="I46" s="166"/>
      <c r="J46" s="200">
        <v>2080</v>
      </c>
      <c r="K46" s="4" t="s">
        <v>183</v>
      </c>
      <c r="N46" s="96">
        <f>F48</f>
        <v>0</v>
      </c>
      <c r="O46" s="96" t="s">
        <v>64</v>
      </c>
      <c r="P46"/>
      <c r="Q46"/>
      <c r="R46"/>
    </row>
    <row r="47" spans="1:18" s="4" customFormat="1" x14ac:dyDescent="0.75">
      <c r="A47" s="163"/>
      <c r="B47" s="163"/>
      <c r="C47" s="163"/>
      <c r="D47" s="163"/>
      <c r="E47" s="163" t="s">
        <v>29</v>
      </c>
      <c r="F47" s="163">
        <v>0</v>
      </c>
      <c r="G47" s="164">
        <v>50</v>
      </c>
      <c r="H47" s="165">
        <f t="shared" si="8"/>
        <v>0</v>
      </c>
      <c r="I47" s="166"/>
      <c r="J47" s="200" t="s">
        <v>202</v>
      </c>
      <c r="K47" t="s">
        <v>203</v>
      </c>
      <c r="L47"/>
      <c r="M47"/>
      <c r="N47" s="96"/>
      <c r="O47" s="96"/>
      <c r="P47"/>
      <c r="Q47"/>
      <c r="R47"/>
    </row>
    <row r="48" spans="1:18" s="4" customFormat="1" x14ac:dyDescent="0.75">
      <c r="A48" s="163"/>
      <c r="B48" s="163"/>
      <c r="C48" s="163"/>
      <c r="D48" s="163"/>
      <c r="E48" s="163" t="s">
        <v>33</v>
      </c>
      <c r="F48" s="163">
        <v>0</v>
      </c>
      <c r="G48" s="164">
        <v>3</v>
      </c>
      <c r="H48" s="165">
        <f t="shared" si="8"/>
        <v>0</v>
      </c>
      <c r="I48" s="166"/>
      <c r="J48" s="201" t="e">
        <f>SUM(H46:H47)/I53</f>
        <v>#DIV/0!</v>
      </c>
      <c r="K48" s="4" t="s">
        <v>191</v>
      </c>
      <c r="L48"/>
      <c r="M48"/>
      <c r="N48" s="96">
        <f>SUM(F49:F51)</f>
        <v>0</v>
      </c>
      <c r="O48" s="96" t="s">
        <v>65</v>
      </c>
      <c r="P48"/>
      <c r="Q48"/>
      <c r="R48"/>
    </row>
    <row r="49" spans="1:19" s="4" customFormat="1" x14ac:dyDescent="0.75">
      <c r="A49" s="163"/>
      <c r="B49" s="163"/>
      <c r="C49" s="163"/>
      <c r="D49" s="163"/>
      <c r="E49" s="163" t="s">
        <v>36</v>
      </c>
      <c r="F49" s="163">
        <v>0</v>
      </c>
      <c r="G49" s="164">
        <v>75</v>
      </c>
      <c r="H49" s="165">
        <f t="shared" si="8"/>
        <v>0</v>
      </c>
      <c r="I49" s="166"/>
      <c r="J49" s="168"/>
      <c r="K49" s="198"/>
      <c r="L49"/>
      <c r="M49"/>
      <c r="N49" s="187" t="s">
        <v>180</v>
      </c>
      <c r="O49" s="188">
        <v>45271</v>
      </c>
      <c r="P49"/>
      <c r="Q49"/>
      <c r="R49"/>
    </row>
    <row r="50" spans="1:19" s="4" customFormat="1" x14ac:dyDescent="0.75">
      <c r="A50" s="163"/>
      <c r="B50" s="163"/>
      <c r="C50" s="163"/>
      <c r="D50" s="163"/>
      <c r="E50" s="163" t="s">
        <v>48</v>
      </c>
      <c r="F50" s="163">
        <v>0</v>
      </c>
      <c r="G50" s="164">
        <v>100</v>
      </c>
      <c r="H50" s="165">
        <f t="shared" si="8"/>
        <v>0</v>
      </c>
      <c r="I50" s="166"/>
      <c r="J50" s="168"/>
      <c r="K50" s="49"/>
      <c r="L50" t="s">
        <v>205</v>
      </c>
      <c r="M50"/>
      <c r="N50"/>
      <c r="O50" s="139">
        <f>I53*24</f>
        <v>0</v>
      </c>
      <c r="P50"/>
      <c r="Q50" s="212"/>
      <c r="R50" s="212">
        <v>5665.73</v>
      </c>
      <c r="S50" s="33">
        <f>R50*2</f>
        <v>11331.46</v>
      </c>
    </row>
    <row r="51" spans="1:19" s="4" customFormat="1" x14ac:dyDescent="0.75">
      <c r="A51" s="163"/>
      <c r="B51" s="163"/>
      <c r="C51" s="163"/>
      <c r="D51" s="163"/>
      <c r="E51" s="163" t="s">
        <v>38</v>
      </c>
      <c r="F51" s="163">
        <v>0</v>
      </c>
      <c r="G51" s="164">
        <v>150</v>
      </c>
      <c r="H51" s="165">
        <f t="shared" si="8"/>
        <v>0</v>
      </c>
      <c r="I51" s="166"/>
      <c r="J51" s="168"/>
      <c r="K51"/>
      <c r="L51"/>
      <c r="M51"/>
      <c r="N51"/>
      <c r="O51" s="139"/>
      <c r="P51"/>
      <c r="Q51"/>
      <c r="R51"/>
    </row>
    <row r="52" spans="1:19" s="4" customFormat="1" x14ac:dyDescent="0.75">
      <c r="A52" s="163"/>
      <c r="B52" s="163"/>
      <c r="C52" s="163" t="s">
        <v>157</v>
      </c>
      <c r="D52" s="163"/>
      <c r="E52" s="163" t="s">
        <v>54</v>
      </c>
      <c r="F52" s="163">
        <v>0</v>
      </c>
      <c r="G52" s="164">
        <v>34.909999999999997</v>
      </c>
      <c r="H52" s="165">
        <f t="shared" si="8"/>
        <v>0</v>
      </c>
      <c r="I52" s="166"/>
      <c r="J52" s="168"/>
      <c r="K52"/>
      <c r="L52"/>
      <c r="M52"/>
      <c r="N52"/>
      <c r="O52" s="9" t="s">
        <v>142</v>
      </c>
      <c r="P52"/>
      <c r="Q52"/>
      <c r="R52"/>
    </row>
    <row r="53" spans="1:19" s="4" customFormat="1" x14ac:dyDescent="0.75">
      <c r="A53" s="163"/>
      <c r="B53" s="163"/>
      <c r="C53" s="163"/>
      <c r="D53" s="163"/>
      <c r="E53" s="163"/>
      <c r="F53" s="163"/>
      <c r="G53" s="164"/>
      <c r="H53" s="165" t="s">
        <v>6</v>
      </c>
      <c r="I53" s="166">
        <f>SUM(H44:H52)</f>
        <v>0</v>
      </c>
      <c r="J53" s="192">
        <f>I53*24</f>
        <v>0</v>
      </c>
      <c r="K53" s="133">
        <f>(H44+H46+H48+H49)*24</f>
        <v>0</v>
      </c>
      <c r="L53" s="134"/>
      <c r="M53" s="21"/>
      <c r="N53"/>
      <c r="O53" s="140" t="s">
        <v>144</v>
      </c>
      <c r="P53" s="169"/>
      <c r="Q53"/>
      <c r="R53"/>
    </row>
    <row r="54" spans="1:19" s="4" customFormat="1" x14ac:dyDescent="0.75">
      <c r="A54" s="1"/>
      <c r="B54" s="1"/>
      <c r="C54" s="1" t="s">
        <v>22</v>
      </c>
      <c r="D54" s="1" t="s">
        <v>154</v>
      </c>
      <c r="E54" s="1" t="s">
        <v>24</v>
      </c>
      <c r="F54" s="1">
        <v>0</v>
      </c>
      <c r="G54" s="14">
        <v>31.25</v>
      </c>
      <c r="H54" s="23">
        <f>PRODUCT(F54:G54)</f>
        <v>0</v>
      </c>
      <c r="I54" s="194"/>
      <c r="J54" s="31">
        <f t="shared" ref="J54" si="9">(F54*G54)*24</f>
        <v>0</v>
      </c>
      <c r="K54" s="30" t="s">
        <v>50</v>
      </c>
      <c r="L54" s="10">
        <f>J57/10</f>
        <v>0</v>
      </c>
      <c r="M54" s="10">
        <f>L54*5</f>
        <v>0</v>
      </c>
      <c r="N54" s="30" t="s">
        <v>200</v>
      </c>
      <c r="P54" s="158"/>
      <c r="Q54" s="4" t="s">
        <v>149</v>
      </c>
    </row>
    <row r="55" spans="1:19" s="4" customFormat="1" x14ac:dyDescent="0.75">
      <c r="A55" s="1"/>
      <c r="B55" s="1"/>
      <c r="C55" s="1"/>
      <c r="D55" s="1"/>
      <c r="E55" s="1" t="s">
        <v>28</v>
      </c>
      <c r="F55" s="1">
        <v>0</v>
      </c>
      <c r="G55" s="14">
        <v>400</v>
      </c>
      <c r="H55" s="23">
        <f t="shared" ref="H55:H58" si="10">PRODUCT(F55:G55)</f>
        <v>0</v>
      </c>
      <c r="I55" s="195"/>
      <c r="J55" s="28"/>
      <c r="K55" s="198"/>
      <c r="L55" s="8" t="s">
        <v>126</v>
      </c>
      <c r="M55" s="9" t="s">
        <v>127</v>
      </c>
      <c r="P55" s="157">
        <f>((J54)*(1+P54))</f>
        <v>0</v>
      </c>
      <c r="Q55" s="157">
        <f>P55/2080</f>
        <v>0</v>
      </c>
      <c r="R55" s="4" t="s">
        <v>148</v>
      </c>
    </row>
    <row r="56" spans="1:19" s="4" customFormat="1" x14ac:dyDescent="0.75">
      <c r="A56" s="1"/>
      <c r="B56" s="1"/>
      <c r="C56" s="1"/>
      <c r="D56" s="1"/>
      <c r="E56" s="1" t="s">
        <v>29</v>
      </c>
      <c r="F56" s="1">
        <v>0</v>
      </c>
      <c r="G56" s="14">
        <v>50</v>
      </c>
      <c r="H56" s="23">
        <f t="shared" si="10"/>
        <v>0</v>
      </c>
      <c r="I56" s="196"/>
      <c r="J56" s="201" t="str">
        <f>IFERROR(SUM(H55:H56)/I62,"")</f>
        <v/>
      </c>
      <c r="K56" s="4" t="s">
        <v>191</v>
      </c>
      <c r="N56" s="4" t="s">
        <v>200</v>
      </c>
      <c r="P56" s="160">
        <f>P55-J54</f>
        <v>0</v>
      </c>
      <c r="Q56" s="161" t="s">
        <v>151</v>
      </c>
    </row>
    <row r="57" spans="1:19" s="4" customFormat="1" x14ac:dyDescent="0.75">
      <c r="A57" s="1"/>
      <c r="B57" s="1"/>
      <c r="C57" s="1"/>
      <c r="D57" s="1"/>
      <c r="E57" s="1" t="s">
        <v>49</v>
      </c>
      <c r="F57" s="1">
        <v>0</v>
      </c>
      <c r="G57" s="14">
        <v>0</v>
      </c>
      <c r="H57" s="23">
        <f>PRODUCT(F57:G57)</f>
        <v>0</v>
      </c>
      <c r="I57" s="197"/>
      <c r="J57" s="36">
        <v>0</v>
      </c>
      <c r="K57" s="4" t="s">
        <v>153</v>
      </c>
      <c r="N57" s="68">
        <f>F58</f>
        <v>0</v>
      </c>
      <c r="O57" s="68" t="s">
        <v>64</v>
      </c>
    </row>
    <row r="58" spans="1:19" s="4" customFormat="1" x14ac:dyDescent="0.75">
      <c r="A58" s="1"/>
      <c r="B58" s="1"/>
      <c r="C58" s="1" t="s">
        <v>157</v>
      </c>
      <c r="D58" s="1"/>
      <c r="E58" s="1" t="s">
        <v>54</v>
      </c>
      <c r="F58" s="1">
        <v>0</v>
      </c>
      <c r="G58" s="14">
        <v>0</v>
      </c>
      <c r="H58" s="23">
        <f t="shared" si="10"/>
        <v>0</v>
      </c>
      <c r="I58" s="17"/>
      <c r="J58" s="28"/>
      <c r="N58" s="68">
        <f>SUM(F59:F60)</f>
        <v>0</v>
      </c>
      <c r="O58" s="68" t="s">
        <v>65</v>
      </c>
    </row>
    <row r="59" spans="1:19" s="4" customFormat="1" x14ac:dyDescent="0.75">
      <c r="A59" s="1"/>
      <c r="B59" s="1"/>
      <c r="C59" s="1"/>
      <c r="D59" s="1"/>
      <c r="E59" s="1"/>
      <c r="F59" s="1"/>
      <c r="G59" s="14"/>
      <c r="H59" s="23"/>
      <c r="I59" s="17"/>
      <c r="J59" s="28"/>
      <c r="L59" s="34"/>
    </row>
    <row r="60" spans="1:19" s="4" customFormat="1" x14ac:dyDescent="0.75">
      <c r="A60" s="1"/>
      <c r="B60" s="1"/>
      <c r="C60" s="1"/>
      <c r="D60" s="1"/>
      <c r="E60" s="1"/>
      <c r="F60" s="1"/>
      <c r="G60" s="14"/>
      <c r="H60" s="23"/>
      <c r="I60" s="17"/>
      <c r="J60" s="28"/>
      <c r="O60" s="139">
        <f>I62*24</f>
        <v>0</v>
      </c>
    </row>
    <row r="61" spans="1:19" s="4" customFormat="1" x14ac:dyDescent="0.75">
      <c r="A61" s="1"/>
      <c r="B61" s="1"/>
      <c r="C61" s="1"/>
      <c r="D61" s="1"/>
      <c r="E61" s="1"/>
      <c r="F61" s="1"/>
      <c r="G61" s="14"/>
      <c r="H61" s="23"/>
      <c r="I61" s="17"/>
      <c r="J61" s="28"/>
      <c r="O61" s="9"/>
    </row>
    <row r="62" spans="1:19" s="4" customFormat="1" x14ac:dyDescent="0.75">
      <c r="A62" s="1"/>
      <c r="B62" s="1"/>
      <c r="C62" s="1"/>
      <c r="D62" s="1"/>
      <c r="E62" s="1"/>
      <c r="F62" s="1"/>
      <c r="G62" s="14"/>
      <c r="H62" s="23" t="s">
        <v>6</v>
      </c>
      <c r="I62" s="17">
        <f>SUM(H54:H61)</f>
        <v>0</v>
      </c>
      <c r="J62" s="28"/>
      <c r="K62" s="33">
        <f>(H54+H55+H58+H59+H60+H56)*24</f>
        <v>0</v>
      </c>
      <c r="L62" s="8"/>
      <c r="M62" s="9"/>
      <c r="O62" s="140" t="s">
        <v>144</v>
      </c>
    </row>
    <row r="63" spans="1:19" s="4" customFormat="1" x14ac:dyDescent="0.75">
      <c r="A63" s="81" t="s">
        <v>16</v>
      </c>
      <c r="B63" s="81" t="s">
        <v>17</v>
      </c>
      <c r="C63" s="81" t="s">
        <v>22</v>
      </c>
      <c r="D63" s="81" t="s">
        <v>9</v>
      </c>
      <c r="E63" s="81" t="s">
        <v>24</v>
      </c>
      <c r="F63" s="81">
        <v>86.67</v>
      </c>
      <c r="G63" s="82">
        <v>22.36</v>
      </c>
      <c r="H63" s="83">
        <f>PRODUCT(F63:G63)</f>
        <v>1937.9412</v>
      </c>
      <c r="I63" s="84"/>
      <c r="J63" s="31">
        <f t="shared" ref="J63" si="11">(F63*G63)*24</f>
        <v>46510.588799999998</v>
      </c>
      <c r="K63" s="30" t="s">
        <v>44</v>
      </c>
      <c r="L63" s="10">
        <f>J66/10</f>
        <v>3.1</v>
      </c>
      <c r="M63" s="10">
        <f>L63*5</f>
        <v>15.5</v>
      </c>
      <c r="N63" s="210">
        <f>G63*1.023</f>
        <v>22.874279999999999</v>
      </c>
      <c r="O63" s="211">
        <f>N63*2080</f>
        <v>47578.502399999998</v>
      </c>
      <c r="P63" s="158">
        <v>0.03</v>
      </c>
      <c r="Q63" s="4" t="s">
        <v>149</v>
      </c>
    </row>
    <row r="64" spans="1:19" s="4" customFormat="1" x14ac:dyDescent="0.75">
      <c r="A64" s="81"/>
      <c r="B64" s="81"/>
      <c r="C64" s="81"/>
      <c r="D64" s="81"/>
      <c r="E64" s="81" t="s">
        <v>93</v>
      </c>
      <c r="F64" s="81">
        <v>0</v>
      </c>
      <c r="G64" s="82">
        <v>22.36</v>
      </c>
      <c r="H64" s="83">
        <f t="shared" ref="H64:H65" si="12">PRODUCT(F64:G64)</f>
        <v>0</v>
      </c>
      <c r="I64" s="84"/>
      <c r="J64" s="28"/>
      <c r="L64" s="8" t="s">
        <v>126</v>
      </c>
      <c r="M64" s="9" t="s">
        <v>127</v>
      </c>
      <c r="P64" s="157">
        <f>((J63)*(1+P63))</f>
        <v>47905.906464</v>
      </c>
      <c r="Q64" s="157">
        <f>P64/2080</f>
        <v>23.031685799999998</v>
      </c>
      <c r="R64" s="159" t="s">
        <v>148</v>
      </c>
    </row>
    <row r="65" spans="1:31" s="4" customFormat="1" x14ac:dyDescent="0.75">
      <c r="A65" s="81"/>
      <c r="B65" s="81"/>
      <c r="C65" s="81"/>
      <c r="D65" s="81"/>
      <c r="E65" s="81" t="s">
        <v>39</v>
      </c>
      <c r="F65" s="81">
        <v>0.5</v>
      </c>
      <c r="G65" s="82">
        <v>350</v>
      </c>
      <c r="H65" s="83">
        <f t="shared" si="12"/>
        <v>175</v>
      </c>
      <c r="I65" s="84"/>
      <c r="J65" s="201">
        <f>SUM(H65)/I68</f>
        <v>8.2822938944065255E-2</v>
      </c>
      <c r="K65" s="4" t="s">
        <v>191</v>
      </c>
      <c r="M65" s="4" t="s">
        <v>140</v>
      </c>
      <c r="P65" s="160">
        <f>P64-J63</f>
        <v>1395.317664000002</v>
      </c>
      <c r="Q65" s="161" t="s">
        <v>151</v>
      </c>
    </row>
    <row r="66" spans="1:31" s="4" customFormat="1" x14ac:dyDescent="0.75">
      <c r="A66" s="81"/>
      <c r="B66" s="81"/>
      <c r="C66" s="81"/>
      <c r="D66" s="81"/>
      <c r="E66" s="81"/>
      <c r="F66" s="81"/>
      <c r="G66" s="82"/>
      <c r="H66" s="83"/>
      <c r="I66" s="84"/>
      <c r="J66" s="12">
        <v>31</v>
      </c>
      <c r="K66" s="202" t="s">
        <v>99</v>
      </c>
      <c r="O66" s="139">
        <f>I68*24</f>
        <v>50710.588800000005</v>
      </c>
    </row>
    <row r="67" spans="1:31" s="4" customFormat="1" x14ac:dyDescent="0.75">
      <c r="A67" s="81"/>
      <c r="B67" s="81"/>
      <c r="C67" s="81"/>
      <c r="D67" s="81"/>
      <c r="E67" s="81"/>
      <c r="F67" s="81"/>
      <c r="G67" s="82"/>
      <c r="H67" s="83"/>
      <c r="I67" s="84"/>
      <c r="J67" s="12"/>
      <c r="L67" s="7"/>
      <c r="M67" s="137"/>
      <c r="O67" s="9" t="s">
        <v>142</v>
      </c>
    </row>
    <row r="68" spans="1:31" s="4" customFormat="1" x14ac:dyDescent="0.75">
      <c r="A68" s="81"/>
      <c r="B68" s="81"/>
      <c r="C68" s="81"/>
      <c r="D68" s="81"/>
      <c r="E68" s="81"/>
      <c r="F68" s="81"/>
      <c r="G68" s="82"/>
      <c r="H68" s="83" t="s">
        <v>6</v>
      </c>
      <c r="I68" s="84">
        <f>SUM(H63:H67)</f>
        <v>2112.9412000000002</v>
      </c>
      <c r="J68" s="132"/>
      <c r="K68" s="133">
        <f>SUM(H63:H65)*24</f>
        <v>50710.588800000005</v>
      </c>
      <c r="L68" s="134"/>
      <c r="M68" s="21"/>
      <c r="N68"/>
      <c r="O68" s="140" t="s">
        <v>144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1:31" s="4" customFormat="1" x14ac:dyDescent="0.75">
      <c r="A69" s="1" t="s">
        <v>121</v>
      </c>
      <c r="B69" s="1" t="s">
        <v>121</v>
      </c>
      <c r="C69" s="1" t="s">
        <v>22</v>
      </c>
      <c r="D69" s="1" t="s">
        <v>9</v>
      </c>
      <c r="E69" s="1" t="s">
        <v>24</v>
      </c>
      <c r="F69" s="1">
        <v>0</v>
      </c>
      <c r="G69" s="14">
        <v>23</v>
      </c>
      <c r="H69" s="23">
        <f>PRODUCT(F69:G69)</f>
        <v>0</v>
      </c>
      <c r="I69" s="19"/>
      <c r="J69" s="31">
        <f>H69*24</f>
        <v>0</v>
      </c>
      <c r="K69" s="30" t="s">
        <v>44</v>
      </c>
      <c r="L69" s="10">
        <f>J71/10</f>
        <v>8.6</v>
      </c>
      <c r="M69" s="10">
        <f>L69*5</f>
        <v>43</v>
      </c>
      <c r="N69" s="210">
        <f>G69*1.023</f>
        <v>23.528999999999996</v>
      </c>
      <c r="O69" s="211">
        <f>N69*2080</f>
        <v>48940.319999999992</v>
      </c>
      <c r="P69" s="158">
        <v>0.03</v>
      </c>
      <c r="Q69" s="4" t="s">
        <v>149</v>
      </c>
    </row>
    <row r="70" spans="1:31" s="4" customFormat="1" x14ac:dyDescent="0.75">
      <c r="A70" s="1"/>
      <c r="B70" s="1"/>
      <c r="C70" s="1"/>
      <c r="D70" s="1"/>
      <c r="E70" s="1" t="s">
        <v>93</v>
      </c>
      <c r="F70" s="1">
        <v>0</v>
      </c>
      <c r="G70" s="14">
        <v>23</v>
      </c>
      <c r="H70" s="23">
        <f t="shared" ref="H70:H72" si="13">PRODUCT(F70:G70)</f>
        <v>0</v>
      </c>
      <c r="I70" s="19"/>
      <c r="J70" s="201" t="e">
        <f>SUM(H71)/I74</f>
        <v>#DIV/0!</v>
      </c>
      <c r="K70" s="4" t="s">
        <v>191</v>
      </c>
      <c r="L70" s="8" t="s">
        <v>126</v>
      </c>
      <c r="M70" s="9" t="s">
        <v>127</v>
      </c>
      <c r="P70" s="157">
        <f>((J69)*(1+P69))</f>
        <v>0</v>
      </c>
      <c r="Q70" s="157">
        <f>P70/2080</f>
        <v>0</v>
      </c>
      <c r="R70" s="159" t="s">
        <v>148</v>
      </c>
    </row>
    <row r="71" spans="1:31" s="4" customFormat="1" x14ac:dyDescent="0.75">
      <c r="A71" s="1"/>
      <c r="B71" s="1"/>
      <c r="C71" s="1"/>
      <c r="D71" s="1"/>
      <c r="E71" s="1" t="s">
        <v>34</v>
      </c>
      <c r="F71" s="1">
        <v>0</v>
      </c>
      <c r="G71" s="14">
        <v>0.5</v>
      </c>
      <c r="H71" s="23">
        <f t="shared" ref="H71" si="14">PRODUCT(F71:G71)</f>
        <v>0</v>
      </c>
      <c r="I71" s="19"/>
      <c r="J71" s="12">
        <v>86</v>
      </c>
      <c r="K71" s="202"/>
      <c r="M71" s="7" t="s">
        <v>105</v>
      </c>
      <c r="P71" s="160">
        <f>P70-J69</f>
        <v>0</v>
      </c>
      <c r="Q71" s="161" t="s">
        <v>151</v>
      </c>
    </row>
    <row r="72" spans="1:31" s="4" customFormat="1" x14ac:dyDescent="0.75">
      <c r="A72" s="1"/>
      <c r="B72" s="1"/>
      <c r="C72" s="1"/>
      <c r="D72" s="1"/>
      <c r="E72" s="1" t="s">
        <v>117</v>
      </c>
      <c r="F72" s="1">
        <v>0</v>
      </c>
      <c r="G72" s="14">
        <v>50</v>
      </c>
      <c r="H72" s="23">
        <f t="shared" si="13"/>
        <v>0</v>
      </c>
      <c r="I72" s="19"/>
      <c r="J72" s="12"/>
      <c r="K72" s="7"/>
      <c r="M72" s="137" t="s">
        <v>205</v>
      </c>
      <c r="O72" s="139">
        <f>I74*24</f>
        <v>0</v>
      </c>
    </row>
    <row r="73" spans="1:31" s="4" customFormat="1" x14ac:dyDescent="0.75">
      <c r="A73" s="1"/>
      <c r="B73" s="1"/>
      <c r="C73" s="1"/>
      <c r="D73" s="1"/>
      <c r="E73" s="1"/>
      <c r="F73" s="1"/>
      <c r="G73" s="14"/>
      <c r="H73" s="23"/>
      <c r="I73" s="19"/>
      <c r="J73" s="12"/>
      <c r="L73" s="7"/>
      <c r="M73" s="7"/>
      <c r="O73" s="9" t="s">
        <v>142</v>
      </c>
    </row>
    <row r="74" spans="1:31" s="4" customFormat="1" x14ac:dyDescent="0.75">
      <c r="A74" s="1"/>
      <c r="B74" s="1"/>
      <c r="C74" s="1"/>
      <c r="D74" s="1"/>
      <c r="E74" s="1"/>
      <c r="F74" s="1"/>
      <c r="G74" s="14"/>
      <c r="H74" s="23" t="s">
        <v>6</v>
      </c>
      <c r="I74" s="17">
        <f>SUM(H69:H73)</f>
        <v>0</v>
      </c>
      <c r="J74" s="12">
        <f>I74*2</f>
        <v>0</v>
      </c>
      <c r="K74" s="133">
        <f>SUM(H69,H71)*24</f>
        <v>0</v>
      </c>
      <c r="L74" s="8">
        <f>I74*24</f>
        <v>0</v>
      </c>
      <c r="M74" s="9"/>
      <c r="O74" s="140" t="s">
        <v>144</v>
      </c>
    </row>
    <row r="75" spans="1:31" s="4" customFormat="1" x14ac:dyDescent="0.75">
      <c r="A75" s="81" t="s">
        <v>102</v>
      </c>
      <c r="B75" s="81" t="s">
        <v>103</v>
      </c>
      <c r="C75" s="81" t="s">
        <v>22</v>
      </c>
      <c r="D75" s="81" t="s">
        <v>9</v>
      </c>
      <c r="E75" s="81" t="s">
        <v>24</v>
      </c>
      <c r="F75" s="81">
        <v>86.67</v>
      </c>
      <c r="G75" s="82">
        <v>22.12</v>
      </c>
      <c r="H75" s="83">
        <f>PRODUCT(F75:G75)</f>
        <v>1917.1404000000002</v>
      </c>
      <c r="I75" s="89"/>
      <c r="J75" s="31">
        <f>H75*24</f>
        <v>46011.369600000005</v>
      </c>
      <c r="K75" s="30" t="s">
        <v>44</v>
      </c>
      <c r="L75" s="10">
        <f>J77/10</f>
        <v>5.7</v>
      </c>
      <c r="M75" s="10">
        <f>L75*5</f>
        <v>28.5</v>
      </c>
      <c r="N75" s="210">
        <f>G75*1.023</f>
        <v>22.62876</v>
      </c>
      <c r="O75" s="211">
        <f>N75*2080</f>
        <v>47067.820800000001</v>
      </c>
      <c r="P75" s="158">
        <v>0.03</v>
      </c>
      <c r="Q75" s="4" t="s">
        <v>149</v>
      </c>
    </row>
    <row r="76" spans="1:31" s="4" customFormat="1" x14ac:dyDescent="0.75">
      <c r="A76" s="81"/>
      <c r="B76" s="81"/>
      <c r="C76" s="81"/>
      <c r="D76" s="81"/>
      <c r="E76" s="81" t="s">
        <v>100</v>
      </c>
      <c r="F76" s="81">
        <v>0.5</v>
      </c>
      <c r="G76" s="82">
        <v>600</v>
      </c>
      <c r="H76" s="83">
        <f t="shared" ref="H76:H77" si="15">PRODUCT(F76:G76)</f>
        <v>300</v>
      </c>
      <c r="I76" s="89"/>
      <c r="J76" s="201">
        <f>SUM(H76)/I79</f>
        <v>0.13530942830684065</v>
      </c>
      <c r="K76" s="4" t="s">
        <v>191</v>
      </c>
      <c r="L76" s="8" t="s">
        <v>126</v>
      </c>
      <c r="M76" s="9" t="s">
        <v>127</v>
      </c>
      <c r="N76" s="4" t="s">
        <v>143</v>
      </c>
      <c r="P76" s="157">
        <f>((J75)*(1+P75))</f>
        <v>47391.710688000006</v>
      </c>
      <c r="Q76" s="157">
        <f>P76/2080</f>
        <v>22.784476292307694</v>
      </c>
      <c r="R76" s="159" t="s">
        <v>148</v>
      </c>
    </row>
    <row r="77" spans="1:31" s="4" customFormat="1" x14ac:dyDescent="0.75">
      <c r="A77" s="81"/>
      <c r="B77" s="81"/>
      <c r="C77" s="81"/>
      <c r="D77" s="81"/>
      <c r="E77" s="81" t="s">
        <v>29</v>
      </c>
      <c r="F77" s="81"/>
      <c r="G77" s="82"/>
      <c r="H77" s="83">
        <f t="shared" si="15"/>
        <v>0</v>
      </c>
      <c r="I77" s="89"/>
      <c r="J77" s="12">
        <v>57</v>
      </c>
      <c r="K77" s="203" t="s">
        <v>104</v>
      </c>
      <c r="L77" s="7"/>
      <c r="M77" s="137"/>
      <c r="O77" s="139">
        <f>I79*24</f>
        <v>53211.369600000005</v>
      </c>
      <c r="P77" s="160">
        <f>P76-J75</f>
        <v>1380.341088000001</v>
      </c>
      <c r="Q77" s="161" t="s">
        <v>151</v>
      </c>
    </row>
    <row r="78" spans="1:31" s="4" customFormat="1" x14ac:dyDescent="0.75">
      <c r="A78" s="81"/>
      <c r="B78" s="81"/>
      <c r="C78" s="81"/>
      <c r="D78" s="81"/>
      <c r="E78" s="81"/>
      <c r="F78" s="81"/>
      <c r="G78" s="82"/>
      <c r="H78" s="83"/>
      <c r="I78" s="84"/>
      <c r="J78" s="28"/>
      <c r="L78" s="7"/>
      <c r="N78" s="35"/>
      <c r="O78" s="9" t="s">
        <v>142</v>
      </c>
    </row>
    <row r="79" spans="1:31" s="4" customFormat="1" ht="15.5" thickBot="1" x14ac:dyDescent="0.9">
      <c r="A79" s="85"/>
      <c r="B79" s="85"/>
      <c r="C79" s="85"/>
      <c r="D79" s="85"/>
      <c r="E79" s="85"/>
      <c r="F79" s="85"/>
      <c r="G79" s="86"/>
      <c r="H79" s="83" t="s">
        <v>6</v>
      </c>
      <c r="I79" s="84">
        <f>SUM(H75:H77)</f>
        <v>2217.1404000000002</v>
      </c>
      <c r="J79" s="28"/>
      <c r="K79" s="133">
        <f>SUM(H75)*24</f>
        <v>46011.369600000005</v>
      </c>
      <c r="L79" s="8"/>
      <c r="M79" s="9"/>
      <c r="O79" s="140" t="s">
        <v>144</v>
      </c>
    </row>
    <row r="80" spans="1:31" s="4" customFormat="1" ht="15.5" thickTop="1" x14ac:dyDescent="0.75">
      <c r="A80" s="1" t="s">
        <v>132</v>
      </c>
      <c r="B80" s="1" t="s">
        <v>116</v>
      </c>
      <c r="C80" s="1" t="s">
        <v>23</v>
      </c>
      <c r="D80" s="1" t="s">
        <v>9</v>
      </c>
      <c r="E80" s="1" t="s">
        <v>31</v>
      </c>
      <c r="F80" s="1">
        <v>11</v>
      </c>
      <c r="G80" s="14">
        <v>21</v>
      </c>
      <c r="H80" s="23">
        <f t="shared" ref="H80:H81" si="16">PRODUCT(F80:G80)</f>
        <v>231</v>
      </c>
      <c r="I80" s="17"/>
      <c r="J80" s="31">
        <f>((H80+H82)*24)</f>
        <v>5544</v>
      </c>
      <c r="K80" s="30" t="s">
        <v>44</v>
      </c>
      <c r="L80" s="78">
        <f>J82/10</f>
        <v>1.1000000000000001</v>
      </c>
      <c r="M80" s="78">
        <f>L80*5</f>
        <v>5.5</v>
      </c>
      <c r="N80" s="210">
        <f>G80*1.023</f>
        <v>21.482999999999997</v>
      </c>
      <c r="O80" s="211">
        <f>N80*2080</f>
        <v>44684.639999999992</v>
      </c>
      <c r="P80" s="158">
        <v>0.03</v>
      </c>
      <c r="Q80" s="4" t="s">
        <v>149</v>
      </c>
    </row>
    <row r="81" spans="1:18" s="4" customFormat="1" x14ac:dyDescent="0.75">
      <c r="A81" s="1"/>
      <c r="B81" s="1"/>
      <c r="C81" s="1"/>
      <c r="D81" s="171"/>
      <c r="E81" s="1" t="s">
        <v>34</v>
      </c>
      <c r="F81" s="1">
        <v>20</v>
      </c>
      <c r="G81" s="14">
        <v>0.5</v>
      </c>
      <c r="H81" s="23">
        <f t="shared" si="16"/>
        <v>10</v>
      </c>
      <c r="I81" s="17"/>
      <c r="J81" s="201">
        <f>SUM(H81)/I85</f>
        <v>4.1493775933609957E-2</v>
      </c>
      <c r="K81" s="4" t="s">
        <v>191</v>
      </c>
      <c r="L81" s="8" t="s">
        <v>126</v>
      </c>
      <c r="M81" s="9" t="s">
        <v>127</v>
      </c>
      <c r="N81" s="4" t="s">
        <v>164</v>
      </c>
      <c r="P81" s="157">
        <f>Q81*2080</f>
        <v>44990.400000000001</v>
      </c>
      <c r="Q81" s="157">
        <f>(G80*1.03)</f>
        <v>21.63</v>
      </c>
      <c r="R81" s="159" t="s">
        <v>148</v>
      </c>
    </row>
    <row r="82" spans="1:18" s="4" customFormat="1" x14ac:dyDescent="0.75">
      <c r="A82" s="1"/>
      <c r="B82" s="1"/>
      <c r="C82" s="172"/>
      <c r="D82" s="1"/>
      <c r="E82" s="1"/>
      <c r="F82" s="1"/>
      <c r="G82" s="14"/>
      <c r="H82" s="23"/>
      <c r="I82" s="17"/>
      <c r="J82" s="12">
        <f>F80</f>
        <v>11</v>
      </c>
      <c r="K82" s="203" t="s">
        <v>133</v>
      </c>
      <c r="L82" s="7"/>
      <c r="M82" s="7"/>
      <c r="N82" s="30" t="s">
        <v>155</v>
      </c>
      <c r="O82" s="30"/>
      <c r="P82" s="160">
        <f>P81-J80</f>
        <v>39446.400000000001</v>
      </c>
      <c r="Q82" s="161" t="s">
        <v>151</v>
      </c>
    </row>
    <row r="83" spans="1:18" s="4" customFormat="1" x14ac:dyDescent="0.75">
      <c r="A83" s="1"/>
      <c r="B83" s="1"/>
      <c r="C83" s="1"/>
      <c r="D83" s="1"/>
      <c r="E83" s="1"/>
      <c r="F83" s="1"/>
      <c r="G83" s="14"/>
      <c r="H83" s="23"/>
      <c r="I83" s="17"/>
      <c r="J83" s="12"/>
      <c r="K83" s="45"/>
      <c r="L83" s="7"/>
      <c r="M83" s="137"/>
      <c r="O83" s="139">
        <f>I85*24</f>
        <v>5784</v>
      </c>
    </row>
    <row r="84" spans="1:18" s="4" customFormat="1" x14ac:dyDescent="0.75">
      <c r="A84" s="1"/>
      <c r="B84" s="1"/>
      <c r="C84" s="1"/>
      <c r="D84" s="1"/>
      <c r="E84" s="1"/>
      <c r="F84" s="1"/>
      <c r="G84" s="14"/>
      <c r="H84" s="23"/>
      <c r="I84" s="17"/>
      <c r="J84" s="12"/>
      <c r="L84" s="7"/>
      <c r="M84" s="7"/>
      <c r="O84" s="9" t="s">
        <v>142</v>
      </c>
    </row>
    <row r="85" spans="1:18" s="4" customFormat="1" x14ac:dyDescent="0.75">
      <c r="A85" s="1"/>
      <c r="B85" s="1"/>
      <c r="C85" s="1"/>
      <c r="D85" s="1"/>
      <c r="E85" s="1"/>
      <c r="F85" s="1"/>
      <c r="G85" s="14"/>
      <c r="H85" s="23" t="s">
        <v>6</v>
      </c>
      <c r="I85" s="17">
        <f>SUM(H80:H84)</f>
        <v>241</v>
      </c>
      <c r="J85" s="28"/>
      <c r="K85" s="133">
        <f>(H80+H83+H82)*24</f>
        <v>5544</v>
      </c>
      <c r="L85" s="8"/>
      <c r="M85" s="9"/>
      <c r="O85" s="140" t="s">
        <v>144</v>
      </c>
    </row>
    <row r="86" spans="1:18" s="4" customFormat="1" x14ac:dyDescent="0.75">
      <c r="A86" s="81" t="s">
        <v>121</v>
      </c>
      <c r="B86" s="81" t="s">
        <v>121</v>
      </c>
      <c r="C86" s="163" t="s">
        <v>23</v>
      </c>
      <c r="D86" s="163" t="s">
        <v>9</v>
      </c>
      <c r="E86" s="81" t="s">
        <v>23</v>
      </c>
      <c r="F86" s="81">
        <v>0</v>
      </c>
      <c r="G86" s="82">
        <v>21</v>
      </c>
      <c r="H86" s="83">
        <f>PRODUCT(F86:G86)</f>
        <v>0</v>
      </c>
      <c r="I86" s="89"/>
      <c r="J86" s="29">
        <f>F86</f>
        <v>0</v>
      </c>
      <c r="K86" s="203" t="s">
        <v>163</v>
      </c>
      <c r="L86" s="10">
        <f>J86/10</f>
        <v>0</v>
      </c>
      <c r="M86" s="10">
        <f t="shared" ref="M86:M91" si="17">L86*5</f>
        <v>0</v>
      </c>
      <c r="N86" s="138"/>
      <c r="O86" s="30"/>
      <c r="P86" s="158">
        <v>0.03</v>
      </c>
      <c r="Q86" s="4" t="s">
        <v>149</v>
      </c>
    </row>
    <row r="87" spans="1:18" s="4" customFormat="1" x14ac:dyDescent="0.75">
      <c r="A87" s="163"/>
      <c r="B87" s="163"/>
      <c r="C87" s="163"/>
      <c r="D87" s="163"/>
      <c r="E87" s="81" t="s">
        <v>34</v>
      </c>
      <c r="F87" s="81">
        <v>0</v>
      </c>
      <c r="G87" s="82">
        <v>0.5</v>
      </c>
      <c r="H87" s="83">
        <f t="shared" ref="H87" si="18">PRODUCT(F87:G87)</f>
        <v>0</v>
      </c>
      <c r="I87" s="89"/>
      <c r="J87" s="12"/>
      <c r="K87" s="131" t="s">
        <v>145</v>
      </c>
      <c r="L87" s="8" t="s">
        <v>126</v>
      </c>
      <c r="M87" s="9" t="s">
        <v>127</v>
      </c>
      <c r="P87" s="157">
        <f>((G86)*(1+P86))</f>
        <v>21.63</v>
      </c>
      <c r="Q87" s="157" t="s">
        <v>150</v>
      </c>
    </row>
    <row r="88" spans="1:18" s="4" customFormat="1" x14ac:dyDescent="0.75">
      <c r="A88" s="81"/>
      <c r="B88" s="81"/>
      <c r="C88" s="81"/>
      <c r="D88" s="81"/>
      <c r="E88" s="81"/>
      <c r="F88" s="81"/>
      <c r="G88" s="82"/>
      <c r="H88" s="83"/>
      <c r="I88" s="89"/>
      <c r="J88" s="201" t="e">
        <f>SUM(H87)/I90</f>
        <v>#DIV/0!</v>
      </c>
      <c r="K88" s="4" t="s">
        <v>191</v>
      </c>
      <c r="L88" s="7"/>
      <c r="M88" s="137"/>
      <c r="O88" s="139">
        <f>I90*24</f>
        <v>0</v>
      </c>
    </row>
    <row r="89" spans="1:18" s="4" customFormat="1" x14ac:dyDescent="0.75">
      <c r="A89" s="81"/>
      <c r="B89" s="81"/>
      <c r="C89" s="81"/>
      <c r="D89" s="81"/>
      <c r="E89" s="81"/>
      <c r="F89" s="81"/>
      <c r="G89" s="82"/>
      <c r="H89" s="83"/>
      <c r="I89" s="89"/>
      <c r="J89" s="12"/>
      <c r="L89" s="7"/>
      <c r="M89" s="7"/>
      <c r="O89" s="9" t="s">
        <v>142</v>
      </c>
    </row>
    <row r="90" spans="1:18" s="4" customFormat="1" x14ac:dyDescent="0.75">
      <c r="A90" s="81"/>
      <c r="B90" s="81"/>
      <c r="C90" s="81"/>
      <c r="D90" s="81"/>
      <c r="E90" s="81"/>
      <c r="F90" s="81"/>
      <c r="G90" s="82"/>
      <c r="H90" s="83" t="s">
        <v>6</v>
      </c>
      <c r="I90" s="84">
        <f>SUM(H86:H89)</f>
        <v>0</v>
      </c>
      <c r="J90" s="28">
        <f>(H86)*24</f>
        <v>0</v>
      </c>
      <c r="K90" s="4" t="s">
        <v>147</v>
      </c>
      <c r="L90" s="8"/>
      <c r="M90" s="9"/>
      <c r="O90" s="140" t="s">
        <v>144</v>
      </c>
    </row>
    <row r="91" spans="1:18" s="4" customFormat="1" x14ac:dyDescent="0.75">
      <c r="A91" s="1" t="s">
        <v>158</v>
      </c>
      <c r="B91" s="1" t="s">
        <v>159</v>
      </c>
      <c r="C91" s="1" t="s">
        <v>23</v>
      </c>
      <c r="D91" s="1" t="s">
        <v>9</v>
      </c>
      <c r="E91" s="1" t="s">
        <v>31</v>
      </c>
      <c r="F91" s="1">
        <v>0</v>
      </c>
      <c r="G91" s="14">
        <v>21</v>
      </c>
      <c r="H91" s="23">
        <f>PRODUCT(F91:G91)</f>
        <v>0</v>
      </c>
      <c r="I91" s="17"/>
      <c r="J91" s="29">
        <f>F91</f>
        <v>0</v>
      </c>
      <c r="K91" s="203" t="s">
        <v>160</v>
      </c>
      <c r="L91" s="10">
        <f>J91/10</f>
        <v>0</v>
      </c>
      <c r="M91" s="10">
        <f t="shared" si="17"/>
        <v>0</v>
      </c>
      <c r="N91" s="210">
        <f>G91*1.023</f>
        <v>21.482999999999997</v>
      </c>
      <c r="O91" s="211">
        <f>N91*2080</f>
        <v>44684.639999999992</v>
      </c>
      <c r="P91" s="158">
        <v>0.03</v>
      </c>
      <c r="Q91" s="4" t="s">
        <v>149</v>
      </c>
    </row>
    <row r="92" spans="1:18" s="4" customFormat="1" x14ac:dyDescent="0.75">
      <c r="A92" s="1"/>
      <c r="B92" s="1"/>
      <c r="C92" s="1"/>
      <c r="D92" s="1"/>
      <c r="E92" s="1" t="s">
        <v>34</v>
      </c>
      <c r="F92" s="1">
        <v>0</v>
      </c>
      <c r="G92" s="14">
        <v>0.5</v>
      </c>
      <c r="H92" s="23">
        <f t="shared" ref="H92:H94" si="19">PRODUCT(F92:G92)</f>
        <v>0</v>
      </c>
      <c r="I92" s="17"/>
      <c r="J92" s="12"/>
      <c r="K92" s="131" t="s">
        <v>145</v>
      </c>
      <c r="L92" s="8" t="s">
        <v>126</v>
      </c>
      <c r="M92" s="9" t="s">
        <v>127</v>
      </c>
      <c r="P92" s="157">
        <f>(G91*1.03)</f>
        <v>21.63</v>
      </c>
      <c r="Q92" s="157" t="s">
        <v>150</v>
      </c>
    </row>
    <row r="93" spans="1:18" s="4" customFormat="1" x14ac:dyDescent="0.75">
      <c r="A93" s="1"/>
      <c r="B93" s="1"/>
      <c r="C93" s="1"/>
      <c r="D93" s="1"/>
      <c r="E93" s="1"/>
      <c r="F93" s="1">
        <v>0</v>
      </c>
      <c r="G93" s="14">
        <v>15</v>
      </c>
      <c r="H93" s="23">
        <f t="shared" si="19"/>
        <v>0</v>
      </c>
      <c r="I93" s="17"/>
      <c r="J93" s="201" t="e">
        <f>SUM(H92)/I95</f>
        <v>#DIV/0!</v>
      </c>
      <c r="K93" s="4" t="s">
        <v>191</v>
      </c>
      <c r="L93" s="7"/>
      <c r="M93" s="137"/>
      <c r="O93" s="139">
        <f>I95*24</f>
        <v>0</v>
      </c>
    </row>
    <row r="94" spans="1:18" s="4" customFormat="1" x14ac:dyDescent="0.75">
      <c r="A94" s="1"/>
      <c r="B94" s="1"/>
      <c r="C94" s="1"/>
      <c r="D94" s="1"/>
      <c r="E94" s="1"/>
      <c r="F94" s="1">
        <v>0</v>
      </c>
      <c r="G94" s="14">
        <v>0</v>
      </c>
      <c r="H94" s="23">
        <f t="shared" si="19"/>
        <v>0</v>
      </c>
      <c r="I94" s="17"/>
      <c r="J94" s="12"/>
      <c r="L94" s="7"/>
      <c r="M94" s="7"/>
      <c r="O94" s="9" t="s">
        <v>142</v>
      </c>
    </row>
    <row r="95" spans="1:18" s="4" customFormat="1" x14ac:dyDescent="0.75">
      <c r="A95" s="1"/>
      <c r="B95" s="1"/>
      <c r="C95" s="1"/>
      <c r="D95" s="1"/>
      <c r="E95" s="1"/>
      <c r="F95" s="1"/>
      <c r="G95" s="14"/>
      <c r="H95" s="23" t="s">
        <v>6</v>
      </c>
      <c r="I95" s="17">
        <f>SUM(H91:H94)</f>
        <v>0</v>
      </c>
      <c r="J95" s="28">
        <f>(H91)*24</f>
        <v>0</v>
      </c>
      <c r="K95" s="4" t="s">
        <v>147</v>
      </c>
      <c r="L95" s="8"/>
      <c r="M95" s="9"/>
      <c r="O95" s="140" t="s">
        <v>144</v>
      </c>
    </row>
    <row r="96" spans="1:18" s="4" customFormat="1" x14ac:dyDescent="0.75">
      <c r="A96" s="81" t="s">
        <v>121</v>
      </c>
      <c r="B96" s="81" t="s">
        <v>121</v>
      </c>
      <c r="C96" s="81"/>
      <c r="D96" s="81" t="s">
        <v>154</v>
      </c>
      <c r="E96" s="81" t="s">
        <v>24</v>
      </c>
      <c r="F96" s="81">
        <v>0</v>
      </c>
      <c r="G96" s="82">
        <v>11.54</v>
      </c>
      <c r="H96" s="83">
        <f>PRODUCT(F96:G96)</f>
        <v>0</v>
      </c>
      <c r="I96" s="84"/>
      <c r="J96" s="173">
        <f>H96*24</f>
        <v>0</v>
      </c>
      <c r="K96" s="119"/>
      <c r="L96" s="120">
        <f>J96/10</f>
        <v>0</v>
      </c>
      <c r="M96" s="120">
        <f>L96*5</f>
        <v>0</v>
      </c>
      <c r="N96" s="138"/>
      <c r="O96" s="30" t="s">
        <v>168</v>
      </c>
    </row>
    <row r="97" spans="1:16" s="4" customFormat="1" x14ac:dyDescent="0.75">
      <c r="A97" s="81"/>
      <c r="B97" s="81"/>
      <c r="C97" s="81"/>
      <c r="D97" s="81"/>
      <c r="E97" s="81" t="s">
        <v>161</v>
      </c>
      <c r="F97" s="81">
        <v>0</v>
      </c>
      <c r="G97" s="82">
        <v>0.51</v>
      </c>
      <c r="H97" s="83">
        <f t="shared" ref="H97:H98" si="20">PRODUCT(F97:G97)</f>
        <v>0</v>
      </c>
      <c r="I97" s="84"/>
      <c r="J97" s="107"/>
      <c r="K97" s="106"/>
      <c r="L97" s="8" t="s">
        <v>126</v>
      </c>
      <c r="M97" s="9" t="s">
        <v>127</v>
      </c>
    </row>
    <row r="98" spans="1:16" s="4" customFormat="1" x14ac:dyDescent="0.75">
      <c r="A98" s="81"/>
      <c r="B98" s="81"/>
      <c r="C98" s="85" t="s">
        <v>156</v>
      </c>
      <c r="D98" s="81"/>
      <c r="E98" s="81" t="s">
        <v>54</v>
      </c>
      <c r="F98" s="81">
        <v>0</v>
      </c>
      <c r="G98" s="82">
        <v>0</v>
      </c>
      <c r="H98" s="83">
        <f t="shared" si="20"/>
        <v>0</v>
      </c>
      <c r="I98" s="84"/>
      <c r="J98" s="107"/>
      <c r="K98" s="106"/>
      <c r="L98" s="108"/>
      <c r="M98" s="108"/>
    </row>
    <row r="99" spans="1:16" s="4" customFormat="1" x14ac:dyDescent="0.75">
      <c r="A99" s="81"/>
      <c r="B99" s="81"/>
      <c r="C99" s="81"/>
      <c r="D99" s="81"/>
      <c r="E99" s="81"/>
      <c r="F99" s="81"/>
      <c r="G99" s="82"/>
      <c r="H99" s="83"/>
      <c r="I99" s="84">
        <f>SUM(H96:H98)</f>
        <v>0</v>
      </c>
      <c r="J99" s="107">
        <f>(H96+H97)*24</f>
        <v>0</v>
      </c>
      <c r="K99" s="4" t="s">
        <v>147</v>
      </c>
      <c r="L99" s="135"/>
      <c r="M99" s="136"/>
      <c r="N99" s="35"/>
    </row>
    <row r="100" spans="1:16" s="4" customFormat="1" x14ac:dyDescent="0.75">
      <c r="A100" s="1" t="s">
        <v>121</v>
      </c>
      <c r="B100" s="1" t="s">
        <v>121</v>
      </c>
      <c r="C100" s="1" t="s">
        <v>23</v>
      </c>
      <c r="D100" s="1" t="s">
        <v>9</v>
      </c>
      <c r="E100" s="1" t="s">
        <v>23</v>
      </c>
      <c r="F100" s="1">
        <v>0</v>
      </c>
      <c r="G100" s="14">
        <v>18</v>
      </c>
      <c r="H100" s="23">
        <f>PRODUCT(F100:G100)</f>
        <v>0</v>
      </c>
      <c r="I100" s="19"/>
      <c r="J100" s="29">
        <f>F100</f>
        <v>0</v>
      </c>
      <c r="K100" s="30" t="s">
        <v>121</v>
      </c>
      <c r="L100" s="10">
        <f>J100/10</f>
        <v>0</v>
      </c>
      <c r="M100" s="10">
        <f t="shared" ref="M100" si="21">L100*5</f>
        <v>0</v>
      </c>
      <c r="N100" s="141"/>
      <c r="O100" s="30"/>
    </row>
    <row r="101" spans="1:16" s="4" customFormat="1" x14ac:dyDescent="0.75">
      <c r="A101" s="1"/>
      <c r="B101" s="1"/>
      <c r="C101" s="1"/>
      <c r="D101" s="1"/>
      <c r="E101" s="1" t="s">
        <v>34</v>
      </c>
      <c r="F101" s="1">
        <v>0</v>
      </c>
      <c r="G101" s="14">
        <v>0.5</v>
      </c>
      <c r="H101" s="23">
        <f t="shared" ref="H101" si="22">PRODUCT(F101:G101)</f>
        <v>0</v>
      </c>
      <c r="I101" s="19"/>
      <c r="J101" s="28"/>
      <c r="L101" s="8" t="s">
        <v>126</v>
      </c>
      <c r="M101" s="9" t="s">
        <v>127</v>
      </c>
      <c r="N101" s="35"/>
    </row>
    <row r="102" spans="1:16" s="4" customFormat="1" x14ac:dyDescent="0.75">
      <c r="A102" s="1"/>
      <c r="B102" s="1"/>
      <c r="C102" s="1"/>
      <c r="D102" s="1"/>
      <c r="E102" s="1"/>
      <c r="F102" s="1"/>
      <c r="G102" s="14"/>
      <c r="H102" s="23"/>
      <c r="I102" s="19"/>
      <c r="J102" s="28"/>
      <c r="L102" s="7"/>
      <c r="N102" s="35"/>
    </row>
    <row r="103" spans="1:16" s="4" customFormat="1" x14ac:dyDescent="0.75">
      <c r="A103" s="1"/>
      <c r="B103" s="1"/>
      <c r="C103" s="1"/>
      <c r="D103" s="1"/>
      <c r="E103" s="1"/>
      <c r="F103" s="1"/>
      <c r="G103" s="14"/>
      <c r="H103" s="23" t="s">
        <v>6</v>
      </c>
      <c r="I103" s="17">
        <f>SUM(H100:H102)</f>
        <v>0</v>
      </c>
      <c r="J103" s="28">
        <f>H100*24</f>
        <v>0</v>
      </c>
      <c r="K103" s="4" t="s">
        <v>44</v>
      </c>
      <c r="L103" s="8"/>
      <c r="M103" s="9"/>
      <c r="N103" s="35"/>
    </row>
    <row r="104" spans="1:16" s="4" customFormat="1" x14ac:dyDescent="0.75">
      <c r="A104" s="81" t="s">
        <v>61</v>
      </c>
      <c r="B104" s="81" t="s">
        <v>62</v>
      </c>
      <c r="C104" s="81" t="s">
        <v>60</v>
      </c>
      <c r="D104" s="81" t="s">
        <v>10</v>
      </c>
      <c r="E104" s="81" t="s">
        <v>31</v>
      </c>
      <c r="F104" s="81"/>
      <c r="G104" s="82"/>
      <c r="H104" s="83"/>
      <c r="I104" s="84"/>
      <c r="J104" s="109">
        <f>F106+F107+F108</f>
        <v>7</v>
      </c>
      <c r="K104" s="204" t="s">
        <v>96</v>
      </c>
      <c r="L104" s="105">
        <f>J104/10</f>
        <v>0.7</v>
      </c>
      <c r="M104" s="105">
        <f>L104*5</f>
        <v>3.5</v>
      </c>
      <c r="N104" s="210">
        <f>G106*1.023</f>
        <v>76.724999999999994</v>
      </c>
      <c r="O104" s="211">
        <f>N104*2080</f>
        <v>159588</v>
      </c>
      <c r="P104" s="30"/>
    </row>
    <row r="105" spans="1:16" s="4" customFormat="1" x14ac:dyDescent="0.75">
      <c r="A105" s="81"/>
      <c r="B105" s="81"/>
      <c r="C105" s="81" t="s">
        <v>98</v>
      </c>
      <c r="D105" s="81"/>
      <c r="E105" s="81" t="s">
        <v>33</v>
      </c>
      <c r="F105" s="81">
        <v>112</v>
      </c>
      <c r="G105" s="82">
        <v>3</v>
      </c>
      <c r="H105" s="83">
        <f t="shared" ref="H105:H107" si="23">PRODUCT(F105:G105)</f>
        <v>336</v>
      </c>
      <c r="I105" s="84"/>
      <c r="J105" s="107"/>
      <c r="K105" s="131" t="s">
        <v>145</v>
      </c>
      <c r="L105" s="8" t="s">
        <v>126</v>
      </c>
      <c r="M105" s="9" t="s">
        <v>127</v>
      </c>
      <c r="N105" s="106"/>
      <c r="O105" s="106"/>
    </row>
    <row r="106" spans="1:16" s="4" customFormat="1" x14ac:dyDescent="0.75">
      <c r="A106" s="81"/>
      <c r="B106" s="81"/>
      <c r="C106" s="81"/>
      <c r="D106" s="81"/>
      <c r="E106" s="81" t="s">
        <v>47</v>
      </c>
      <c r="F106" s="81">
        <v>7</v>
      </c>
      <c r="G106" s="82">
        <v>75</v>
      </c>
      <c r="H106" s="83">
        <f t="shared" si="23"/>
        <v>525</v>
      </c>
      <c r="I106" s="84"/>
      <c r="J106" s="205">
        <f>SUM(H109)/I112</f>
        <v>6.8181818181818177E-2</v>
      </c>
      <c r="K106" s="106" t="s">
        <v>191</v>
      </c>
      <c r="L106" s="108"/>
      <c r="M106" s="106"/>
      <c r="N106" s="110">
        <f>F105</f>
        <v>112</v>
      </c>
      <c r="O106" s="110" t="s">
        <v>64</v>
      </c>
    </row>
    <row r="107" spans="1:16" s="4" customFormat="1" x14ac:dyDescent="0.75">
      <c r="A107" s="81"/>
      <c r="B107" s="81"/>
      <c r="C107" s="81"/>
      <c r="D107" s="81"/>
      <c r="E107" s="81" t="s">
        <v>48</v>
      </c>
      <c r="F107" s="81">
        <v>0</v>
      </c>
      <c r="G107" s="82">
        <v>100</v>
      </c>
      <c r="H107" s="83">
        <f t="shared" si="23"/>
        <v>0</v>
      </c>
      <c r="I107" s="84"/>
      <c r="J107" s="107"/>
      <c r="K107" s="106"/>
      <c r="L107" s="108"/>
      <c r="M107" s="108"/>
      <c r="N107" s="110">
        <f>SUM(F106:F107)</f>
        <v>7</v>
      </c>
      <c r="O107" s="110" t="s">
        <v>65</v>
      </c>
    </row>
    <row r="108" spans="1:16" s="4" customFormat="1" x14ac:dyDescent="0.75">
      <c r="A108" s="81"/>
      <c r="B108" s="81"/>
      <c r="C108" s="81"/>
      <c r="D108" s="81"/>
      <c r="E108" s="81" t="s">
        <v>138</v>
      </c>
      <c r="F108" s="81">
        <v>0</v>
      </c>
      <c r="G108" s="82">
        <v>65</v>
      </c>
      <c r="H108" s="83">
        <f>PRODUCT(F108:G108)</f>
        <v>0</v>
      </c>
      <c r="I108" s="84"/>
      <c r="J108" s="107"/>
      <c r="K108" s="106"/>
      <c r="L108" s="108"/>
      <c r="M108" s="106"/>
      <c r="N108" s="106">
        <f>F108</f>
        <v>0</v>
      </c>
      <c r="O108" s="106" t="s">
        <v>139</v>
      </c>
    </row>
    <row r="109" spans="1:16" s="4" customFormat="1" x14ac:dyDescent="0.75">
      <c r="A109" s="81"/>
      <c r="B109" s="81"/>
      <c r="C109" s="81"/>
      <c r="D109" s="81"/>
      <c r="E109" s="81" t="s">
        <v>34</v>
      </c>
      <c r="F109" s="81">
        <v>126</v>
      </c>
      <c r="G109" s="82">
        <v>0.5</v>
      </c>
      <c r="H109" s="83">
        <f>PRODUCT(F109:G109)</f>
        <v>63</v>
      </c>
      <c r="I109" s="84"/>
      <c r="J109" s="107"/>
      <c r="K109" s="106"/>
      <c r="L109" s="108"/>
      <c r="M109" s="106"/>
      <c r="N109" s="106"/>
      <c r="O109" s="144">
        <f>((N108*G108)*24)</f>
        <v>0</v>
      </c>
      <c r="P109" s="4" t="s">
        <v>146</v>
      </c>
    </row>
    <row r="110" spans="1:16" s="4" customFormat="1" x14ac:dyDescent="0.75">
      <c r="A110" s="81"/>
      <c r="B110" s="81"/>
      <c r="C110" s="85" t="s">
        <v>156</v>
      </c>
      <c r="D110" s="81"/>
      <c r="E110" s="81" t="s">
        <v>54</v>
      </c>
      <c r="F110" s="81">
        <v>0</v>
      </c>
      <c r="G110" s="82">
        <v>0</v>
      </c>
      <c r="H110" s="83">
        <f>PRODUCT(F110:G110)</f>
        <v>0</v>
      </c>
      <c r="I110" s="84" t="s">
        <v>210</v>
      </c>
      <c r="J110" s="107"/>
      <c r="K110" s="106"/>
      <c r="L110" s="108"/>
      <c r="M110" s="106"/>
      <c r="N110" s="106"/>
      <c r="O110" s="139">
        <f>I112*24</f>
        <v>22176</v>
      </c>
    </row>
    <row r="111" spans="1:16" s="4" customFormat="1" x14ac:dyDescent="0.75">
      <c r="A111" s="81"/>
      <c r="B111" s="81"/>
      <c r="C111" s="81"/>
      <c r="D111" s="81"/>
      <c r="E111" s="81"/>
      <c r="F111" s="81"/>
      <c r="G111" s="82"/>
      <c r="H111" s="83"/>
      <c r="I111" s="84"/>
      <c r="J111" s="107"/>
      <c r="K111" s="106"/>
      <c r="L111" s="108"/>
      <c r="M111" s="106"/>
      <c r="N111" s="106"/>
      <c r="O111" s="9" t="s">
        <v>142</v>
      </c>
    </row>
    <row r="112" spans="1:16" s="4" customFormat="1" x14ac:dyDescent="0.75">
      <c r="A112" s="81"/>
      <c r="B112" s="81"/>
      <c r="C112" s="81"/>
      <c r="D112" s="81"/>
      <c r="E112" s="81"/>
      <c r="F112" s="81"/>
      <c r="G112" s="82"/>
      <c r="H112" s="83" t="s">
        <v>6</v>
      </c>
      <c r="I112" s="84">
        <f>SUM(H104:H110)</f>
        <v>924</v>
      </c>
      <c r="J112" s="111">
        <f>(H105+H106+H107+H108)*24</f>
        <v>20664</v>
      </c>
      <c r="K112" s="4" t="s">
        <v>147</v>
      </c>
      <c r="L112" s="8"/>
      <c r="M112" s="9"/>
      <c r="N112" s="112"/>
      <c r="O112" s="140" t="s">
        <v>144</v>
      </c>
    </row>
    <row r="113" spans="1:16" s="4" customFormat="1" x14ac:dyDescent="0.75">
      <c r="A113" s="1" t="s">
        <v>57</v>
      </c>
      <c r="B113" s="1" t="s">
        <v>58</v>
      </c>
      <c r="C113" s="1" t="s">
        <v>60</v>
      </c>
      <c r="D113" s="1" t="s">
        <v>10</v>
      </c>
      <c r="E113" s="1" t="s">
        <v>31</v>
      </c>
      <c r="F113" s="1"/>
      <c r="G113" s="14"/>
      <c r="H113" s="25"/>
      <c r="I113" s="19"/>
      <c r="J113" s="29">
        <f>F115+F116+F117</f>
        <v>5</v>
      </c>
      <c r="K113" s="203" t="s">
        <v>94</v>
      </c>
      <c r="L113" s="105">
        <f>J113/10</f>
        <v>0.5</v>
      </c>
      <c r="M113" s="105">
        <f t="shared" ref="M113" si="24">L113*5</f>
        <v>2.5</v>
      </c>
      <c r="N113" s="142"/>
      <c r="O113" s="143"/>
    </row>
    <row r="114" spans="1:16" s="4" customFormat="1" x14ac:dyDescent="0.75">
      <c r="A114" s="1"/>
      <c r="B114" s="1"/>
      <c r="C114" s="1" t="s">
        <v>98</v>
      </c>
      <c r="D114" s="1"/>
      <c r="E114" s="1" t="s">
        <v>33</v>
      </c>
      <c r="F114" s="1">
        <v>128</v>
      </c>
      <c r="G114" s="14">
        <v>3</v>
      </c>
      <c r="H114" s="23">
        <f t="shared" ref="H114:H116" si="25">PRODUCT(F114:G114)</f>
        <v>384</v>
      </c>
      <c r="I114" s="19"/>
      <c r="J114" s="11"/>
      <c r="K114" s="131" t="s">
        <v>145</v>
      </c>
      <c r="L114" s="8" t="s">
        <v>126</v>
      </c>
      <c r="M114" s="9" t="s">
        <v>127</v>
      </c>
      <c r="N114" s="68">
        <f>F114</f>
        <v>128</v>
      </c>
      <c r="O114" s="68" t="s">
        <v>64</v>
      </c>
    </row>
    <row r="115" spans="1:16" s="4" customFormat="1" x14ac:dyDescent="0.75">
      <c r="A115" s="1"/>
      <c r="B115" s="1"/>
      <c r="C115" s="1"/>
      <c r="D115" s="1"/>
      <c r="E115" s="1" t="s">
        <v>47</v>
      </c>
      <c r="F115" s="1">
        <v>5</v>
      </c>
      <c r="G115" s="14">
        <v>75</v>
      </c>
      <c r="H115" s="23">
        <f t="shared" si="25"/>
        <v>375</v>
      </c>
      <c r="I115" s="19"/>
      <c r="J115" s="201">
        <f>SUM(H118)/I121</f>
        <v>1.683937823834197E-2</v>
      </c>
      <c r="K115" s="4" t="s">
        <v>191</v>
      </c>
      <c r="M115" s="45"/>
      <c r="N115" s="68">
        <f>SUM(F115:F116)</f>
        <v>5</v>
      </c>
      <c r="O115" s="68" t="s">
        <v>65</v>
      </c>
    </row>
    <row r="116" spans="1:16" s="4" customFormat="1" x14ac:dyDescent="0.75">
      <c r="A116" s="1"/>
      <c r="B116" s="1"/>
      <c r="C116" s="1"/>
      <c r="D116" s="1"/>
      <c r="E116" s="1" t="s">
        <v>48</v>
      </c>
      <c r="F116" s="1">
        <v>0</v>
      </c>
      <c r="G116" s="14">
        <v>100</v>
      </c>
      <c r="H116" s="23">
        <f t="shared" si="25"/>
        <v>0</v>
      </c>
      <c r="I116" s="19"/>
      <c r="J116" s="11"/>
      <c r="M116" s="45"/>
      <c r="N116" s="106">
        <f>F117</f>
        <v>0</v>
      </c>
      <c r="O116" s="106" t="s">
        <v>139</v>
      </c>
      <c r="P116" s="46"/>
    </row>
    <row r="117" spans="1:16" s="4" customFormat="1" x14ac:dyDescent="0.75">
      <c r="A117" s="1"/>
      <c r="B117" s="1"/>
      <c r="C117" s="1"/>
      <c r="D117" s="1"/>
      <c r="E117" s="1" t="s">
        <v>138</v>
      </c>
      <c r="F117" s="1">
        <v>0</v>
      </c>
      <c r="G117" s="14">
        <v>65</v>
      </c>
      <c r="H117" s="23">
        <f>PRODUCT(F117:G117)</f>
        <v>0</v>
      </c>
      <c r="I117" s="19"/>
      <c r="J117" s="11"/>
      <c r="M117" s="216"/>
      <c r="N117" s="216"/>
      <c r="O117" s="144">
        <f>((N116*G117)*24)</f>
        <v>0</v>
      </c>
      <c r="P117" s="4" t="s">
        <v>146</v>
      </c>
    </row>
    <row r="118" spans="1:16" s="4" customFormat="1" x14ac:dyDescent="0.75">
      <c r="A118" s="1"/>
      <c r="B118" s="1"/>
      <c r="C118" s="1"/>
      <c r="D118" s="1"/>
      <c r="E118" s="1" t="s">
        <v>34</v>
      </c>
      <c r="F118" s="1">
        <v>26</v>
      </c>
      <c r="G118" s="14">
        <v>0.5</v>
      </c>
      <c r="H118" s="23">
        <f>PRODUCT(F118:G118)</f>
        <v>13</v>
      </c>
      <c r="I118" s="19"/>
      <c r="J118" s="11"/>
      <c r="M118" s="128"/>
      <c r="N118" s="128"/>
      <c r="O118" s="139">
        <f>I121*24</f>
        <v>18528</v>
      </c>
      <c r="P118" s="128"/>
    </row>
    <row r="119" spans="1:16" s="4" customFormat="1" x14ac:dyDescent="0.75">
      <c r="A119" s="1"/>
      <c r="B119" s="1"/>
      <c r="C119" s="1"/>
      <c r="D119" s="1"/>
      <c r="E119" s="1" t="s">
        <v>49</v>
      </c>
      <c r="F119" s="1">
        <v>0</v>
      </c>
      <c r="G119" s="14">
        <v>0</v>
      </c>
      <c r="H119" s="23">
        <f>PRODUCT(F119:G119)</f>
        <v>0</v>
      </c>
      <c r="I119" s="19"/>
      <c r="J119" s="11"/>
      <c r="O119" s="9" t="s">
        <v>142</v>
      </c>
    </row>
    <row r="120" spans="1:16" s="4" customFormat="1" x14ac:dyDescent="0.75">
      <c r="A120" s="1"/>
      <c r="B120" s="1"/>
      <c r="C120" s="1" t="s">
        <v>157</v>
      </c>
      <c r="D120" s="1"/>
      <c r="E120" s="1" t="s">
        <v>54</v>
      </c>
      <c r="F120" s="1">
        <v>0</v>
      </c>
      <c r="G120" s="14">
        <v>0</v>
      </c>
      <c r="H120" s="23">
        <f>PRODUCT(F120:G120)</f>
        <v>0</v>
      </c>
      <c r="I120" s="19"/>
      <c r="J120" s="11"/>
      <c r="O120" s="9"/>
    </row>
    <row r="121" spans="1:16" s="4" customFormat="1" x14ac:dyDescent="0.75">
      <c r="A121" s="1"/>
      <c r="B121" s="1"/>
      <c r="C121" s="1"/>
      <c r="D121" s="1"/>
      <c r="E121" s="1"/>
      <c r="F121" s="1"/>
      <c r="G121" s="14"/>
      <c r="H121" s="23" t="s">
        <v>6</v>
      </c>
      <c r="I121" s="17">
        <f>SUM(H114:H119)</f>
        <v>772</v>
      </c>
      <c r="J121" s="28">
        <f>SUM(H114,H115,H116,H117)*24</f>
        <v>18216</v>
      </c>
      <c r="K121" s="4" t="s">
        <v>147</v>
      </c>
      <c r="L121" s="8"/>
      <c r="M121" s="9"/>
      <c r="O121" s="140" t="s">
        <v>144</v>
      </c>
    </row>
    <row r="122" spans="1:16" s="4" customFormat="1" x14ac:dyDescent="0.75">
      <c r="A122" s="2" t="s">
        <v>194</v>
      </c>
      <c r="B122" s="2" t="s">
        <v>195</v>
      </c>
      <c r="C122" s="2" t="s">
        <v>22</v>
      </c>
      <c r="D122" s="2" t="s">
        <v>196</v>
      </c>
      <c r="E122" s="2" t="s">
        <v>24</v>
      </c>
      <c r="F122" s="2">
        <v>86.67</v>
      </c>
      <c r="G122" s="15">
        <v>52.92</v>
      </c>
      <c r="H122" s="24">
        <f>PRODUCT(F122:G122)</f>
        <v>4586.5763999999999</v>
      </c>
      <c r="I122" s="18"/>
      <c r="J122" s="31">
        <f>(F122*G122)*24</f>
        <v>110077.8336</v>
      </c>
      <c r="K122" s="30" t="s">
        <v>44</v>
      </c>
      <c r="L122" s="10">
        <f>F123/10</f>
        <v>0.05</v>
      </c>
      <c r="M122" s="105">
        <f t="shared" ref="M122" si="26">L122*5</f>
        <v>0.25</v>
      </c>
      <c r="N122" s="138"/>
      <c r="O122" s="30"/>
    </row>
    <row r="123" spans="1:16" s="4" customFormat="1" x14ac:dyDescent="0.75">
      <c r="A123" s="2"/>
      <c r="B123" s="2"/>
      <c r="C123" s="2"/>
      <c r="D123" s="2"/>
      <c r="E123" s="2" t="s">
        <v>28</v>
      </c>
      <c r="F123" s="2">
        <v>0.5</v>
      </c>
      <c r="G123" s="15">
        <v>400</v>
      </c>
      <c r="H123" s="24">
        <f t="shared" ref="H123:H128" si="27">PRODUCT(F123:G123)</f>
        <v>200</v>
      </c>
      <c r="I123" s="18"/>
      <c r="J123" s="201">
        <f>SUM(H123:H124)/I129</f>
        <v>4.676222121298957E-2</v>
      </c>
      <c r="K123" s="4" t="s">
        <v>191</v>
      </c>
      <c r="L123" s="8" t="s">
        <v>126</v>
      </c>
      <c r="M123" s="9" t="s">
        <v>127</v>
      </c>
    </row>
    <row r="124" spans="1:16" s="4" customFormat="1" x14ac:dyDescent="0.75">
      <c r="A124" s="2"/>
      <c r="B124" s="2"/>
      <c r="C124" s="2"/>
      <c r="D124" s="2"/>
      <c r="E124" s="2" t="s">
        <v>29</v>
      </c>
      <c r="F124" s="2">
        <v>0.5</v>
      </c>
      <c r="G124" s="15">
        <v>50</v>
      </c>
      <c r="H124" s="24">
        <f t="shared" si="27"/>
        <v>25</v>
      </c>
      <c r="I124" s="18"/>
      <c r="J124" s="11"/>
      <c r="N124" s="68"/>
      <c r="O124" s="68" t="s">
        <v>64</v>
      </c>
    </row>
    <row r="125" spans="1:16" s="4" customFormat="1" x14ac:dyDescent="0.75">
      <c r="A125" s="2"/>
      <c r="B125" s="2"/>
      <c r="C125" s="2"/>
      <c r="D125" s="2"/>
      <c r="E125" s="2" t="s">
        <v>199</v>
      </c>
      <c r="F125" s="2">
        <v>0</v>
      </c>
      <c r="G125" s="15">
        <v>0</v>
      </c>
      <c r="H125" s="24">
        <f t="shared" si="27"/>
        <v>0</v>
      </c>
      <c r="I125" s="18"/>
      <c r="J125" s="11"/>
      <c r="K125" s="198" t="s">
        <v>197</v>
      </c>
      <c r="N125" s="68"/>
      <c r="O125" s="68" t="s">
        <v>65</v>
      </c>
    </row>
    <row r="126" spans="1:16" s="4" customFormat="1" x14ac:dyDescent="0.75">
      <c r="A126" s="2"/>
      <c r="B126" s="2"/>
      <c r="C126" s="2"/>
      <c r="D126" s="2"/>
      <c r="E126" s="2" t="s">
        <v>198</v>
      </c>
      <c r="F126" s="2">
        <v>0</v>
      </c>
      <c r="G126" s="15">
        <v>0</v>
      </c>
      <c r="H126" s="24">
        <f t="shared" si="27"/>
        <v>0</v>
      </c>
      <c r="I126" s="18"/>
      <c r="J126" s="11"/>
      <c r="K126" s="209"/>
    </row>
    <row r="127" spans="1:16" s="4" customFormat="1" x14ac:dyDescent="0.75">
      <c r="A127" s="2"/>
      <c r="B127" s="2"/>
      <c r="C127" s="2"/>
      <c r="D127" s="2"/>
      <c r="E127" s="2" t="s">
        <v>101</v>
      </c>
      <c r="F127" s="2">
        <v>0</v>
      </c>
      <c r="G127" s="15">
        <v>0</v>
      </c>
      <c r="H127" s="24">
        <f t="shared" si="27"/>
        <v>0</v>
      </c>
      <c r="I127" s="18"/>
      <c r="J127" s="11"/>
      <c r="L127" s="95"/>
    </row>
    <row r="128" spans="1:16" s="4" customFormat="1" x14ac:dyDescent="0.75">
      <c r="A128" s="2"/>
      <c r="B128" s="2"/>
      <c r="C128" s="42" t="s">
        <v>156</v>
      </c>
      <c r="D128" s="2"/>
      <c r="E128" s="2" t="s">
        <v>54</v>
      </c>
      <c r="F128" s="2">
        <v>0</v>
      </c>
      <c r="G128" s="15">
        <v>0</v>
      </c>
      <c r="H128" s="24">
        <f t="shared" si="27"/>
        <v>0</v>
      </c>
      <c r="I128" s="18"/>
      <c r="J128" s="12"/>
    </row>
    <row r="129" spans="1:15" s="4" customFormat="1" x14ac:dyDescent="0.75">
      <c r="A129" s="2"/>
      <c r="B129" s="2"/>
      <c r="C129" s="2"/>
      <c r="D129" s="2"/>
      <c r="E129" s="2"/>
      <c r="F129" s="2"/>
      <c r="G129" s="15"/>
      <c r="H129" s="24" t="s">
        <v>6</v>
      </c>
      <c r="I129" s="18">
        <f>SUM(H122:H128)</f>
        <v>4811.5763999999999</v>
      </c>
      <c r="J129" s="28">
        <f>(H123+H125+H127)*24</f>
        <v>4800</v>
      </c>
      <c r="K129" s="4" t="s">
        <v>44</v>
      </c>
    </row>
    <row r="130" spans="1:15" s="4" customFormat="1" x14ac:dyDescent="0.75">
      <c r="A130" s="1" t="s">
        <v>121</v>
      </c>
      <c r="B130" s="1" t="s">
        <v>121</v>
      </c>
      <c r="C130" s="1" t="s">
        <v>8</v>
      </c>
      <c r="D130" s="1"/>
      <c r="E130" s="1" t="s">
        <v>24</v>
      </c>
      <c r="F130" s="1">
        <v>0</v>
      </c>
      <c r="G130" s="14">
        <v>0</v>
      </c>
      <c r="H130" s="23">
        <f>PRODUCT(F130:G130)</f>
        <v>0</v>
      </c>
      <c r="I130" s="17"/>
      <c r="J130" s="29">
        <f>H130*24</f>
        <v>0</v>
      </c>
      <c r="K130" s="30" t="s">
        <v>121</v>
      </c>
      <c r="L130" s="48"/>
      <c r="M130" s="30"/>
      <c r="N130" s="30"/>
      <c r="O130" s="30"/>
    </row>
    <row r="131" spans="1:15" s="4" customFormat="1" x14ac:dyDescent="0.75">
      <c r="A131" s="1"/>
      <c r="B131" s="1"/>
      <c r="C131" s="1"/>
      <c r="D131" s="1"/>
      <c r="E131" s="1" t="s">
        <v>29</v>
      </c>
      <c r="F131" s="1">
        <v>0</v>
      </c>
      <c r="G131" s="14">
        <v>0</v>
      </c>
      <c r="H131" s="23">
        <f t="shared" ref="H131" si="28">PRODUCT(F131:G131)</f>
        <v>0</v>
      </c>
      <c r="I131" s="17"/>
      <c r="J131" s="12"/>
      <c r="L131" s="7"/>
    </row>
    <row r="132" spans="1:15" s="4" customFormat="1" x14ac:dyDescent="0.75">
      <c r="A132" s="1"/>
      <c r="B132" s="1"/>
      <c r="C132" s="1"/>
      <c r="D132" s="1"/>
      <c r="E132" s="1"/>
      <c r="F132" s="1">
        <v>0</v>
      </c>
      <c r="G132" s="14">
        <v>0</v>
      </c>
      <c r="H132" s="23">
        <f>PRODUCT(F132:G132)</f>
        <v>0</v>
      </c>
      <c r="I132" s="17"/>
      <c r="J132" s="12"/>
      <c r="L132" s="7"/>
    </row>
    <row r="133" spans="1:15" s="4" customFormat="1" x14ac:dyDescent="0.75">
      <c r="A133" s="1"/>
      <c r="B133" s="1"/>
      <c r="C133" s="1"/>
      <c r="D133" s="1"/>
      <c r="E133" s="1"/>
      <c r="F133" s="1"/>
      <c r="G133" s="14"/>
      <c r="H133" s="23" t="s">
        <v>6</v>
      </c>
      <c r="I133" s="17">
        <f>SUM(H130:H132)</f>
        <v>0</v>
      </c>
      <c r="J133" s="28">
        <f>SUM(H130,H131,H132)*24</f>
        <v>0</v>
      </c>
      <c r="K133" s="4" t="s">
        <v>44</v>
      </c>
      <c r="L133" s="7"/>
    </row>
    <row r="134" spans="1:15" s="4" customFormat="1" x14ac:dyDescent="0.75">
      <c r="A134" s="2" t="s">
        <v>19</v>
      </c>
      <c r="B134" s="2" t="s">
        <v>20</v>
      </c>
      <c r="C134" s="2" t="s">
        <v>8</v>
      </c>
      <c r="D134" s="2" t="s">
        <v>26</v>
      </c>
      <c r="E134" s="2" t="s">
        <v>31</v>
      </c>
      <c r="F134" s="2">
        <v>5</v>
      </c>
      <c r="G134" s="15">
        <v>75</v>
      </c>
      <c r="H134" s="24">
        <f>PRODUCT(F134:G134)</f>
        <v>375</v>
      </c>
      <c r="I134" s="20"/>
      <c r="J134" s="29">
        <f>F134</f>
        <v>5</v>
      </c>
      <c r="K134" s="206" t="s">
        <v>45</v>
      </c>
      <c r="L134" s="30"/>
      <c r="M134" s="30"/>
      <c r="N134" s="30"/>
      <c r="O134" s="30"/>
    </row>
    <row r="135" spans="1:15" s="4" customFormat="1" x14ac:dyDescent="0.75">
      <c r="A135" s="2"/>
      <c r="B135" s="2"/>
      <c r="C135" s="2"/>
      <c r="D135" s="2"/>
      <c r="E135" s="2" t="s">
        <v>40</v>
      </c>
      <c r="F135" s="2">
        <v>0</v>
      </c>
      <c r="G135" s="15">
        <v>25</v>
      </c>
      <c r="H135" s="24">
        <f t="shared" ref="H135:H137" si="29">PRODUCT(F135:G135)</f>
        <v>0</v>
      </c>
      <c r="I135" s="20"/>
      <c r="J135" s="12"/>
      <c r="K135" s="131" t="s">
        <v>145</v>
      </c>
    </row>
    <row r="136" spans="1:15" s="4" customFormat="1" x14ac:dyDescent="0.75">
      <c r="A136" s="2"/>
      <c r="B136" s="2"/>
      <c r="C136" s="2"/>
      <c r="D136" s="2"/>
      <c r="E136" s="2" t="s">
        <v>131</v>
      </c>
      <c r="F136" s="2">
        <v>0</v>
      </c>
      <c r="G136" s="15">
        <v>25</v>
      </c>
      <c r="H136" s="24">
        <f t="shared" si="29"/>
        <v>0</v>
      </c>
      <c r="I136" s="20"/>
      <c r="J136" s="12"/>
      <c r="O136" s="139">
        <f>I138*24</f>
        <v>9000</v>
      </c>
    </row>
    <row r="137" spans="1:15" s="4" customFormat="1" x14ac:dyDescent="0.75">
      <c r="A137" s="2"/>
      <c r="B137" s="2"/>
      <c r="C137" s="2"/>
      <c r="D137" s="2"/>
      <c r="E137" s="2" t="s">
        <v>42</v>
      </c>
      <c r="F137" s="2">
        <v>0</v>
      </c>
      <c r="G137" s="15">
        <v>37.5</v>
      </c>
      <c r="H137" s="24">
        <f t="shared" si="29"/>
        <v>0</v>
      </c>
      <c r="I137" s="20"/>
      <c r="J137" s="12"/>
      <c r="O137" s="9" t="s">
        <v>142</v>
      </c>
    </row>
    <row r="138" spans="1:15" s="4" customFormat="1" x14ac:dyDescent="0.75">
      <c r="A138" s="2"/>
      <c r="B138" s="2"/>
      <c r="C138" s="2"/>
      <c r="D138" s="2"/>
      <c r="E138" s="2"/>
      <c r="F138" s="2"/>
      <c r="G138" s="15"/>
      <c r="H138" s="24" t="s">
        <v>6</v>
      </c>
      <c r="I138" s="18">
        <f>SUM(H134:H137)</f>
        <v>375</v>
      </c>
      <c r="J138" s="28">
        <f>(H134+H135+H136)*24</f>
        <v>9000</v>
      </c>
      <c r="K138" s="4" t="s">
        <v>147</v>
      </c>
      <c r="O138" s="140" t="s">
        <v>144</v>
      </c>
    </row>
    <row r="139" spans="1:15" s="4" customFormat="1" x14ac:dyDescent="0.75">
      <c r="A139" s="1" t="s">
        <v>18</v>
      </c>
      <c r="B139" s="1" t="s">
        <v>21</v>
      </c>
      <c r="C139" s="1" t="s">
        <v>8</v>
      </c>
      <c r="D139" s="1" t="s">
        <v>26</v>
      </c>
      <c r="E139" s="1" t="s">
        <v>31</v>
      </c>
      <c r="F139" s="1">
        <v>9</v>
      </c>
      <c r="G139" s="14">
        <v>75</v>
      </c>
      <c r="H139" s="23">
        <f>PRODUCT(F139:G139)</f>
        <v>675</v>
      </c>
      <c r="I139" s="17"/>
      <c r="J139" s="29">
        <f>F139</f>
        <v>9</v>
      </c>
      <c r="K139" s="207" t="s">
        <v>46</v>
      </c>
      <c r="L139" s="30"/>
      <c r="M139" s="30"/>
      <c r="N139" s="30"/>
      <c r="O139" s="30"/>
    </row>
    <row r="140" spans="1:15" s="4" customFormat="1" x14ac:dyDescent="0.75">
      <c r="A140" s="1"/>
      <c r="B140" s="1"/>
      <c r="C140" s="1"/>
      <c r="D140" s="1"/>
      <c r="E140" s="1" t="s">
        <v>131</v>
      </c>
      <c r="F140" s="1">
        <v>0</v>
      </c>
      <c r="G140" s="14">
        <v>25</v>
      </c>
      <c r="H140" s="23">
        <f t="shared" ref="H140:H142" si="30">PRODUCT(F140:G140)</f>
        <v>0</v>
      </c>
      <c r="I140" s="17"/>
      <c r="J140" s="12"/>
      <c r="K140" s="131" t="s">
        <v>145</v>
      </c>
    </row>
    <row r="141" spans="1:15" s="4" customFormat="1" x14ac:dyDescent="0.75">
      <c r="A141" s="1"/>
      <c r="B141" s="1"/>
      <c r="C141" s="1"/>
      <c r="D141" s="1"/>
      <c r="E141" s="1" t="s">
        <v>41</v>
      </c>
      <c r="F141" s="1">
        <v>0</v>
      </c>
      <c r="G141" s="14">
        <v>25</v>
      </c>
      <c r="H141" s="23">
        <f t="shared" si="30"/>
        <v>0</v>
      </c>
      <c r="I141" s="17"/>
      <c r="J141" s="12"/>
    </row>
    <row r="142" spans="1:15" s="4" customFormat="1" x14ac:dyDescent="0.75">
      <c r="A142" s="1"/>
      <c r="B142" s="1"/>
      <c r="C142" s="1"/>
      <c r="D142" s="1"/>
      <c r="E142" s="1" t="s">
        <v>42</v>
      </c>
      <c r="F142" s="1">
        <v>1</v>
      </c>
      <c r="G142" s="14">
        <v>37.5</v>
      </c>
      <c r="H142" s="23">
        <f t="shared" si="30"/>
        <v>37.5</v>
      </c>
      <c r="I142" s="17"/>
      <c r="J142" s="12"/>
      <c r="O142" s="139">
        <f>I144*24</f>
        <v>17100</v>
      </c>
    </row>
    <row r="143" spans="1:15" s="4" customFormat="1" x14ac:dyDescent="0.75">
      <c r="A143" s="1"/>
      <c r="B143" s="1"/>
      <c r="C143" s="1"/>
      <c r="D143" s="1"/>
      <c r="E143" s="1"/>
      <c r="F143" s="1"/>
      <c r="G143" s="14"/>
      <c r="H143" s="23"/>
      <c r="I143" s="17"/>
      <c r="J143" s="12"/>
      <c r="O143" s="9" t="s">
        <v>142</v>
      </c>
    </row>
    <row r="144" spans="1:15" s="4" customFormat="1" x14ac:dyDescent="0.75">
      <c r="A144" s="1"/>
      <c r="B144" s="1"/>
      <c r="C144" s="1"/>
      <c r="D144" s="1"/>
      <c r="E144" s="1"/>
      <c r="F144" s="1"/>
      <c r="G144" s="14"/>
      <c r="H144" s="23" t="s">
        <v>6</v>
      </c>
      <c r="I144" s="17">
        <f>SUM(H139:H143)</f>
        <v>712.5</v>
      </c>
      <c r="J144" s="28">
        <f>I144*24</f>
        <v>17100</v>
      </c>
      <c r="K144" s="4" t="s">
        <v>147</v>
      </c>
      <c r="O144" s="140" t="s">
        <v>144</v>
      </c>
    </row>
    <row r="145" spans="1:15" s="4" customFormat="1" x14ac:dyDescent="0.75">
      <c r="A145" s="38" t="s">
        <v>51</v>
      </c>
      <c r="B145" s="38" t="s">
        <v>52</v>
      </c>
      <c r="C145" s="2" t="s">
        <v>189</v>
      </c>
      <c r="D145" s="38" t="s">
        <v>53</v>
      </c>
      <c r="E145" s="2" t="s">
        <v>31</v>
      </c>
      <c r="F145" s="38">
        <v>0</v>
      </c>
      <c r="G145" s="39">
        <v>75</v>
      </c>
      <c r="H145" s="40">
        <f>PRODUCT(F145:G145)</f>
        <v>0</v>
      </c>
      <c r="I145" s="41"/>
      <c r="J145" s="31">
        <f>(F145*G145)*24</f>
        <v>0</v>
      </c>
      <c r="K145" s="30" t="s">
        <v>44</v>
      </c>
      <c r="L145" s="10">
        <f>J148/12</f>
        <v>0</v>
      </c>
      <c r="M145" s="10">
        <f t="shared" ref="M145" si="31">L145*5</f>
        <v>0</v>
      </c>
      <c r="N145" s="30"/>
      <c r="O145" s="30"/>
    </row>
    <row r="146" spans="1:15" s="4" customFormat="1" x14ac:dyDescent="0.75">
      <c r="A146" s="43"/>
      <c r="B146" s="43"/>
      <c r="C146" s="43"/>
      <c r="D146" s="43"/>
      <c r="E146" s="2" t="s">
        <v>188</v>
      </c>
      <c r="F146" s="43">
        <v>0</v>
      </c>
      <c r="G146" s="193">
        <v>25</v>
      </c>
      <c r="H146" s="40">
        <f>PRODUCT(F146:G146)</f>
        <v>0</v>
      </c>
      <c r="I146" s="44"/>
      <c r="J146" s="28"/>
      <c r="L146" s="7"/>
      <c r="M146" s="7"/>
    </row>
    <row r="147" spans="1:15" s="4" customFormat="1" x14ac:dyDescent="0.75">
      <c r="A147" s="43"/>
      <c r="B147" s="43"/>
      <c r="C147" s="43"/>
      <c r="D147" s="43"/>
      <c r="E147" s="2" t="s">
        <v>42</v>
      </c>
      <c r="F147" s="2">
        <v>0</v>
      </c>
      <c r="G147" s="15">
        <v>75</v>
      </c>
      <c r="H147" s="24">
        <f t="shared" ref="H147:H149" si="32">PRODUCT(F147:G147)</f>
        <v>0</v>
      </c>
      <c r="I147" s="44"/>
      <c r="J147" s="12"/>
      <c r="L147" s="8" t="s">
        <v>126</v>
      </c>
      <c r="M147" s="9" t="s">
        <v>127</v>
      </c>
      <c r="N147" s="4" t="s">
        <v>186</v>
      </c>
    </row>
    <row r="148" spans="1:15" s="4" customFormat="1" x14ac:dyDescent="0.75">
      <c r="A148" s="2"/>
      <c r="B148" s="2"/>
      <c r="C148" s="2"/>
      <c r="D148" s="2"/>
      <c r="E148" s="2" t="s">
        <v>34</v>
      </c>
      <c r="F148" s="2">
        <v>0</v>
      </c>
      <c r="G148" s="15">
        <v>0.5</v>
      </c>
      <c r="H148" s="24">
        <f t="shared" si="32"/>
        <v>0</v>
      </c>
      <c r="I148" s="20"/>
      <c r="J148" s="12">
        <f>F145</f>
        <v>0</v>
      </c>
      <c r="K148" s="203" t="s">
        <v>95</v>
      </c>
      <c r="L148" s="4" t="s">
        <v>185</v>
      </c>
    </row>
    <row r="149" spans="1:15" s="4" customFormat="1" x14ac:dyDescent="0.75">
      <c r="A149" s="2"/>
      <c r="B149" s="2"/>
      <c r="C149" s="85" t="s">
        <v>156</v>
      </c>
      <c r="D149" s="81"/>
      <c r="E149" s="2" t="s">
        <v>55</v>
      </c>
      <c r="F149" s="2">
        <v>0</v>
      </c>
      <c r="G149" s="15">
        <v>0</v>
      </c>
      <c r="H149" s="24">
        <f t="shared" si="32"/>
        <v>0</v>
      </c>
      <c r="I149" s="20"/>
      <c r="J149" s="12"/>
      <c r="K149" s="130"/>
      <c r="O149" s="139">
        <f>I151*24</f>
        <v>0</v>
      </c>
    </row>
    <row r="150" spans="1:15" s="4" customFormat="1" x14ac:dyDescent="0.75">
      <c r="A150" s="2"/>
      <c r="B150" s="2"/>
      <c r="C150" s="2"/>
      <c r="D150" s="2"/>
      <c r="E150" s="2"/>
      <c r="F150" s="2"/>
      <c r="G150" s="15"/>
      <c r="H150" s="24"/>
      <c r="I150" s="20"/>
      <c r="J150" s="12"/>
      <c r="L150" s="33"/>
      <c r="O150" s="9" t="s">
        <v>142</v>
      </c>
    </row>
    <row r="151" spans="1:15" s="4" customFormat="1" x14ac:dyDescent="0.75">
      <c r="A151" s="42"/>
      <c r="B151" s="2"/>
      <c r="C151" s="2"/>
      <c r="D151" s="2"/>
      <c r="E151" s="2"/>
      <c r="F151" s="2"/>
      <c r="G151" s="15"/>
      <c r="H151" s="24" t="s">
        <v>6</v>
      </c>
      <c r="I151" s="18">
        <f>SUM(H145:H150)</f>
        <v>0</v>
      </c>
      <c r="J151" s="28">
        <f>(H145+H147+H148)*24</f>
        <v>0</v>
      </c>
      <c r="K151" s="4" t="s">
        <v>44</v>
      </c>
      <c r="M151" s="74"/>
      <c r="O151" s="140" t="s">
        <v>144</v>
      </c>
    </row>
    <row r="152" spans="1:15" s="4" customFormat="1" x14ac:dyDescent="0.75">
      <c r="A152" s="1" t="s">
        <v>121</v>
      </c>
      <c r="B152" s="1" t="s">
        <v>121</v>
      </c>
      <c r="C152" s="1"/>
      <c r="D152" s="1"/>
      <c r="E152" s="1"/>
      <c r="F152" s="1">
        <v>0</v>
      </c>
      <c r="G152" s="14">
        <v>0</v>
      </c>
      <c r="H152" s="23">
        <f>PRODUCT(F152:G152)</f>
        <v>0</v>
      </c>
      <c r="I152" s="17"/>
      <c r="J152" s="31">
        <f t="shared" ref="J152" si="33">(F152*G152)*24</f>
        <v>0</v>
      </c>
      <c r="K152" s="30" t="s">
        <v>44</v>
      </c>
      <c r="L152" s="30"/>
      <c r="N152" s="30"/>
      <c r="O152" s="30"/>
    </row>
    <row r="153" spans="1:15" s="4" customFormat="1" x14ac:dyDescent="0.75">
      <c r="A153" s="1"/>
      <c r="B153" s="1"/>
      <c r="C153" s="1"/>
      <c r="D153" s="1"/>
      <c r="E153" s="1"/>
      <c r="F153" s="1">
        <v>0</v>
      </c>
      <c r="G153" s="14">
        <v>0</v>
      </c>
      <c r="H153" s="23">
        <f>PRODUCT(F153:G153)</f>
        <v>0</v>
      </c>
      <c r="I153" s="17"/>
      <c r="J153" s="32"/>
    </row>
    <row r="154" spans="1:15" s="4" customFormat="1" x14ac:dyDescent="0.75">
      <c r="A154" s="1"/>
      <c r="B154" s="1"/>
      <c r="C154" s="1"/>
      <c r="D154" s="1"/>
      <c r="E154" s="1"/>
      <c r="F154" s="1">
        <v>0</v>
      </c>
      <c r="G154" s="14">
        <v>0</v>
      </c>
      <c r="H154" s="23">
        <f t="shared" ref="H154" si="34">PRODUCT(F154:G154)</f>
        <v>0</v>
      </c>
      <c r="I154" s="37"/>
      <c r="J154" s="28"/>
      <c r="K154" s="33">
        <f>(H152+H153)*24</f>
        <v>0</v>
      </c>
    </row>
    <row r="155" spans="1:15" s="4" customFormat="1" x14ac:dyDescent="0.75">
      <c r="A155" s="113"/>
      <c r="B155" s="113"/>
      <c r="C155" s="113"/>
      <c r="D155" s="113"/>
      <c r="E155" s="113"/>
      <c r="F155" s="113"/>
      <c r="G155" s="114"/>
      <c r="H155" s="115" t="s">
        <v>6</v>
      </c>
      <c r="I155" s="116">
        <f>SUM(H152:H154)</f>
        <v>0</v>
      </c>
      <c r="J155" s="117"/>
      <c r="K155" s="118"/>
      <c r="L155" s="74"/>
      <c r="M155" s="74"/>
    </row>
    <row r="156" spans="1:15" s="4" customFormat="1" x14ac:dyDescent="0.75">
      <c r="A156" s="38" t="s">
        <v>119</v>
      </c>
      <c r="B156" s="38" t="s">
        <v>120</v>
      </c>
      <c r="C156" s="38" t="s">
        <v>8</v>
      </c>
      <c r="D156" s="38" t="s">
        <v>59</v>
      </c>
      <c r="E156" s="2" t="s">
        <v>97</v>
      </c>
      <c r="F156" s="2">
        <v>1</v>
      </c>
      <c r="G156" s="15">
        <v>200</v>
      </c>
      <c r="H156" s="24">
        <f>PRODUCT(F156:G156)</f>
        <v>200</v>
      </c>
      <c r="I156" s="20"/>
      <c r="J156" s="29">
        <f>F156</f>
        <v>1</v>
      </c>
      <c r="K156" s="203" t="s">
        <v>137</v>
      </c>
      <c r="L156" s="10">
        <f>J156/12</f>
        <v>8.3333333333333329E-2</v>
      </c>
      <c r="M156" s="10">
        <f t="shared" ref="M156" si="35">L156*5</f>
        <v>0.41666666666666663</v>
      </c>
      <c r="N156" s="141"/>
      <c r="O156" s="30"/>
    </row>
    <row r="157" spans="1:15" s="4" customFormat="1" x14ac:dyDescent="0.75">
      <c r="A157" s="43"/>
      <c r="B157" s="43"/>
      <c r="C157" s="43"/>
      <c r="D157" s="43"/>
      <c r="E157" s="2" t="s">
        <v>34</v>
      </c>
      <c r="F157" s="2">
        <v>56</v>
      </c>
      <c r="G157" s="15">
        <v>0.5</v>
      </c>
      <c r="H157" s="24">
        <f>PRODUCT(F157:G157)</f>
        <v>28</v>
      </c>
      <c r="I157" s="47"/>
      <c r="J157" s="28"/>
      <c r="K157" s="131" t="s">
        <v>145</v>
      </c>
      <c r="L157" s="8" t="s">
        <v>126</v>
      </c>
      <c r="M157" s="9" t="s">
        <v>127</v>
      </c>
      <c r="N157" s="35"/>
    </row>
    <row r="158" spans="1:15" s="4" customFormat="1" x14ac:dyDescent="0.75">
      <c r="A158" s="2"/>
      <c r="B158" s="2"/>
      <c r="C158" s="2"/>
      <c r="D158" s="2"/>
      <c r="E158" s="2"/>
      <c r="F158" s="2">
        <v>0</v>
      </c>
      <c r="G158" s="15">
        <v>0.5</v>
      </c>
      <c r="H158" s="24">
        <f>PRODUCT(F158:G158)</f>
        <v>0</v>
      </c>
      <c r="I158" s="80"/>
      <c r="J158" s="201">
        <f>SUM(H157)/I159</f>
        <v>0.12280701754385964</v>
      </c>
      <c r="K158" s="4" t="s">
        <v>191</v>
      </c>
      <c r="L158" s="7"/>
      <c r="N158" s="35"/>
      <c r="O158" s="139">
        <f>I159*24</f>
        <v>5472</v>
      </c>
    </row>
    <row r="159" spans="1:15" s="4" customFormat="1" x14ac:dyDescent="0.75">
      <c r="A159" s="2"/>
      <c r="B159" s="2"/>
      <c r="C159" s="2"/>
      <c r="D159" s="2"/>
      <c r="E159" s="2"/>
      <c r="F159" s="2"/>
      <c r="G159" s="15"/>
      <c r="H159" s="24"/>
      <c r="I159" s="18">
        <f>SUM(H156:H158)</f>
        <v>228</v>
      </c>
      <c r="J159" s="28">
        <f>H156*24</f>
        <v>4800</v>
      </c>
      <c r="K159" s="4" t="s">
        <v>147</v>
      </c>
      <c r="L159" s="7"/>
      <c r="N159" s="35"/>
      <c r="O159" s="9" t="s">
        <v>142</v>
      </c>
    </row>
    <row r="160" spans="1:15" s="4" customFormat="1" ht="15.5" thickBot="1" x14ac:dyDescent="0.9">
      <c r="A160" s="150"/>
      <c r="B160" s="150"/>
      <c r="C160" s="150"/>
      <c r="D160" s="150"/>
      <c r="E160" s="150"/>
      <c r="F160" s="150"/>
      <c r="G160" s="151"/>
      <c r="H160" s="152"/>
      <c r="I160" s="37"/>
      <c r="J160" s="28"/>
      <c r="O160" s="140" t="s">
        <v>144</v>
      </c>
    </row>
    <row r="161" spans="1:106" s="4" customFormat="1" x14ac:dyDescent="0.75">
      <c r="A161" s="153"/>
      <c r="B161" s="153"/>
      <c r="C161" s="153"/>
      <c r="D161" s="153"/>
      <c r="E161" s="153"/>
      <c r="F161" s="153"/>
      <c r="G161" s="154"/>
      <c r="H161" s="155" t="s">
        <v>43</v>
      </c>
      <c r="I161" s="156">
        <f>SUM(I3:I160)</f>
        <v>31496.287000000004</v>
      </c>
      <c r="J161" s="145"/>
      <c r="K161" s="146"/>
      <c r="L161" s="147" t="s">
        <v>66</v>
      </c>
      <c r="M161" s="146"/>
      <c r="N161" s="148">
        <f>SUM(N27,N37,N46,N57,N106,N114,N124)</f>
        <v>240</v>
      </c>
      <c r="O161" s="149" t="s">
        <v>85</v>
      </c>
    </row>
    <row r="162" spans="1:106" s="4" customFormat="1" ht="15.5" thickBot="1" x14ac:dyDescent="0.9">
      <c r="A162" s="81"/>
      <c r="B162" s="81"/>
      <c r="C162" s="81"/>
      <c r="D162" s="81"/>
      <c r="E162" s="81"/>
      <c r="F162" s="81"/>
      <c r="G162" s="90"/>
      <c r="H162" s="91"/>
      <c r="I162" s="214"/>
      <c r="J162" s="11"/>
      <c r="L162" s="66"/>
      <c r="M162" s="67"/>
      <c r="N162" s="69">
        <f>SUM(N28,N38,N48,N58,N107,N115,N125,M20)</f>
        <v>12</v>
      </c>
      <c r="O162" s="68" t="s">
        <v>86</v>
      </c>
    </row>
    <row r="163" spans="1:106" s="4" customFormat="1" x14ac:dyDescent="0.75">
      <c r="A163" s="81"/>
      <c r="B163" s="81"/>
      <c r="C163" s="81"/>
      <c r="D163" s="81"/>
      <c r="E163" s="81"/>
      <c r="F163" s="81"/>
      <c r="G163" s="90"/>
      <c r="H163" s="91"/>
      <c r="I163" s="92"/>
      <c r="J163" s="11"/>
      <c r="N163" s="162">
        <f>SUM(N108,N116)</f>
        <v>0</v>
      </c>
      <c r="O163" s="159" t="s">
        <v>152</v>
      </c>
    </row>
    <row r="164" spans="1:106" s="4" customFormat="1" x14ac:dyDescent="0.75">
      <c r="A164" s="81"/>
      <c r="B164" s="81"/>
      <c r="C164" s="81"/>
      <c r="D164" s="81"/>
      <c r="E164" s="81"/>
      <c r="F164" s="81"/>
      <c r="G164" s="90"/>
      <c r="H164" s="91"/>
      <c r="I164" s="81"/>
      <c r="J164" s="11"/>
    </row>
    <row r="165" spans="1:106" s="4" customFormat="1" x14ac:dyDescent="0.75">
      <c r="A165" s="81"/>
      <c r="B165" s="81"/>
      <c r="C165" s="81"/>
      <c r="D165" s="81"/>
      <c r="E165" s="81"/>
      <c r="F165" s="81"/>
      <c r="G165" s="90"/>
      <c r="H165" s="91"/>
      <c r="I165" s="81"/>
      <c r="J165" s="11"/>
      <c r="K165" s="71">
        <f>E1</f>
        <v>15</v>
      </c>
      <c r="L165" s="76" t="s">
        <v>82</v>
      </c>
      <c r="M165" s="77"/>
      <c r="N165" s="69">
        <f>SUM(N166:N167)</f>
        <v>272</v>
      </c>
      <c r="O165" s="75" t="s">
        <v>87</v>
      </c>
      <c r="P165" s="74"/>
      <c r="Q165" s="74"/>
    </row>
    <row r="166" spans="1:106" s="4" customFormat="1" x14ac:dyDescent="0.75">
      <c r="A166" s="81"/>
      <c r="B166" s="81"/>
      <c r="C166" s="81"/>
      <c r="D166" s="81"/>
      <c r="E166" s="81"/>
      <c r="F166" s="81"/>
      <c r="G166" s="90"/>
      <c r="H166" s="91"/>
      <c r="I166" s="81"/>
      <c r="J166" s="11"/>
      <c r="K166" s="72">
        <f>K165-K167</f>
        <v>11</v>
      </c>
      <c r="L166" s="74" t="s">
        <v>83</v>
      </c>
      <c r="N166" s="70">
        <f>K166*16</f>
        <v>176</v>
      </c>
      <c r="O166" s="73" t="s">
        <v>88</v>
      </c>
    </row>
    <row r="167" spans="1:106" s="4" customFormat="1" x14ac:dyDescent="0.75">
      <c r="A167" s="81"/>
      <c r="B167" s="81"/>
      <c r="C167" s="81"/>
      <c r="D167" s="81"/>
      <c r="E167" s="81"/>
      <c r="F167" s="81"/>
      <c r="G167" s="90"/>
      <c r="H167" s="91"/>
      <c r="I167" s="81"/>
      <c r="J167" s="11"/>
      <c r="K167" s="70">
        <v>4</v>
      </c>
      <c r="L167" s="4" t="s">
        <v>84</v>
      </c>
      <c r="N167" s="70">
        <f>K167*24</f>
        <v>96</v>
      </c>
      <c r="O167" s="73" t="s">
        <v>89</v>
      </c>
    </row>
    <row r="168" spans="1:106" s="4" customFormat="1" ht="9.75" customHeight="1" x14ac:dyDescent="0.75">
      <c r="A168" s="81"/>
      <c r="B168" s="81"/>
      <c r="C168" s="81"/>
      <c r="D168" s="81"/>
      <c r="E168" s="81"/>
      <c r="F168" s="81"/>
      <c r="G168" s="81"/>
      <c r="H168" s="93"/>
      <c r="I168" s="90"/>
      <c r="J168" s="11"/>
    </row>
    <row r="169" spans="1:106" s="4" customFormat="1" x14ac:dyDescent="0.75">
      <c r="A169" s="81"/>
      <c r="B169" s="81"/>
      <c r="C169" s="81"/>
      <c r="D169" s="81"/>
      <c r="E169" s="81"/>
      <c r="F169" s="81"/>
      <c r="G169" s="90"/>
      <c r="H169" s="91"/>
      <c r="I169" s="81"/>
      <c r="J169" s="11"/>
      <c r="N169" s="68">
        <f>N161-N165</f>
        <v>-32</v>
      </c>
      <c r="O169" s="76" t="s">
        <v>92</v>
      </c>
    </row>
    <row r="170" spans="1:106" s="4" customFormat="1" x14ac:dyDescent="0.75">
      <c r="A170" s="81"/>
      <c r="B170" s="81"/>
      <c r="C170" s="81"/>
      <c r="D170" s="81"/>
      <c r="E170" s="81"/>
      <c r="F170" s="81"/>
      <c r="G170" s="90"/>
      <c r="H170" s="91"/>
      <c r="I170" s="81"/>
      <c r="J170" s="28"/>
      <c r="K170" s="9" t="s">
        <v>169</v>
      </c>
      <c r="L170" s="180">
        <f>((I161)-SUM(I8,I15,I23,I62))</f>
        <v>19223.802400000004</v>
      </c>
      <c r="M170" s="181">
        <f>L170/I161</f>
        <v>0.61035138522836041</v>
      </c>
      <c r="O170" s="4" t="s">
        <v>171</v>
      </c>
      <c r="P170" s="157"/>
      <c r="Q170" s="157"/>
    </row>
    <row r="171" spans="1:106" s="4" customFormat="1" x14ac:dyDescent="0.75">
      <c r="A171" s="81"/>
      <c r="B171" s="81"/>
      <c r="C171" s="81"/>
      <c r="D171" s="81"/>
      <c r="E171" s="81"/>
      <c r="F171" s="81"/>
      <c r="G171" s="90"/>
      <c r="H171" s="91"/>
      <c r="I171" s="81"/>
      <c r="J171" s="36"/>
      <c r="K171" s="9" t="s">
        <v>170</v>
      </c>
      <c r="L171" s="180">
        <f>I161-L170</f>
        <v>12272.4846</v>
      </c>
      <c r="M171" s="182">
        <f>L171/I161</f>
        <v>0.38964861477163953</v>
      </c>
      <c r="O171" s="4" t="s">
        <v>172</v>
      </c>
      <c r="P171" s="160"/>
      <c r="Q171" s="161"/>
    </row>
    <row r="172" spans="1:106" s="4" customFormat="1" x14ac:dyDescent="0.75">
      <c r="A172" s="81"/>
      <c r="B172" s="81"/>
      <c r="C172" s="81"/>
      <c r="D172" s="81"/>
      <c r="E172" s="81"/>
      <c r="F172" s="81"/>
      <c r="G172" s="90"/>
      <c r="H172" s="91"/>
      <c r="I172" s="81"/>
      <c r="J172" s="183"/>
      <c r="K172" s="30"/>
      <c r="L172" s="185">
        <f>L170+L171</f>
        <v>31496.287000000004</v>
      </c>
      <c r="M172" s="184">
        <f>SUM(M170:M171)</f>
        <v>1</v>
      </c>
      <c r="N172" s="30"/>
    </row>
    <row r="173" spans="1:106" s="5" customFormat="1" x14ac:dyDescent="0.75">
      <c r="A173" s="81"/>
      <c r="B173" s="81"/>
      <c r="C173" s="81"/>
      <c r="D173" s="81"/>
      <c r="E173" s="81"/>
      <c r="F173" s="81"/>
      <c r="G173" s="90"/>
      <c r="H173" s="91"/>
      <c r="I173" s="81"/>
      <c r="J173" s="28"/>
      <c r="K173" s="9" t="s">
        <v>192</v>
      </c>
      <c r="L173" s="34">
        <f>SUM(H4:H5,H10:H11,H18:H19,H26,H35:H36,H46:H47,H55:H56,H65,H71,H72,H76:H77,H81,H87,H92:H93,H97,H101,H109,H118,H123:H124,H131,H148,H153,H157)</f>
        <v>1739</v>
      </c>
      <c r="M173" s="208">
        <f>L173/I161</f>
        <v>5.5212857312355576E-2</v>
      </c>
      <c r="N173" s="4" t="s">
        <v>193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</row>
    <row r="174" spans="1:106" s="5" customFormat="1" x14ac:dyDescent="0.75">
      <c r="A174" s="81"/>
      <c r="B174" s="81"/>
      <c r="C174" s="81"/>
      <c r="D174" s="81"/>
      <c r="E174" s="81"/>
      <c r="F174" s="81"/>
      <c r="G174" s="90"/>
      <c r="H174" s="91"/>
      <c r="I174" s="81"/>
      <c r="J174" s="28"/>
      <c r="K174" s="9" t="s">
        <v>201</v>
      </c>
      <c r="L174" s="33">
        <f>(I138+I144)*24</f>
        <v>26100</v>
      </c>
      <c r="M174" s="208">
        <f>L174/N174</f>
        <v>0.37285714285714283</v>
      </c>
      <c r="N174" s="4">
        <v>70000</v>
      </c>
      <c r="O174" s="13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</row>
    <row r="175" spans="1:106" s="5" customFormat="1" x14ac:dyDescent="0.75">
      <c r="A175" s="81"/>
      <c r="B175" s="81"/>
      <c r="C175" s="81"/>
      <c r="D175" s="81"/>
      <c r="E175" s="81"/>
      <c r="F175" s="81"/>
      <c r="G175" s="90"/>
      <c r="H175" s="91"/>
      <c r="I175" s="81"/>
      <c r="J175" s="28"/>
      <c r="K175" s="4"/>
      <c r="L175" s="4"/>
      <c r="M175" s="4"/>
      <c r="N175" s="4"/>
      <c r="O175" s="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</row>
    <row r="176" spans="1:106" s="5" customFormat="1" x14ac:dyDescent="0.75">
      <c r="A176" s="81"/>
      <c r="B176" s="81"/>
      <c r="C176" s="85"/>
      <c r="D176" s="81"/>
      <c r="E176" s="81"/>
      <c r="F176" s="81"/>
      <c r="G176" s="90"/>
      <c r="H176" s="91"/>
      <c r="I176" s="81"/>
      <c r="J176" s="28"/>
      <c r="K176" s="4"/>
      <c r="L176" s="4"/>
      <c r="M176" s="4"/>
      <c r="N176" s="4"/>
      <c r="O176" s="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</row>
    <row r="177" spans="1:106" s="5" customFormat="1" x14ac:dyDescent="0.75">
      <c r="A177" s="81"/>
      <c r="B177" s="81"/>
      <c r="C177" s="81"/>
      <c r="D177" s="81"/>
      <c r="E177" s="81"/>
      <c r="F177" s="81"/>
      <c r="G177" s="90"/>
      <c r="H177" s="91"/>
      <c r="I177" s="81"/>
      <c r="J177" s="28"/>
      <c r="K177" s="33"/>
      <c r="L177" s="8"/>
      <c r="M177" s="9"/>
      <c r="N177" s="4"/>
      <c r="O177" s="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</row>
    <row r="178" spans="1:106" s="5" customFormat="1" x14ac:dyDescent="0.75">
      <c r="A178" s="81"/>
      <c r="B178" s="81"/>
      <c r="C178" s="81"/>
      <c r="D178" s="81"/>
      <c r="E178" s="81"/>
      <c r="F178" s="81"/>
      <c r="G178" s="90"/>
      <c r="H178" s="91"/>
      <c r="I178" s="81"/>
      <c r="J178" s="1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</row>
    <row r="179" spans="1:106" s="5" customFormat="1" x14ac:dyDescent="0.75">
      <c r="A179" s="81"/>
      <c r="B179" s="81"/>
      <c r="C179" s="81"/>
      <c r="D179" s="81"/>
      <c r="E179" s="81"/>
      <c r="F179" s="81"/>
      <c r="G179" s="90"/>
      <c r="H179" s="91"/>
      <c r="I179" s="81"/>
      <c r="J179" s="1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</row>
    <row r="180" spans="1:106" s="5" customFormat="1" x14ac:dyDescent="0.75">
      <c r="A180" s="81"/>
      <c r="B180" s="81"/>
      <c r="C180" s="81"/>
      <c r="D180" s="81"/>
      <c r="E180" s="81"/>
      <c r="F180" s="81"/>
      <c r="G180" s="90"/>
      <c r="H180" s="91"/>
      <c r="I180" s="81"/>
      <c r="J180" s="1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</row>
    <row r="181" spans="1:106" s="5" customFormat="1" x14ac:dyDescent="0.75">
      <c r="A181" s="81"/>
      <c r="B181" s="81"/>
      <c r="C181" s="81"/>
      <c r="D181" s="81"/>
      <c r="E181" s="81"/>
      <c r="F181" s="81"/>
      <c r="G181" s="81"/>
      <c r="H181" s="91"/>
      <c r="I181" s="81"/>
      <c r="J181" s="1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</row>
    <row r="182" spans="1:106" s="4" customFormat="1" x14ac:dyDescent="0.75">
      <c r="A182" s="81"/>
      <c r="B182" s="81"/>
      <c r="C182" s="81"/>
      <c r="D182" s="81"/>
      <c r="E182" s="81"/>
      <c r="F182" s="81"/>
      <c r="G182" s="90"/>
      <c r="H182" s="91"/>
      <c r="I182" s="81"/>
      <c r="J182" s="11"/>
    </row>
    <row r="183" spans="1:106" s="4" customFormat="1" x14ac:dyDescent="0.75">
      <c r="A183" s="81"/>
      <c r="B183" s="81"/>
      <c r="C183" s="81"/>
      <c r="D183" s="81"/>
      <c r="E183" s="81"/>
      <c r="F183" s="81"/>
      <c r="G183" s="81"/>
      <c r="H183" s="91"/>
      <c r="I183" s="90"/>
      <c r="J183" s="11"/>
    </row>
    <row r="184" spans="1:106" s="4" customFormat="1" x14ac:dyDescent="0.75">
      <c r="A184" s="81"/>
      <c r="B184" s="81"/>
      <c r="C184" s="81"/>
      <c r="D184" s="81"/>
      <c r="E184" s="81"/>
      <c r="F184" s="81"/>
      <c r="G184" s="81"/>
      <c r="H184" s="93"/>
      <c r="I184" s="90"/>
      <c r="J184" s="11"/>
    </row>
    <row r="185" spans="1:106" s="5" customFormat="1" x14ac:dyDescent="0.75">
      <c r="A185" s="81"/>
      <c r="B185" s="81"/>
      <c r="C185" s="81"/>
      <c r="D185" s="81"/>
      <c r="E185" s="81"/>
      <c r="F185" s="81"/>
      <c r="G185" s="90"/>
      <c r="H185" s="91"/>
      <c r="I185" s="81"/>
      <c r="J185" s="1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</row>
    <row r="186" spans="1:106" s="5" customFormat="1" x14ac:dyDescent="0.75">
      <c r="A186" s="81"/>
      <c r="B186" s="81"/>
      <c r="C186" s="81"/>
      <c r="D186" s="81"/>
      <c r="E186" s="81"/>
      <c r="F186" s="81"/>
      <c r="G186" s="90"/>
      <c r="H186" s="91"/>
      <c r="I186" s="81"/>
      <c r="J186" s="1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</row>
    <row r="187" spans="1:106" s="5" customFormat="1" x14ac:dyDescent="0.75">
      <c r="A187" s="81"/>
      <c r="B187" s="81"/>
      <c r="C187" s="81"/>
      <c r="D187" s="81"/>
      <c r="E187" s="81"/>
      <c r="F187" s="81"/>
      <c r="G187" s="90"/>
      <c r="H187" s="91"/>
      <c r="I187" s="81"/>
      <c r="J187" s="1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</row>
    <row r="188" spans="1:106" s="5" customFormat="1" x14ac:dyDescent="0.75">
      <c r="A188" s="81"/>
      <c r="B188" s="81"/>
      <c r="C188" s="81"/>
      <c r="D188" s="81"/>
      <c r="E188" s="81"/>
      <c r="F188" s="81"/>
      <c r="G188" s="90"/>
      <c r="H188" s="91"/>
      <c r="I188" s="81"/>
      <c r="J188" s="1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</row>
    <row r="189" spans="1:106" s="5" customFormat="1" x14ac:dyDescent="0.75">
      <c r="A189" s="81"/>
      <c r="B189" s="81"/>
      <c r="C189" s="81"/>
      <c r="D189" s="81"/>
      <c r="E189" s="81"/>
      <c r="F189" s="81"/>
      <c r="G189" s="90"/>
      <c r="H189" s="91"/>
      <c r="I189" s="81"/>
      <c r="J189" s="1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</row>
    <row r="190" spans="1:106" s="5" customFormat="1" x14ac:dyDescent="0.75">
      <c r="A190" s="81"/>
      <c r="B190" s="81"/>
      <c r="C190" s="81"/>
      <c r="D190" s="81"/>
      <c r="E190" s="81"/>
      <c r="F190" s="81"/>
      <c r="G190" s="90"/>
      <c r="H190" s="91"/>
      <c r="I190" s="81"/>
      <c r="J190" s="1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</row>
    <row r="191" spans="1:106" s="5" customFormat="1" x14ac:dyDescent="0.75">
      <c r="A191" s="81"/>
      <c r="B191" s="81"/>
      <c r="C191" s="81"/>
      <c r="D191" s="81"/>
      <c r="E191" s="81"/>
      <c r="F191" s="81"/>
      <c r="G191" s="90"/>
      <c r="H191" s="91"/>
      <c r="I191" s="81"/>
      <c r="J191" s="1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</row>
    <row r="192" spans="1:106" s="5" customFormat="1" x14ac:dyDescent="0.75">
      <c r="A192" s="81"/>
      <c r="B192" s="81"/>
      <c r="C192" s="81"/>
      <c r="D192" s="81"/>
      <c r="E192" s="81"/>
      <c r="F192" s="81"/>
      <c r="G192" s="90"/>
      <c r="H192" s="91"/>
      <c r="I192" s="81"/>
      <c r="J192" s="1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</row>
    <row r="193" spans="1:106" s="5" customFormat="1" x14ac:dyDescent="0.75">
      <c r="A193" s="81"/>
      <c r="B193" s="81"/>
      <c r="C193" s="81"/>
      <c r="D193" s="81"/>
      <c r="E193" s="81"/>
      <c r="F193" s="81"/>
      <c r="G193" s="81"/>
      <c r="H193" s="93"/>
      <c r="I193" s="90"/>
      <c r="J193" s="1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</row>
    <row r="194" spans="1:106" s="5" customFormat="1" x14ac:dyDescent="0.75">
      <c r="A194" s="81"/>
      <c r="B194" s="81"/>
      <c r="C194" s="81"/>
      <c r="D194" s="81"/>
      <c r="E194" s="81"/>
      <c r="F194" s="81"/>
      <c r="G194" s="90"/>
      <c r="H194" s="91"/>
      <c r="I194" s="90"/>
      <c r="J194" s="1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</row>
    <row r="195" spans="1:106" s="5" customFormat="1" x14ac:dyDescent="0.75">
      <c r="A195" s="81"/>
      <c r="B195" s="81"/>
      <c r="C195" s="81"/>
      <c r="D195" s="81"/>
      <c r="E195" s="81"/>
      <c r="F195" s="81"/>
      <c r="G195" s="81"/>
      <c r="H195" s="93"/>
      <c r="I195" s="90"/>
      <c r="J195" s="1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</row>
    <row r="196" spans="1:106" s="4" customFormat="1" x14ac:dyDescent="0.75">
      <c r="A196" s="2"/>
      <c r="B196" s="2"/>
      <c r="C196" s="2"/>
      <c r="D196" s="2"/>
      <c r="E196" s="2"/>
      <c r="F196" s="2"/>
      <c r="G196" s="3"/>
      <c r="H196" s="26"/>
      <c r="I196" s="2"/>
      <c r="J196" s="11"/>
    </row>
    <row r="197" spans="1:106" s="4" customFormat="1" x14ac:dyDescent="0.75">
      <c r="A197" s="2"/>
      <c r="B197" s="2"/>
      <c r="C197" s="2"/>
      <c r="D197" s="2"/>
      <c r="E197" s="2"/>
      <c r="F197" s="2"/>
      <c r="G197" s="3"/>
      <c r="H197" s="26"/>
      <c r="I197" s="2"/>
      <c r="J197" s="11"/>
    </row>
    <row r="198" spans="1:106" s="4" customFormat="1" x14ac:dyDescent="0.75">
      <c r="A198" s="2"/>
      <c r="B198" s="2"/>
      <c r="C198" s="2"/>
      <c r="D198" s="2"/>
      <c r="E198" s="2"/>
      <c r="F198" s="2"/>
      <c r="G198" s="2"/>
      <c r="H198" s="27"/>
      <c r="I198" s="3"/>
      <c r="J198" s="11"/>
    </row>
    <row r="199" spans="1:106" x14ac:dyDescent="0.75">
      <c r="A199" s="2"/>
      <c r="B199" s="2"/>
      <c r="C199" s="2"/>
      <c r="D199" s="2"/>
      <c r="E199" s="2"/>
      <c r="F199" s="2"/>
      <c r="G199" s="2"/>
      <c r="H199" s="27"/>
      <c r="I199" s="3"/>
    </row>
    <row r="200" spans="1:106" x14ac:dyDescent="0.75">
      <c r="A200" s="4"/>
      <c r="B200" s="4"/>
      <c r="C200" s="4"/>
      <c r="D200" s="4"/>
      <c r="E200" s="4"/>
      <c r="F200" s="4"/>
      <c r="G200" s="4"/>
      <c r="H200" s="9"/>
      <c r="I200" s="4"/>
    </row>
    <row r="201" spans="1:106" x14ac:dyDescent="0.75">
      <c r="A201" s="4"/>
      <c r="B201" s="4"/>
      <c r="C201" s="4"/>
      <c r="D201" s="4"/>
      <c r="E201" s="4"/>
      <c r="F201" s="4"/>
      <c r="G201" s="4"/>
      <c r="H201" s="9"/>
      <c r="I201" s="4"/>
    </row>
  </sheetData>
  <mergeCells count="1">
    <mergeCell ref="M117:N117"/>
  </mergeCells>
  <pageMargins left="0.25" right="0.25" top="0.25" bottom="0.25" header="0.05" footer="0.05"/>
  <pageSetup scale="59" orientation="portrait" r:id="rId1"/>
  <rowBreaks count="1" manualBreakCount="1">
    <brk id="85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B0DF-F576-4E06-9450-8AB088DDE4A6}">
  <dimension ref="A1:U24"/>
  <sheetViews>
    <sheetView topLeftCell="A11" zoomScaleNormal="100" workbookViewId="0">
      <selection activeCell="C16" sqref="C16"/>
    </sheetView>
  </sheetViews>
  <sheetFormatPr defaultRowHeight="14.75" x14ac:dyDescent="0.75"/>
  <cols>
    <col min="2" max="2" width="18.26953125" customWidth="1"/>
    <col min="3" max="3" width="8.6796875" customWidth="1"/>
    <col min="5" max="5" width="11.6328125" customWidth="1"/>
    <col min="9" max="9" width="18.26953125" customWidth="1"/>
    <col min="10" max="10" width="7.90625" customWidth="1"/>
    <col min="12" max="12" width="11.6328125" customWidth="1"/>
    <col min="17" max="17" width="14.6328125" customWidth="1"/>
  </cols>
  <sheetData>
    <row r="1" spans="1:21" x14ac:dyDescent="0.75">
      <c r="A1" t="s">
        <v>190</v>
      </c>
      <c r="B1" s="124"/>
      <c r="H1" t="s">
        <v>176</v>
      </c>
      <c r="I1" s="124"/>
      <c r="Q1" s="124"/>
    </row>
    <row r="2" spans="1:21" x14ac:dyDescent="0.75">
      <c r="B2" s="122" t="s">
        <v>162</v>
      </c>
      <c r="C2" s="56"/>
      <c r="D2" s="56"/>
      <c r="E2" s="56"/>
      <c r="F2" t="s">
        <v>175</v>
      </c>
      <c r="I2" s="122" t="s">
        <v>162</v>
      </c>
      <c r="J2" s="56"/>
      <c r="K2" s="56"/>
      <c r="L2" s="56"/>
      <c r="Q2" s="122" t="s">
        <v>134</v>
      </c>
      <c r="R2" s="56"/>
      <c r="S2" s="56"/>
      <c r="T2" s="56"/>
    </row>
    <row r="3" spans="1:21" ht="26.25" customHeight="1" x14ac:dyDescent="0.75">
      <c r="A3" s="174"/>
      <c r="B3" s="175"/>
      <c r="C3" s="176"/>
      <c r="D3" s="177" t="s">
        <v>129</v>
      </c>
      <c r="E3" s="178" t="s">
        <v>130</v>
      </c>
      <c r="F3" s="102"/>
      <c r="H3" s="96"/>
      <c r="I3" s="121" t="s">
        <v>106</v>
      </c>
      <c r="J3" s="127" t="s">
        <v>136</v>
      </c>
      <c r="K3" s="100" t="s">
        <v>129</v>
      </c>
      <c r="L3" s="101"/>
      <c r="M3" s="96"/>
      <c r="P3" s="96"/>
      <c r="Q3" s="121" t="s">
        <v>106</v>
      </c>
      <c r="R3" s="96" t="s">
        <v>128</v>
      </c>
      <c r="S3" s="100" t="s">
        <v>129</v>
      </c>
      <c r="T3" s="101" t="s">
        <v>130</v>
      </c>
      <c r="U3" s="96"/>
    </row>
    <row r="4" spans="1:21" ht="14.75" customHeight="1" x14ac:dyDescent="0.75">
      <c r="A4" s="96"/>
      <c r="B4" s="97" t="s">
        <v>110</v>
      </c>
      <c r="C4" s="98">
        <v>7</v>
      </c>
      <c r="D4" s="100"/>
      <c r="E4" s="101">
        <f>((C4)-D4)</f>
        <v>7</v>
      </c>
      <c r="H4" s="129"/>
      <c r="I4" s="97"/>
      <c r="J4" s="98"/>
      <c r="K4" s="100"/>
      <c r="L4" s="101">
        <f>E4-J4</f>
        <v>7</v>
      </c>
      <c r="M4" s="96"/>
      <c r="P4" s="96"/>
      <c r="Q4" s="97"/>
      <c r="R4" s="98"/>
      <c r="S4" s="100"/>
      <c r="T4" s="101"/>
      <c r="U4" s="96"/>
    </row>
    <row r="5" spans="1:21" ht="40.5" customHeight="1" x14ac:dyDescent="0.75">
      <c r="A5" s="101"/>
      <c r="B5" s="97" t="s">
        <v>108</v>
      </c>
      <c r="C5" s="98">
        <v>10</v>
      </c>
      <c r="D5" s="100"/>
      <c r="E5" s="101">
        <f t="shared" ref="E5:E23" si="0">((C5)-D5)</f>
        <v>10</v>
      </c>
      <c r="F5" s="102"/>
      <c r="H5" s="129"/>
      <c r="I5" s="97"/>
      <c r="J5" s="98"/>
      <c r="K5" s="100"/>
      <c r="L5" s="101">
        <f t="shared" ref="L5:L17" si="1">E5-J5</f>
        <v>10</v>
      </c>
      <c r="M5" s="96"/>
      <c r="P5" s="96"/>
      <c r="Q5" s="97"/>
      <c r="R5" s="98"/>
      <c r="S5" s="100"/>
      <c r="T5" s="101"/>
      <c r="U5" s="96"/>
    </row>
    <row r="6" spans="1:21" ht="27" customHeight="1" x14ac:dyDescent="0.75">
      <c r="A6" s="96"/>
      <c r="B6" s="97" t="s">
        <v>109</v>
      </c>
      <c r="C6" s="98">
        <v>85</v>
      </c>
      <c r="D6" s="100"/>
      <c r="E6" s="101">
        <f t="shared" si="0"/>
        <v>85</v>
      </c>
      <c r="F6" s="102"/>
      <c r="H6" s="129"/>
      <c r="I6" s="97"/>
      <c r="J6" s="98"/>
      <c r="K6" s="100"/>
      <c r="L6" s="101">
        <f t="shared" si="1"/>
        <v>85</v>
      </c>
      <c r="M6" s="96"/>
      <c r="P6" s="96"/>
      <c r="Q6" s="97"/>
      <c r="R6" s="98"/>
      <c r="S6" s="100"/>
      <c r="T6" s="101"/>
      <c r="U6" s="96"/>
    </row>
    <row r="7" spans="1:21" x14ac:dyDescent="0.75">
      <c r="A7" s="96"/>
      <c r="B7" s="97" t="s">
        <v>111</v>
      </c>
      <c r="C7" s="98">
        <v>56</v>
      </c>
      <c r="D7" s="100"/>
      <c r="E7" s="101">
        <f t="shared" si="0"/>
        <v>56</v>
      </c>
      <c r="F7" s="102"/>
      <c r="H7" s="129"/>
      <c r="I7" s="97"/>
      <c r="J7" s="98"/>
      <c r="K7" s="100"/>
      <c r="L7" s="101">
        <f t="shared" si="1"/>
        <v>56</v>
      </c>
      <c r="M7" s="96"/>
      <c r="P7" s="96"/>
      <c r="Q7" s="97"/>
      <c r="R7" s="98"/>
      <c r="S7" s="100"/>
      <c r="T7" s="101"/>
      <c r="U7" s="96"/>
    </row>
    <row r="8" spans="1:21" ht="27" customHeight="1" x14ac:dyDescent="0.75">
      <c r="A8" s="96"/>
      <c r="B8" s="97" t="s">
        <v>167</v>
      </c>
      <c r="C8" s="98">
        <v>10</v>
      </c>
      <c r="D8" s="100"/>
      <c r="E8" s="101">
        <f t="shared" si="0"/>
        <v>10</v>
      </c>
      <c r="F8" s="102"/>
      <c r="H8" s="129"/>
      <c r="I8" s="97"/>
      <c r="J8" s="98"/>
      <c r="K8" s="100"/>
      <c r="L8" s="101">
        <f t="shared" si="1"/>
        <v>10</v>
      </c>
      <c r="M8" s="96"/>
      <c r="P8" s="96"/>
      <c r="Q8" s="97"/>
      <c r="R8" s="98"/>
      <c r="S8" s="100"/>
      <c r="T8" s="101"/>
      <c r="U8" s="96"/>
    </row>
    <row r="9" spans="1:21" ht="27" customHeight="1" x14ac:dyDescent="0.75">
      <c r="A9" s="101"/>
      <c r="B9" s="97" t="s">
        <v>177</v>
      </c>
      <c r="C9" s="98">
        <v>1</v>
      </c>
      <c r="D9" s="100"/>
      <c r="E9" s="101">
        <f t="shared" si="0"/>
        <v>1</v>
      </c>
      <c r="H9" s="129"/>
      <c r="I9" s="97"/>
      <c r="J9" s="98"/>
      <c r="K9" s="100"/>
      <c r="L9" s="101">
        <f t="shared" si="1"/>
        <v>1</v>
      </c>
      <c r="M9" s="96"/>
      <c r="P9" s="96"/>
      <c r="Q9" s="97"/>
      <c r="R9" s="98"/>
      <c r="S9" s="100"/>
      <c r="T9" s="123"/>
      <c r="U9" s="96"/>
    </row>
    <row r="10" spans="1:21" ht="27" customHeight="1" x14ac:dyDescent="0.75">
      <c r="A10" s="96"/>
      <c r="B10" s="97" t="s">
        <v>141</v>
      </c>
      <c r="C10" s="98">
        <v>7</v>
      </c>
      <c r="D10" s="100"/>
      <c r="E10" s="101">
        <f t="shared" si="0"/>
        <v>7</v>
      </c>
      <c r="F10" s="102"/>
      <c r="H10" s="129"/>
      <c r="I10" s="97"/>
      <c r="J10" s="98"/>
      <c r="K10" s="100"/>
      <c r="L10" s="101">
        <f t="shared" si="1"/>
        <v>7</v>
      </c>
      <c r="M10" s="96"/>
      <c r="P10" s="96"/>
      <c r="Q10" s="97"/>
      <c r="R10" s="98"/>
      <c r="S10" s="100"/>
      <c r="T10" s="101"/>
      <c r="U10" s="96"/>
    </row>
    <row r="11" spans="1:21" ht="27" customHeight="1" x14ac:dyDescent="0.75">
      <c r="A11" s="96"/>
      <c r="B11" s="97" t="s">
        <v>187</v>
      </c>
      <c r="C11" s="98">
        <v>12</v>
      </c>
      <c r="D11" s="100"/>
      <c r="E11" s="101">
        <f t="shared" si="0"/>
        <v>12</v>
      </c>
      <c r="F11" s="102"/>
      <c r="H11" s="129"/>
      <c r="I11" s="97"/>
      <c r="J11" s="98"/>
      <c r="K11" s="100"/>
      <c r="L11" s="101">
        <f t="shared" si="1"/>
        <v>12</v>
      </c>
      <c r="M11" s="96"/>
      <c r="P11" s="96"/>
      <c r="Q11" s="97"/>
      <c r="R11" s="98"/>
      <c r="S11" s="100"/>
      <c r="T11" s="125"/>
      <c r="U11" s="96"/>
    </row>
    <row r="12" spans="1:21" x14ac:dyDescent="0.75">
      <c r="A12" s="101"/>
      <c r="B12" s="97" t="s">
        <v>112</v>
      </c>
      <c r="C12" s="98">
        <v>13</v>
      </c>
      <c r="D12" s="100"/>
      <c r="E12" s="101">
        <f t="shared" si="0"/>
        <v>13</v>
      </c>
      <c r="H12" s="129"/>
      <c r="I12" s="97"/>
      <c r="J12" s="98"/>
      <c r="K12" s="100"/>
      <c r="L12" s="101">
        <f t="shared" si="1"/>
        <v>13</v>
      </c>
      <c r="M12" s="96"/>
      <c r="P12" s="96"/>
      <c r="Q12" s="97"/>
      <c r="R12" s="98"/>
      <c r="S12" s="100"/>
      <c r="T12" s="101"/>
      <c r="U12" s="96"/>
    </row>
    <row r="13" spans="1:21" ht="27" customHeight="1" x14ac:dyDescent="0.75">
      <c r="A13" s="96"/>
      <c r="B13" s="97" t="s">
        <v>107</v>
      </c>
      <c r="C13" s="98">
        <v>7</v>
      </c>
      <c r="D13" s="100"/>
      <c r="E13" s="101">
        <f t="shared" si="0"/>
        <v>7</v>
      </c>
      <c r="F13" s="102"/>
      <c r="H13" s="129"/>
      <c r="I13" s="97"/>
      <c r="J13" s="98"/>
      <c r="K13" s="100"/>
      <c r="L13" s="101">
        <f t="shared" si="1"/>
        <v>7</v>
      </c>
      <c r="M13" s="96"/>
      <c r="P13" s="96"/>
      <c r="Q13" s="97"/>
      <c r="R13" s="98"/>
      <c r="S13" s="100"/>
      <c r="T13" s="101"/>
      <c r="U13" s="96"/>
    </row>
    <row r="14" spans="1:21" ht="27" customHeight="1" x14ac:dyDescent="0.75">
      <c r="A14" s="96"/>
      <c r="B14" s="97" t="s">
        <v>113</v>
      </c>
      <c r="C14" s="98">
        <v>65</v>
      </c>
      <c r="D14" s="100"/>
      <c r="E14" s="101">
        <f t="shared" si="0"/>
        <v>65</v>
      </c>
      <c r="F14" s="102"/>
      <c r="H14" s="129"/>
      <c r="I14" s="97"/>
      <c r="J14" s="98"/>
      <c r="K14" s="100"/>
      <c r="L14" s="101">
        <f t="shared" si="1"/>
        <v>65</v>
      </c>
      <c r="M14" s="96"/>
      <c r="P14" s="96"/>
      <c r="Q14" s="97"/>
      <c r="R14" s="98"/>
      <c r="S14" s="100"/>
      <c r="T14" s="123"/>
      <c r="U14" s="96"/>
    </row>
    <row r="15" spans="1:21" ht="27" customHeight="1" x14ac:dyDescent="0.75">
      <c r="A15" s="96"/>
      <c r="B15" s="97" t="s">
        <v>118</v>
      </c>
      <c r="C15" s="98">
        <v>3</v>
      </c>
      <c r="D15" s="100"/>
      <c r="E15" s="101">
        <f t="shared" si="0"/>
        <v>3</v>
      </c>
      <c r="F15" s="102"/>
      <c r="H15" s="129"/>
      <c r="I15" s="97"/>
      <c r="J15" s="98"/>
      <c r="K15" s="100"/>
      <c r="L15" s="101">
        <f t="shared" si="1"/>
        <v>3</v>
      </c>
      <c r="M15" s="96"/>
      <c r="P15" s="96"/>
      <c r="Q15" s="97"/>
      <c r="R15" s="98"/>
      <c r="S15" s="100"/>
      <c r="T15" s="101"/>
      <c r="U15" s="96"/>
    </row>
    <row r="16" spans="1:21" ht="27" customHeight="1" x14ac:dyDescent="0.75">
      <c r="A16" s="96"/>
      <c r="B16" s="97" t="s">
        <v>166</v>
      </c>
      <c r="C16" s="98">
        <v>2</v>
      </c>
      <c r="D16" s="100"/>
      <c r="E16" s="101">
        <f t="shared" si="0"/>
        <v>2</v>
      </c>
      <c r="F16" s="102" t="s">
        <v>178</v>
      </c>
      <c r="H16" s="129"/>
      <c r="I16" s="97"/>
      <c r="J16" s="98"/>
      <c r="K16" s="100"/>
      <c r="L16" s="101">
        <f t="shared" si="1"/>
        <v>2</v>
      </c>
      <c r="M16" s="96"/>
      <c r="P16" s="96"/>
      <c r="Q16" s="97"/>
      <c r="R16" s="98"/>
      <c r="S16" s="100"/>
      <c r="T16" s="101"/>
      <c r="U16" s="96"/>
    </row>
    <row r="17" spans="1:21" ht="40.5" customHeight="1" x14ac:dyDescent="0.75">
      <c r="A17" s="96"/>
      <c r="B17" s="97" t="s">
        <v>135</v>
      </c>
      <c r="C17" s="98">
        <v>16</v>
      </c>
      <c r="D17" s="100"/>
      <c r="E17" s="101">
        <f t="shared" si="0"/>
        <v>16</v>
      </c>
      <c r="F17" s="102"/>
      <c r="H17" s="96"/>
      <c r="I17" s="97"/>
      <c r="J17" s="98"/>
      <c r="K17" s="100"/>
      <c r="L17" s="101">
        <f t="shared" si="1"/>
        <v>16</v>
      </c>
      <c r="M17" s="96"/>
      <c r="P17" s="96"/>
      <c r="Q17" s="97"/>
      <c r="R17" s="98"/>
      <c r="S17" s="100"/>
      <c r="T17" s="101"/>
      <c r="U17" s="96"/>
    </row>
    <row r="18" spans="1:21" x14ac:dyDescent="0.75">
      <c r="A18" s="96"/>
      <c r="B18" s="97"/>
      <c r="C18" s="98"/>
      <c r="D18" s="100"/>
      <c r="E18" s="101">
        <f t="shared" si="0"/>
        <v>0</v>
      </c>
      <c r="F18" s="102"/>
      <c r="H18" s="96"/>
      <c r="I18" s="97"/>
      <c r="J18" s="98"/>
      <c r="K18" s="100"/>
      <c r="L18" s="101">
        <f t="shared" ref="L18:L23" si="2">J18-K18</f>
        <v>0</v>
      </c>
      <c r="M18" s="96"/>
      <c r="P18" s="96"/>
      <c r="Q18" s="97"/>
      <c r="R18" s="98"/>
      <c r="S18" s="100"/>
      <c r="T18" s="101"/>
      <c r="U18" s="96"/>
    </row>
    <row r="19" spans="1:21" ht="22.5" customHeight="1" x14ac:dyDescent="0.75">
      <c r="A19" s="96"/>
      <c r="B19" s="97"/>
      <c r="C19" s="101"/>
      <c r="D19" s="100"/>
      <c r="E19" s="101">
        <f t="shared" si="0"/>
        <v>0</v>
      </c>
      <c r="F19" s="102"/>
      <c r="H19" s="96"/>
      <c r="I19" s="97"/>
      <c r="J19" s="98"/>
      <c r="K19" s="100"/>
      <c r="L19" s="101">
        <f t="shared" si="2"/>
        <v>0</v>
      </c>
      <c r="M19" s="96"/>
      <c r="P19" s="96"/>
      <c r="Q19" s="97"/>
      <c r="R19" s="98"/>
      <c r="S19" s="100"/>
      <c r="T19" s="101"/>
      <c r="U19" s="96"/>
    </row>
    <row r="20" spans="1:21" ht="18" customHeight="1" x14ac:dyDescent="0.75">
      <c r="A20" s="96"/>
      <c r="B20" s="97"/>
      <c r="C20" s="98"/>
      <c r="D20" s="100"/>
      <c r="E20" s="125">
        <f t="shared" si="0"/>
        <v>0</v>
      </c>
      <c r="F20" s="102"/>
      <c r="H20" s="96"/>
      <c r="I20" s="96"/>
      <c r="J20" s="126"/>
      <c r="K20" s="100"/>
      <c r="L20" s="125">
        <f t="shared" si="2"/>
        <v>0</v>
      </c>
      <c r="M20" s="96"/>
      <c r="P20" s="96"/>
      <c r="Q20" s="96"/>
      <c r="R20" s="126"/>
      <c r="S20" s="100"/>
      <c r="T20" s="125"/>
      <c r="U20" s="96"/>
    </row>
    <row r="21" spans="1:21" x14ac:dyDescent="0.75">
      <c r="A21" s="96"/>
      <c r="B21" s="97"/>
      <c r="C21" s="96"/>
      <c r="D21" s="100"/>
      <c r="E21" s="125">
        <f t="shared" si="0"/>
        <v>0</v>
      </c>
      <c r="F21" s="102"/>
      <c r="H21" s="96"/>
      <c r="I21" s="96"/>
      <c r="J21" s="96"/>
      <c r="K21" s="100"/>
      <c r="L21" s="125">
        <f t="shared" si="2"/>
        <v>0</v>
      </c>
      <c r="M21" s="96"/>
      <c r="P21" s="96"/>
      <c r="Q21" s="96"/>
      <c r="R21" s="96"/>
      <c r="S21" s="100"/>
      <c r="T21" s="125"/>
      <c r="U21" s="96"/>
    </row>
    <row r="22" spans="1:21" x14ac:dyDescent="0.75">
      <c r="A22" s="96"/>
      <c r="B22" s="97"/>
      <c r="C22" s="96"/>
      <c r="D22" s="100"/>
      <c r="E22" s="125">
        <f t="shared" si="0"/>
        <v>0</v>
      </c>
      <c r="F22" s="102"/>
      <c r="H22" s="96"/>
      <c r="I22" s="97"/>
      <c r="J22" s="96"/>
      <c r="K22" s="100"/>
      <c r="L22" s="125">
        <f t="shared" si="2"/>
        <v>0</v>
      </c>
      <c r="M22" s="96"/>
      <c r="P22" s="96"/>
      <c r="Q22" s="97"/>
      <c r="R22" s="96"/>
      <c r="S22" s="100"/>
      <c r="T22" s="125"/>
      <c r="U22" s="96"/>
    </row>
    <row r="23" spans="1:21" x14ac:dyDescent="0.75">
      <c r="A23" s="96"/>
      <c r="B23" s="97"/>
      <c r="C23" s="96"/>
      <c r="D23" s="99"/>
      <c r="E23" s="125">
        <f t="shared" si="0"/>
        <v>0</v>
      </c>
      <c r="F23" s="102"/>
      <c r="H23" s="96"/>
      <c r="I23" s="97"/>
      <c r="J23" s="96"/>
      <c r="K23" s="99"/>
      <c r="L23" s="101">
        <f t="shared" si="2"/>
        <v>0</v>
      </c>
      <c r="M23" s="96"/>
      <c r="P23" s="96"/>
      <c r="Q23" s="97"/>
      <c r="R23" s="96"/>
      <c r="S23" s="99"/>
      <c r="T23" s="101"/>
      <c r="U23" s="96"/>
    </row>
    <row r="24" spans="1:21" x14ac:dyDescent="0.75">
      <c r="A24" s="51"/>
      <c r="B24" s="103"/>
      <c r="C24" s="51"/>
      <c r="D24" s="51"/>
      <c r="E24" s="104"/>
      <c r="H24" s="51"/>
      <c r="I24" s="103"/>
      <c r="J24" s="51"/>
      <c r="K24" s="51"/>
      <c r="L24" s="104"/>
      <c r="M24" s="51"/>
    </row>
  </sheetData>
  <pageMargins left="0.25" right="0.25" top="0.25" bottom="0.25" header="0" footer="0"/>
  <pageSetup orientation="portrait" r:id="rId1"/>
  <colBreaks count="1" manualBreakCount="1">
    <brk id="7" max="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86E8-630B-4FEF-94A7-85E4AB48EF0F}">
  <dimension ref="A1:H35"/>
  <sheetViews>
    <sheetView topLeftCell="A14" zoomScaleNormal="100" workbookViewId="0">
      <selection activeCell="G25" sqref="G25"/>
    </sheetView>
  </sheetViews>
  <sheetFormatPr defaultRowHeight="14.75" x14ac:dyDescent="0.75"/>
  <cols>
    <col min="1" max="1" width="16.76953125" customWidth="1"/>
    <col min="2" max="2" width="6.453125" customWidth="1"/>
    <col min="6" max="6" width="11.6328125" customWidth="1"/>
    <col min="7" max="7" width="4.953125" customWidth="1"/>
    <col min="11" max="11" width="6.453125" customWidth="1"/>
  </cols>
  <sheetData>
    <row r="1" spans="1:8" x14ac:dyDescent="0.75">
      <c r="A1" t="s">
        <v>91</v>
      </c>
    </row>
    <row r="3" spans="1:8" x14ac:dyDescent="0.75">
      <c r="A3" s="50" t="s">
        <v>67</v>
      </c>
      <c r="B3" s="51" t="s">
        <v>68</v>
      </c>
      <c r="C3" s="51"/>
      <c r="D3" s="51"/>
      <c r="E3" s="52"/>
    </row>
    <row r="4" spans="1:8" x14ac:dyDescent="0.75">
      <c r="A4" s="53"/>
      <c r="E4" s="54"/>
      <c r="G4" s="79">
        <v>16</v>
      </c>
      <c r="H4" t="s">
        <v>90</v>
      </c>
    </row>
    <row r="5" spans="1:8" x14ac:dyDescent="0.75">
      <c r="A5" s="55" t="s">
        <v>69</v>
      </c>
      <c r="B5" s="56" t="s">
        <v>70</v>
      </c>
      <c r="C5" s="58">
        <v>16</v>
      </c>
      <c r="D5" s="56" t="s">
        <v>63</v>
      </c>
      <c r="E5" s="57"/>
    </row>
    <row r="7" spans="1:8" x14ac:dyDescent="0.75">
      <c r="A7" s="50" t="s">
        <v>69</v>
      </c>
      <c r="B7" s="51" t="s">
        <v>68</v>
      </c>
      <c r="C7" s="51"/>
      <c r="D7" s="51"/>
      <c r="E7" s="52"/>
    </row>
    <row r="8" spans="1:8" x14ac:dyDescent="0.75">
      <c r="A8" s="53"/>
      <c r="E8" s="54"/>
    </row>
    <row r="9" spans="1:8" x14ac:dyDescent="0.75">
      <c r="A9" s="55" t="s">
        <v>71</v>
      </c>
      <c r="B9" s="56" t="s">
        <v>70</v>
      </c>
      <c r="C9" s="58">
        <v>16</v>
      </c>
      <c r="D9" s="56" t="s">
        <v>63</v>
      </c>
      <c r="E9" s="57"/>
    </row>
    <row r="11" spans="1:8" x14ac:dyDescent="0.75">
      <c r="A11" s="50" t="s">
        <v>71</v>
      </c>
      <c r="B11" s="51" t="s">
        <v>68</v>
      </c>
      <c r="C11" s="51"/>
      <c r="D11" s="51"/>
      <c r="E11" s="52"/>
    </row>
    <row r="12" spans="1:8" x14ac:dyDescent="0.75">
      <c r="A12" s="53"/>
      <c r="E12" s="54"/>
    </row>
    <row r="13" spans="1:8" x14ac:dyDescent="0.75">
      <c r="A13" s="55" t="s">
        <v>72</v>
      </c>
      <c r="B13" s="56" t="s">
        <v>70</v>
      </c>
      <c r="C13" s="58">
        <v>16</v>
      </c>
      <c r="D13" s="56" t="s">
        <v>63</v>
      </c>
      <c r="E13" s="57"/>
    </row>
    <row r="15" spans="1:8" x14ac:dyDescent="0.75">
      <c r="A15" s="50" t="s">
        <v>72</v>
      </c>
      <c r="B15" s="51" t="s">
        <v>68</v>
      </c>
      <c r="C15" s="51"/>
      <c r="D15" s="51"/>
      <c r="E15" s="52"/>
    </row>
    <row r="16" spans="1:8" x14ac:dyDescent="0.75">
      <c r="A16" s="53"/>
      <c r="E16" s="54"/>
    </row>
    <row r="17" spans="1:8" x14ac:dyDescent="0.75">
      <c r="A17" s="55" t="s">
        <v>73</v>
      </c>
      <c r="B17" s="56" t="s">
        <v>70</v>
      </c>
      <c r="C17" s="58">
        <v>16</v>
      </c>
      <c r="D17" s="56" t="s">
        <v>63</v>
      </c>
      <c r="E17" s="57"/>
    </row>
    <row r="19" spans="1:8" x14ac:dyDescent="0.75">
      <c r="A19" s="50" t="s">
        <v>73</v>
      </c>
      <c r="B19" s="51" t="s">
        <v>68</v>
      </c>
      <c r="C19" s="51"/>
      <c r="D19" s="51"/>
      <c r="E19" s="52"/>
    </row>
    <row r="20" spans="1:8" x14ac:dyDescent="0.75">
      <c r="A20" s="53"/>
      <c r="E20" s="54"/>
    </row>
    <row r="21" spans="1:8" x14ac:dyDescent="0.75">
      <c r="A21" s="55" t="s">
        <v>74</v>
      </c>
      <c r="B21" s="56" t="s">
        <v>70</v>
      </c>
      <c r="C21" s="58">
        <v>16</v>
      </c>
      <c r="D21" s="56" t="s">
        <v>63</v>
      </c>
      <c r="E21" s="57"/>
    </row>
    <row r="23" spans="1:8" x14ac:dyDescent="0.75">
      <c r="A23" s="50" t="s">
        <v>74</v>
      </c>
      <c r="B23" s="51" t="s">
        <v>70</v>
      </c>
      <c r="C23" s="51"/>
      <c r="D23" s="51"/>
      <c r="E23" s="52"/>
    </row>
    <row r="24" spans="1:8" x14ac:dyDescent="0.75">
      <c r="A24" s="53"/>
      <c r="E24" s="54"/>
      <c r="G24" s="59">
        <f>SUM(C21,C25,C29)</f>
        <v>64</v>
      </c>
      <c r="H24" t="s">
        <v>77</v>
      </c>
    </row>
    <row r="25" spans="1:8" x14ac:dyDescent="0.75">
      <c r="A25" s="55" t="s">
        <v>75</v>
      </c>
      <c r="B25" s="56" t="s">
        <v>70</v>
      </c>
      <c r="C25" s="56">
        <v>24</v>
      </c>
      <c r="D25" s="56" t="s">
        <v>63</v>
      </c>
      <c r="E25" s="57"/>
    </row>
    <row r="27" spans="1:8" x14ac:dyDescent="0.75">
      <c r="A27" s="50" t="s">
        <v>75</v>
      </c>
      <c r="B27" s="51" t="s">
        <v>70</v>
      </c>
      <c r="C27" s="51"/>
      <c r="D27" s="51"/>
      <c r="E27" s="52"/>
    </row>
    <row r="28" spans="1:8" x14ac:dyDescent="0.75">
      <c r="A28" s="53"/>
      <c r="E28" s="54"/>
    </row>
    <row r="29" spans="1:8" x14ac:dyDescent="0.75">
      <c r="A29" s="55" t="s">
        <v>67</v>
      </c>
      <c r="B29" s="56" t="s">
        <v>70</v>
      </c>
      <c r="C29" s="56">
        <v>24</v>
      </c>
      <c r="D29" s="56" t="s">
        <v>63</v>
      </c>
      <c r="E29" s="57"/>
    </row>
    <row r="31" spans="1:8" ht="15.5" thickBot="1" x14ac:dyDescent="0.9"/>
    <row r="32" spans="1:8" x14ac:dyDescent="0.75">
      <c r="A32" s="61" t="s">
        <v>76</v>
      </c>
      <c r="B32" s="62"/>
      <c r="C32" s="63">
        <f>SUM(C5,C9,C13,C17,C21,C25,C29)</f>
        <v>128</v>
      </c>
      <c r="D32" s="62" t="s">
        <v>63</v>
      </c>
      <c r="E32" s="62"/>
      <c r="F32" s="62"/>
      <c r="G32" s="62"/>
      <c r="H32" s="62"/>
    </row>
    <row r="35" spans="1:4" x14ac:dyDescent="0.75">
      <c r="A35" s="64" t="s">
        <v>78</v>
      </c>
      <c r="C35">
        <f>C32*2</f>
        <v>256</v>
      </c>
      <c r="D35" t="s">
        <v>63</v>
      </c>
    </row>
  </sheetData>
  <pageMargins left="0.25" right="0.25" top="0.25" bottom="0.25" header="0" footer="0"/>
  <pageSetup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Tyler Payroll Example</vt:lpstr>
      <vt:lpstr>Sheet1</vt:lpstr>
      <vt:lpstr>On call Hour</vt:lpstr>
      <vt:lpstr>Sheet1!Print_Area</vt:lpstr>
      <vt:lpstr>'Tyler Payroll Example'!Print_Area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Ahlman</dc:creator>
  <cp:lastModifiedBy>Silas Shelton</cp:lastModifiedBy>
  <cp:lastPrinted>2026-05-19T21:41:06Z</cp:lastPrinted>
  <dcterms:created xsi:type="dcterms:W3CDTF">2021-04-07T17:06:04Z</dcterms:created>
  <dcterms:modified xsi:type="dcterms:W3CDTF">2026-05-19T21:43:26Z</dcterms:modified>
</cp:coreProperties>
</file>