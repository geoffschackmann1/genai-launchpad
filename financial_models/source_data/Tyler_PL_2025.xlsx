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_);($#,##0.00);&quot;-&quot;"/>
    <numFmt numFmtId="165" formatCode="0.0%_);(0.0%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1"/>
    </font>
    <font>
      <name val="Arial"/>
      <i val="1"/>
      <color rgb="00000000"/>
      <sz val="10"/>
    </font>
    <font>
      <name val="Arial"/>
      <color rgb="00808080"/>
      <sz val="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EBF0F7"/>
      </patternFill>
    </fill>
  </fills>
  <borders count="2">
    <border>
      <left/>
      <right/>
      <top/>
      <bottom/>
      <diagonal/>
    </border>
    <border>
      <top style="medium"/>
      <bottom style="double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0" fontId="6" fillId="4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5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/>
    </xf>
    <xf numFmtId="0" fontId="8" fillId="6" borderId="0" applyAlignment="1" pivotButton="0" quotePrefix="0" xfId="0">
      <alignment horizontal="left" vertical="center"/>
    </xf>
    <xf numFmtId="164" fontId="8" fillId="6" borderId="0" applyAlignment="1" pivotButton="0" quotePrefix="0" xfId="0">
      <alignment horizontal="right"/>
    </xf>
    <xf numFmtId="0" fontId="9" fillId="7" borderId="0" applyAlignment="1" pivotButton="0" quotePrefix="0" xfId="0">
      <alignment horizontal="left" vertical="center"/>
    </xf>
    <xf numFmtId="0" fontId="6" fillId="7" borderId="0" pivotButton="0" quotePrefix="0" xfId="0"/>
    <xf numFmtId="164" fontId="5" fillId="4" borderId="0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/>
    </xf>
    <xf numFmtId="164" fontId="2" fillId="2" borderId="1" applyAlignment="1" pivotButton="0" quotePrefix="0" xfId="0">
      <alignment horizontal="right"/>
    </xf>
    <xf numFmtId="0" fontId="6" fillId="7" borderId="0" applyAlignment="1" pivotButton="0" quotePrefix="0" xfId="0">
      <alignment horizontal="left" vertical="center"/>
    </xf>
    <xf numFmtId="164" fontId="6" fillId="7" borderId="0" applyAlignment="1" pivotButton="0" quotePrefix="0" xfId="0">
      <alignment horizontal="right"/>
    </xf>
    <xf numFmtId="165" fontId="6" fillId="7" borderId="0" applyAlignment="1" pivotButton="0" quotePrefix="0" xfId="0">
      <alignment horizontal="right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 ht="28" customHeight="1">
      <c r="A1" s="1" t="inlineStr">
        <is>
          <t>PALOMA HOSPICE — TYLER LOCATION</t>
        </is>
      </c>
    </row>
    <row r="2" ht="22" customHeight="1">
      <c r="A2" s="2" t="inlineStr">
        <is>
          <t>Profit &amp; Loss Statement</t>
        </is>
      </c>
    </row>
    <row r="3" ht="18" customHeight="1">
      <c r="A3" s="3" t="inlineStr">
        <is>
          <t>Cash Basis  |  January 2025 – December 2025</t>
        </is>
      </c>
    </row>
    <row r="4" ht="8" customHeight="1"/>
    <row r="5" ht="20" customHeight="1">
      <c r="A5" s="4" t="inlineStr">
        <is>
          <t>Account</t>
        </is>
      </c>
      <c r="B5" s="5" t="inlineStr">
        <is>
          <t>Jan 2025</t>
        </is>
      </c>
      <c r="C5" s="5" t="inlineStr">
        <is>
          <t>Feb 2025</t>
        </is>
      </c>
      <c r="D5" s="5" t="inlineStr">
        <is>
          <t>Mar 2025</t>
        </is>
      </c>
      <c r="E5" s="5" t="inlineStr">
        <is>
          <t>Apr 2025</t>
        </is>
      </c>
      <c r="F5" s="5" t="inlineStr">
        <is>
          <t>May 2025</t>
        </is>
      </c>
      <c r="G5" s="5" t="inlineStr">
        <is>
          <t>Jun 2025</t>
        </is>
      </c>
      <c r="H5" s="5" t="inlineStr">
        <is>
          <t>Jul 2025</t>
        </is>
      </c>
      <c r="I5" s="5" t="inlineStr">
        <is>
          <t>Aug 2025</t>
        </is>
      </c>
      <c r="J5" s="5" t="inlineStr">
        <is>
          <t>Sep 2025</t>
        </is>
      </c>
      <c r="K5" s="5" t="inlineStr">
        <is>
          <t>Oct 2025</t>
        </is>
      </c>
      <c r="L5" s="5" t="inlineStr">
        <is>
          <t>Nov 2025</t>
        </is>
      </c>
      <c r="M5" s="5" t="inlineStr">
        <is>
          <t>Dec 2025</t>
        </is>
      </c>
      <c r="N5" s="5" t="inlineStr">
        <is>
          <t>TOTAL 2025</t>
        </is>
      </c>
    </row>
    <row r="6" ht="17" customHeight="1">
      <c r="A6" s="6" t="inlineStr">
        <is>
          <t>INCOME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8" t="inlineStr">
        <is>
          <t xml:space="preserve">  Total Billed (Gross Revenue)</t>
        </is>
      </c>
      <c r="B7" s="9" t="n">
        <v>0</v>
      </c>
      <c r="C7" s="9" t="n">
        <v>0</v>
      </c>
      <c r="D7" s="9" t="n">
        <v>138295.8</v>
      </c>
      <c r="E7" s="9" t="n">
        <v>116422.51</v>
      </c>
      <c r="F7" s="9" t="n">
        <v>127893.15</v>
      </c>
      <c r="G7" s="9" t="n">
        <v>119990.52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10">
        <f>SUM(B7:M7)</f>
        <v/>
      </c>
    </row>
    <row r="8">
      <c r="A8" s="8" t="inlineStr">
        <is>
          <t xml:space="preserve">  Less: CDAs Adjustment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10">
        <f>SUM(B8:M8)</f>
        <v/>
      </c>
    </row>
    <row r="9">
      <c r="A9" s="8" t="inlineStr">
        <is>
          <t xml:space="preserve">  Less: Net Due Zero (Write-offs)</t>
        </is>
      </c>
      <c r="B9" s="9" t="n">
        <v>0</v>
      </c>
      <c r="C9" s="9" t="n">
        <v>0</v>
      </c>
      <c r="D9" s="9" t="n">
        <v>179.62</v>
      </c>
      <c r="E9" s="9" t="n">
        <v>177.59</v>
      </c>
      <c r="F9" s="9" t="n">
        <v>172.62</v>
      </c>
      <c r="G9" s="9" t="n">
        <v>172.62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10">
        <f>SUM(B9:M9)</f>
        <v/>
      </c>
    </row>
    <row r="10">
      <c r="A10" s="8" t="inlineStr">
        <is>
          <t xml:space="preserve">  Less: Sequestration</t>
        </is>
      </c>
      <c r="B10" s="9" t="n">
        <v>0</v>
      </c>
      <c r="C10" s="9" t="n">
        <v>0</v>
      </c>
      <c r="D10" s="9" t="n">
        <v>3073.97</v>
      </c>
      <c r="E10" s="9" t="n">
        <v>2549.02</v>
      </c>
      <c r="F10" s="9" t="n">
        <v>2739.17</v>
      </c>
      <c r="G10" s="9" t="n">
        <v>3248.08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10">
        <f>SUM(B10:M10)</f>
        <v/>
      </c>
    </row>
    <row r="11">
      <c r="A11" s="8" t="inlineStr">
        <is>
          <t xml:space="preserve">  Less: Medication Adjustments</t>
        </is>
      </c>
      <c r="B11" s="9" t="n">
        <v>0</v>
      </c>
      <c r="C11" s="9" t="n">
        <v>0</v>
      </c>
      <c r="D11" s="9" t="n">
        <v>86.95999999999999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10">
        <f>SUM(B11:M11)</f>
        <v/>
      </c>
    </row>
    <row r="12">
      <c r="A12" s="11" t="inlineStr">
        <is>
          <t>NET REVENUE</t>
        </is>
      </c>
      <c r="B12" s="12">
        <f>B7-B8-B9-B10-B11</f>
        <v/>
      </c>
      <c r="C12" s="12">
        <f>C7-C8-C9-C10-C11</f>
        <v/>
      </c>
      <c r="D12" s="12">
        <f>D7-D8-D9-D10-D11</f>
        <v/>
      </c>
      <c r="E12" s="12">
        <f>E7-E8-E9-E10-E11</f>
        <v/>
      </c>
      <c r="F12" s="12">
        <f>F7-F8-F9-F10-F11</f>
        <v/>
      </c>
      <c r="G12" s="12">
        <f>G7-G8-G9-G10-G11</f>
        <v/>
      </c>
      <c r="H12" s="12">
        <f>H7-H8-H9-H10-H11</f>
        <v/>
      </c>
      <c r="I12" s="12">
        <f>I7-I8-I9-I10-I11</f>
        <v/>
      </c>
      <c r="J12" s="12">
        <f>J7-J8-J9-J10-J11</f>
        <v/>
      </c>
      <c r="K12" s="12">
        <f>K7-K8-K9-K10-K11</f>
        <v/>
      </c>
      <c r="L12" s="12">
        <f>L7-L8-L9-L10-L11</f>
        <v/>
      </c>
      <c r="M12" s="12">
        <f>M7-M8-M9-M10-M11</f>
        <v/>
      </c>
      <c r="N12" s="12">
        <f>SUM(B12:M12)</f>
        <v/>
      </c>
    </row>
    <row r="13" ht="8" customHeight="1"/>
    <row r="14" ht="17" customHeight="1">
      <c r="A14" s="6" t="inlineStr">
        <is>
          <t>COST OF SERVICES (Patient Expenses)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8" t="inlineStr">
        <is>
          <t xml:space="preserve">  Pharmacy</t>
        </is>
      </c>
      <c r="B15" s="9" t="n">
        <v>0</v>
      </c>
      <c r="C15" s="9" t="n">
        <v>0</v>
      </c>
      <c r="D15" s="9" t="n">
        <v>2001.11</v>
      </c>
      <c r="E15" s="9" t="n">
        <v>2149.05</v>
      </c>
      <c r="F15" s="9" t="n">
        <v>2293</v>
      </c>
      <c r="G15" s="9" t="n">
        <v>2293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10">
        <f>SUM(B15:M15)</f>
        <v/>
      </c>
    </row>
    <row r="16">
      <c r="A16" s="8" t="inlineStr">
        <is>
          <t xml:space="preserve">  Medical Supplies</t>
        </is>
      </c>
      <c r="B16" s="9" t="n">
        <v>0</v>
      </c>
      <c r="C16" s="9" t="n">
        <v>0</v>
      </c>
      <c r="D16" s="9" t="n">
        <v>1846.79</v>
      </c>
      <c r="E16" s="9" t="n">
        <v>1671.97</v>
      </c>
      <c r="F16" s="9" t="n">
        <v>3650</v>
      </c>
      <c r="G16" s="9" t="n">
        <v>3650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10">
        <f>SUM(B16:M16)</f>
        <v/>
      </c>
    </row>
    <row r="17">
      <c r="A17" s="8" t="inlineStr">
        <is>
          <t xml:space="preserve">  Durable Medical Equipment (DME)</t>
        </is>
      </c>
      <c r="B17" s="9" t="n">
        <v>0</v>
      </c>
      <c r="C17" s="9" t="n">
        <v>0</v>
      </c>
      <c r="D17" s="9" t="n">
        <v>1200.91</v>
      </c>
      <c r="E17" s="9" t="n">
        <v>1200</v>
      </c>
      <c r="F17" s="9" t="n">
        <v>1200</v>
      </c>
      <c r="G17" s="9" t="n">
        <v>1200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10">
        <f>SUM(B17:M17)</f>
        <v/>
      </c>
    </row>
    <row r="18">
      <c r="A18" s="8" t="inlineStr">
        <is>
          <t xml:space="preserve">  Respite Care</t>
        </is>
      </c>
      <c r="B18" s="9" t="n">
        <v>0</v>
      </c>
      <c r="C18" s="9" t="n">
        <v>0</v>
      </c>
      <c r="D18" s="9" t="n">
        <v>0</v>
      </c>
      <c r="E18" s="9" t="n">
        <v>373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10">
        <f>SUM(B18:M18)</f>
        <v/>
      </c>
    </row>
    <row r="19">
      <c r="A19" s="8" t="inlineStr">
        <is>
          <t xml:space="preserve">  Transportation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10">
        <f>SUM(B19:M19)</f>
        <v/>
      </c>
    </row>
    <row r="20">
      <c r="A20" s="8" t="inlineStr">
        <is>
          <t xml:space="preserve">  Infusion / Labs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10">
        <f>SUM(B20:M20)</f>
        <v/>
      </c>
    </row>
    <row r="21">
      <c r="A21" s="8" t="inlineStr">
        <is>
          <t xml:space="preserve">  PT / OT / ST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10">
        <f>SUM(B21:M21)</f>
        <v/>
      </c>
    </row>
    <row r="22">
      <c r="A22" s="11" t="inlineStr">
        <is>
          <t>TOTAL COST OF SERVICES</t>
        </is>
      </c>
      <c r="B22" s="12">
        <f>SUM(B15:B21)</f>
        <v/>
      </c>
      <c r="C22" s="12">
        <f>SUM(C15:C21)</f>
        <v/>
      </c>
      <c r="D22" s="12">
        <f>SUM(D15:D21)</f>
        <v/>
      </c>
      <c r="E22" s="12">
        <f>SUM(E15:E21)</f>
        <v/>
      </c>
      <c r="F22" s="12">
        <f>SUM(F15:F21)</f>
        <v/>
      </c>
      <c r="G22" s="12">
        <f>SUM(G15:G21)</f>
        <v/>
      </c>
      <c r="H22" s="12">
        <f>SUM(H15:H21)</f>
        <v/>
      </c>
      <c r="I22" s="12">
        <f>SUM(I15:I21)</f>
        <v/>
      </c>
      <c r="J22" s="12">
        <f>SUM(J15:J21)</f>
        <v/>
      </c>
      <c r="K22" s="12">
        <f>SUM(K15:K21)</f>
        <v/>
      </c>
      <c r="L22" s="12">
        <f>SUM(L15:L21)</f>
        <v/>
      </c>
      <c r="M22" s="12">
        <f>SUM(M15:M21)</f>
        <v/>
      </c>
      <c r="N22" s="12">
        <f>SUM(B22:M22)</f>
        <v/>
      </c>
    </row>
    <row r="23" ht="8" customHeight="1"/>
    <row r="24" ht="18" customHeight="1">
      <c r="A24" s="13" t="inlineStr">
        <is>
          <t>GROSS PROFIT</t>
        </is>
      </c>
      <c r="B24" s="14">
        <f>B12-B22</f>
        <v/>
      </c>
      <c r="C24" s="14">
        <f>C12-C22</f>
        <v/>
      </c>
      <c r="D24" s="14">
        <f>D12-D22</f>
        <v/>
      </c>
      <c r="E24" s="14">
        <f>E12-E22</f>
        <v/>
      </c>
      <c r="F24" s="14">
        <f>F12-F22</f>
        <v/>
      </c>
      <c r="G24" s="14">
        <f>G12-G22</f>
        <v/>
      </c>
      <c r="H24" s="14">
        <f>H12-H22</f>
        <v/>
      </c>
      <c r="I24" s="14">
        <f>I12-I22</f>
        <v/>
      </c>
      <c r="J24" s="14">
        <f>J12-J22</f>
        <v/>
      </c>
      <c r="K24" s="14">
        <f>K12-K22</f>
        <v/>
      </c>
      <c r="L24" s="14">
        <f>L12-L22</f>
        <v/>
      </c>
      <c r="M24" s="14">
        <f>M12-M22</f>
        <v/>
      </c>
      <c r="N24" s="14">
        <f>SUM(B24:M24)</f>
        <v/>
      </c>
    </row>
    <row r="25" ht="8" customHeight="1"/>
    <row r="26" ht="17" customHeight="1">
      <c r="A26" s="6" t="inlineStr">
        <is>
          <t>OPERATING EXPENSES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 ht="16" customHeight="1">
      <c r="A27" s="15" t="inlineStr">
        <is>
          <t xml:space="preserve">  Employee Expenses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</row>
    <row r="28">
      <c r="A28" s="8" t="inlineStr">
        <is>
          <t xml:space="preserve">    Payroll — 1st Half</t>
        </is>
      </c>
      <c r="B28" s="9" t="n">
        <v>0</v>
      </c>
      <c r="C28" s="9" t="n">
        <v>0</v>
      </c>
      <c r="D28" s="9" t="n">
        <v>20727.47</v>
      </c>
      <c r="E28" s="9" t="n">
        <v>22921.54</v>
      </c>
      <c r="F28" s="9" t="n">
        <v>22117.27</v>
      </c>
      <c r="G28" s="9" t="n">
        <v>31000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10">
        <f>SUM(B28:M28)</f>
        <v/>
      </c>
    </row>
    <row r="29">
      <c r="A29" s="8" t="inlineStr">
        <is>
          <t xml:space="preserve">    Payroll — 2nd Half</t>
        </is>
      </c>
      <c r="B29" s="9" t="n">
        <v>0</v>
      </c>
      <c r="C29" s="9" t="n">
        <v>0</v>
      </c>
      <c r="D29" s="9" t="n">
        <v>41512.9</v>
      </c>
      <c r="E29" s="9" t="n">
        <v>22765.1</v>
      </c>
      <c r="F29" s="9" t="n">
        <v>21499.29</v>
      </c>
      <c r="G29" s="9" t="n">
        <v>27000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10">
        <f>SUM(B29:M29)</f>
        <v/>
      </c>
    </row>
    <row r="30">
      <c r="A30" s="8" t="inlineStr">
        <is>
          <t xml:space="preserve">    Payroll YTD Adjustments</t>
        </is>
      </c>
      <c r="B30" s="9" t="n">
        <v>0</v>
      </c>
      <c r="C30" s="9" t="n">
        <v>0</v>
      </c>
      <c r="D30" s="9" t="n">
        <v>281.57</v>
      </c>
      <c r="E30" s="9" t="n">
        <v>90.62</v>
      </c>
      <c r="F30" s="9" t="n">
        <v>285.2</v>
      </c>
      <c r="G30" s="9" t="n">
        <v>289.18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10">
        <f>SUM(B30:M30)</f>
        <v/>
      </c>
    </row>
    <row r="31">
      <c r="A31" s="8" t="inlineStr">
        <is>
          <t xml:space="preserve">    Employer Taxes (FUTA/SUI/FICA/WC)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10">
        <f>SUM(B31:M31)</f>
        <v/>
      </c>
    </row>
    <row r="32">
      <c r="A32" s="8" t="inlineStr">
        <is>
          <t xml:space="preserve">    Contract Labor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10">
        <f>SUM(B32:M32)</f>
        <v/>
      </c>
    </row>
    <row r="33">
      <c r="A33" s="8" t="inlineStr">
        <is>
          <t xml:space="preserve">    Medical Director</t>
        </is>
      </c>
      <c r="B33" s="9" t="n">
        <v>0</v>
      </c>
      <c r="C33" s="9" t="n">
        <v>0</v>
      </c>
      <c r="D33" s="9" t="n">
        <v>1000</v>
      </c>
      <c r="E33" s="9" t="n">
        <v>1000</v>
      </c>
      <c r="F33" s="9" t="n">
        <v>1000</v>
      </c>
      <c r="G33" s="9" t="n">
        <v>1000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10">
        <f>SUM(B33:M33)</f>
        <v/>
      </c>
    </row>
    <row r="34">
      <c r="A34" s="8" t="inlineStr">
        <is>
          <t xml:space="preserve">    Medical Director 2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10">
        <f>SUM(B34:M34)</f>
        <v/>
      </c>
    </row>
    <row r="35">
      <c r="A35" s="8" t="inlineStr">
        <is>
          <t xml:space="preserve">    Intercompany Transfer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10">
        <f>SUM(B35:M35)</f>
        <v/>
      </c>
    </row>
    <row r="36">
      <c r="A36" s="8" t="inlineStr">
        <is>
          <t xml:space="preserve">    Staff Other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10">
        <f>SUM(B36:M36)</f>
        <v/>
      </c>
    </row>
    <row r="37">
      <c r="A37" s="6" t="inlineStr">
        <is>
          <t xml:space="preserve">  Total Employee Expense</t>
        </is>
      </c>
      <c r="B37" s="17">
        <f>SUM(B28:B36)</f>
        <v/>
      </c>
      <c r="C37" s="17">
        <f>SUM(C28:C36)</f>
        <v/>
      </c>
      <c r="D37" s="17">
        <f>SUM(D28:D36)</f>
        <v/>
      </c>
      <c r="E37" s="17">
        <f>SUM(E28:E36)</f>
        <v/>
      </c>
      <c r="F37" s="17">
        <f>SUM(F28:F36)</f>
        <v/>
      </c>
      <c r="G37" s="17">
        <f>SUM(G28:G36)</f>
        <v/>
      </c>
      <c r="H37" s="17">
        <f>SUM(H28:H36)</f>
        <v/>
      </c>
      <c r="I37" s="17">
        <f>SUM(I28:I36)</f>
        <v/>
      </c>
      <c r="J37" s="17">
        <f>SUM(J28:J36)</f>
        <v/>
      </c>
      <c r="K37" s="17">
        <f>SUM(K28:K36)</f>
        <v/>
      </c>
      <c r="L37" s="17">
        <f>SUM(L28:L36)</f>
        <v/>
      </c>
      <c r="M37" s="17">
        <f>SUM(M28:M36)</f>
        <v/>
      </c>
      <c r="N37" s="17">
        <f>SUM(B37:M37)</f>
        <v/>
      </c>
    </row>
    <row r="38" ht="8" customHeight="1"/>
    <row r="39" ht="16" customHeight="1">
      <c r="A39" s="15" t="inlineStr">
        <is>
          <t xml:space="preserve">  General &amp; Administrative Expenses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</row>
    <row r="40">
      <c r="A40" s="8" t="inlineStr">
        <is>
          <t xml:space="preserve">    Bank / Payroll Fees</t>
        </is>
      </c>
      <c r="B40" s="9" t="n">
        <v>0</v>
      </c>
      <c r="C40" s="9" t="n">
        <v>0</v>
      </c>
      <c r="D40" s="9" t="n">
        <v>2000</v>
      </c>
      <c r="E40" s="9" t="n">
        <v>1000</v>
      </c>
      <c r="F40" s="9" t="n">
        <v>2000</v>
      </c>
      <c r="G40" s="9" t="n">
        <v>2000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10">
        <f>SUM(B40:M40)</f>
        <v/>
      </c>
    </row>
    <row r="41">
      <c r="A41" s="8" t="inlineStr">
        <is>
          <t xml:space="preserve">    Triple Net Rent</t>
        </is>
      </c>
      <c r="B41" s="9" t="n">
        <v>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10">
        <f>SUM(B41:M41)</f>
        <v/>
      </c>
    </row>
    <row r="42">
      <c r="A42" s="8" t="inlineStr">
        <is>
          <t xml:space="preserve">    Utilities</t>
        </is>
      </c>
      <c r="B42" s="9" t="n">
        <v>0</v>
      </c>
      <c r="C42" s="9" t="n">
        <v>0</v>
      </c>
      <c r="D42" s="9" t="n">
        <v>293.06</v>
      </c>
      <c r="E42" s="9" t="n">
        <v>293.06</v>
      </c>
      <c r="F42" s="9" t="n">
        <v>293.06</v>
      </c>
      <c r="G42" s="9" t="n">
        <v>293.06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10">
        <f>SUM(B42:M42)</f>
        <v/>
      </c>
    </row>
    <row r="43">
      <c r="A43" s="8" t="inlineStr">
        <is>
          <t xml:space="preserve">    Internet</t>
        </is>
      </c>
      <c r="B43" s="9" t="n">
        <v>0</v>
      </c>
      <c r="C43" s="9" t="n">
        <v>0</v>
      </c>
      <c r="D43" s="9" t="n">
        <v>779.9400000000001</v>
      </c>
      <c r="E43" s="9" t="n">
        <v>779.04</v>
      </c>
      <c r="F43" s="9" t="n">
        <v>779.9400000000001</v>
      </c>
      <c r="G43" s="9" t="n">
        <v>779.9400000000001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10">
        <f>SUM(B43:M43)</f>
        <v/>
      </c>
    </row>
    <row r="44">
      <c r="A44" s="8" t="inlineStr">
        <is>
          <t xml:space="preserve">    Telephone / Fax</t>
        </is>
      </c>
      <c r="B44" s="9" t="n">
        <v>0</v>
      </c>
      <c r="C44" s="9" t="n">
        <v>0</v>
      </c>
      <c r="D44" s="9" t="n">
        <v>403</v>
      </c>
      <c r="E44" s="9" t="n">
        <v>403</v>
      </c>
      <c r="F44" s="9" t="n">
        <v>403</v>
      </c>
      <c r="G44" s="9" t="n">
        <v>403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10">
        <f>SUM(B44:M44)</f>
        <v/>
      </c>
    </row>
    <row r="45">
      <c r="A45" s="8" t="inlineStr">
        <is>
          <t xml:space="preserve">    After Hours Messaging (BVTM)</t>
        </is>
      </c>
      <c r="B45" s="9" t="n">
        <v>0</v>
      </c>
      <c r="C45" s="9" t="n">
        <v>0</v>
      </c>
      <c r="D45" s="9" t="n">
        <v>47.9</v>
      </c>
      <c r="E45" s="9" t="n">
        <v>47.9</v>
      </c>
      <c r="F45" s="9" t="n">
        <v>47.9</v>
      </c>
      <c r="G45" s="9" t="n">
        <v>47.9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10">
        <f>SUM(B45:M45)</f>
        <v/>
      </c>
    </row>
    <row r="46">
      <c r="A46" s="8" t="inlineStr">
        <is>
          <t xml:space="preserve">    CFO / AP Support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10">
        <f>SUM(B46:M46)</f>
        <v/>
      </c>
    </row>
    <row r="47">
      <c r="A47" s="8" t="inlineStr">
        <is>
          <t xml:space="preserve">    Support Services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10">
        <f>SUM(B47:M47)</f>
        <v/>
      </c>
    </row>
    <row r="48">
      <c r="A48" s="8" t="inlineStr">
        <is>
          <t xml:space="preserve">    Messaging / CRG Signer (46.7%)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10">
        <f>SUM(B48:M48)</f>
        <v/>
      </c>
    </row>
    <row r="49">
      <c r="A49" s="8" t="inlineStr">
        <is>
          <t xml:space="preserve">    NM Room &amp; Board</t>
        </is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10">
        <f>SUM(B49:M49)</f>
        <v/>
      </c>
    </row>
    <row r="50">
      <c r="A50" s="8" t="inlineStr">
        <is>
          <t xml:space="preserve">    Corporate Labor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10">
        <f>SUM(B50:M50)</f>
        <v/>
      </c>
    </row>
    <row r="51">
      <c r="A51" s="8" t="inlineStr">
        <is>
          <t xml:space="preserve">    Marketing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10">
        <f>SUM(B51:M51)</f>
        <v/>
      </c>
    </row>
    <row r="52">
      <c r="A52" s="8" t="inlineStr">
        <is>
          <t xml:space="preserve">    BCBP Billing Fee</t>
        </is>
      </c>
      <c r="B52" s="9" t="n">
        <v>0</v>
      </c>
      <c r="C52" s="9" t="n">
        <v>0</v>
      </c>
      <c r="D52" s="9" t="n">
        <v>1600</v>
      </c>
      <c r="E52" s="9" t="n">
        <v>1600</v>
      </c>
      <c r="F52" s="9" t="n">
        <v>1500</v>
      </c>
      <c r="G52" s="9" t="n">
        <v>1500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10">
        <f>SUM(B52:M52)</f>
        <v/>
      </c>
    </row>
    <row r="53">
      <c r="A53" s="8" t="inlineStr">
        <is>
          <t xml:space="preserve">    EMR System</t>
        </is>
      </c>
      <c r="B53" s="9" t="n">
        <v>0</v>
      </c>
      <c r="C53" s="9" t="n">
        <v>0</v>
      </c>
      <c r="D53" s="9" t="n">
        <v>1150</v>
      </c>
      <c r="E53" s="9" t="n">
        <v>1325</v>
      </c>
      <c r="F53" s="9" t="n">
        <v>1325</v>
      </c>
      <c r="G53" s="9" t="n">
        <v>1325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10">
        <f>SUM(B53:M53)</f>
        <v/>
      </c>
    </row>
    <row r="54">
      <c r="A54" s="8" t="inlineStr">
        <is>
          <t xml:space="preserve">    Other EMR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10">
        <f>SUM(B54:M54)</f>
        <v/>
      </c>
    </row>
    <row r="55">
      <c r="A55" s="8" t="inlineStr">
        <is>
          <t xml:space="preserve">    PCR (CPM)</t>
        </is>
      </c>
      <c r="B55" s="9" t="n">
        <v>0</v>
      </c>
      <c r="C55" s="9" t="n">
        <v>0</v>
      </c>
      <c r="D55" s="9" t="n">
        <v>1000</v>
      </c>
      <c r="E55" s="9" t="n">
        <v>1003</v>
      </c>
      <c r="F55" s="9" t="n">
        <v>1000</v>
      </c>
      <c r="G55" s="9" t="n">
        <v>1000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10">
        <f>SUM(B55:M55)</f>
        <v/>
      </c>
    </row>
    <row r="56">
      <c r="A56" s="8" t="inlineStr">
        <is>
          <t xml:space="preserve">    Ancillary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10">
        <f>SUM(B56:M56)</f>
        <v/>
      </c>
    </row>
    <row r="57">
      <c r="A57" s="8" t="inlineStr">
        <is>
          <t xml:space="preserve">    Liability Insurance (D&amp;O)</t>
        </is>
      </c>
      <c r="B57" s="9" t="n">
        <v>0</v>
      </c>
      <c r="C57" s="9" t="n">
        <v>0</v>
      </c>
      <c r="D57" s="9" t="n">
        <v>303</v>
      </c>
      <c r="E57" s="9" t="n">
        <v>340</v>
      </c>
      <c r="F57" s="9" t="n">
        <v>100</v>
      </c>
      <c r="G57" s="9" t="n">
        <v>100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10">
        <f>SUM(B57:M57)</f>
        <v/>
      </c>
    </row>
    <row r="58">
      <c r="A58" s="8" t="inlineStr">
        <is>
          <t xml:space="preserve">    QR Payment Fee (0.75%)</t>
        </is>
      </c>
      <c r="B58" s="9" t="n">
        <v>0</v>
      </c>
      <c r="C58" s="9" t="n">
        <v>0</v>
      </c>
      <c r="D58" s="9" t="n">
        <v>745.0700000000001</v>
      </c>
      <c r="E58" s="9" t="n">
        <v>145.97</v>
      </c>
      <c r="F58" s="9" t="n">
        <v>2144</v>
      </c>
      <c r="G58" s="9" t="n">
        <v>2144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  <c r="N58" s="10">
        <f>SUM(B58:M58)</f>
        <v/>
      </c>
    </row>
    <row r="59">
      <c r="A59" s="8" t="inlineStr">
        <is>
          <t xml:space="preserve">    Training / CEUs</t>
        </is>
      </c>
      <c r="B59" s="9" t="n">
        <v>0</v>
      </c>
      <c r="C59" s="9" t="n">
        <v>0</v>
      </c>
      <c r="D59" s="9" t="n">
        <v>100</v>
      </c>
      <c r="E59" s="9" t="n">
        <v>100</v>
      </c>
      <c r="F59" s="9" t="n">
        <v>100</v>
      </c>
      <c r="G59" s="9" t="n">
        <v>100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10">
        <f>SUM(B59:M59)</f>
        <v/>
      </c>
    </row>
    <row r="60">
      <c r="A60" s="8" t="inlineStr">
        <is>
          <t xml:space="preserve">    Credit Card Fees</t>
        </is>
      </c>
      <c r="B60" s="9" t="n">
        <v>0</v>
      </c>
      <c r="C60" s="9" t="n">
        <v>0</v>
      </c>
      <c r="D60" s="9" t="n">
        <v>1004.15</v>
      </c>
      <c r="E60" s="9" t="n">
        <v>1004.15</v>
      </c>
      <c r="F60" s="9" t="n">
        <v>1004.15</v>
      </c>
      <c r="G60" s="9" t="n">
        <v>1004.15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10">
        <f>SUM(B60:M60)</f>
        <v/>
      </c>
    </row>
    <row r="61">
      <c r="A61" s="8" t="inlineStr">
        <is>
          <t xml:space="preserve">    Other (QPf)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10">
        <f>SUM(B61:M61)</f>
        <v/>
      </c>
    </row>
    <row r="62">
      <c r="A62" s="8" t="inlineStr">
        <is>
          <t xml:space="preserve">    Other (Client)</t>
        </is>
      </c>
      <c r="B62" s="9" t="n">
        <v>0</v>
      </c>
      <c r="C62" s="9" t="n">
        <v>0</v>
      </c>
      <c r="D62" s="9" t="n">
        <v>1200</v>
      </c>
      <c r="E62" s="9" t="n">
        <v>1000</v>
      </c>
      <c r="F62" s="9" t="n">
        <v>1000</v>
      </c>
      <c r="G62" s="9" t="n">
        <v>1000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10">
        <f>SUM(B62:M62)</f>
        <v/>
      </c>
    </row>
    <row r="63">
      <c r="A63" s="6" t="inlineStr">
        <is>
          <t xml:space="preserve">  Total G&amp;A Expense</t>
        </is>
      </c>
      <c r="B63" s="17">
        <f>SUM(B40:B62)</f>
        <v/>
      </c>
      <c r="C63" s="17">
        <f>SUM(C40:C62)</f>
        <v/>
      </c>
      <c r="D63" s="17">
        <f>SUM(D40:D62)</f>
        <v/>
      </c>
      <c r="E63" s="17">
        <f>SUM(E40:E62)</f>
        <v/>
      </c>
      <c r="F63" s="17">
        <f>SUM(F40:F62)</f>
        <v/>
      </c>
      <c r="G63" s="17">
        <f>SUM(G40:G62)</f>
        <v/>
      </c>
      <c r="H63" s="17">
        <f>SUM(H40:H62)</f>
        <v/>
      </c>
      <c r="I63" s="17">
        <f>SUM(I40:I62)</f>
        <v/>
      </c>
      <c r="J63" s="17">
        <f>SUM(J40:J62)</f>
        <v/>
      </c>
      <c r="K63" s="17">
        <f>SUM(K40:K62)</f>
        <v/>
      </c>
      <c r="L63" s="17">
        <f>SUM(L40:L62)</f>
        <v/>
      </c>
      <c r="M63" s="17">
        <f>SUM(M40:M62)</f>
        <v/>
      </c>
      <c r="N63" s="17">
        <f>SUM(B63:M63)</f>
        <v/>
      </c>
    </row>
    <row r="64" ht="8" customHeight="1"/>
    <row r="65" ht="18" customHeight="1">
      <c r="A65" s="13" t="inlineStr">
        <is>
          <t>TOTAL OPERATING EXPENSES</t>
        </is>
      </c>
      <c r="B65" s="14">
        <f>B37+B63</f>
        <v/>
      </c>
      <c r="C65" s="14">
        <f>C37+C63</f>
        <v/>
      </c>
      <c r="D65" s="14">
        <f>D37+D63</f>
        <v/>
      </c>
      <c r="E65" s="14">
        <f>E37+E63</f>
        <v/>
      </c>
      <c r="F65" s="14">
        <f>F37+F63</f>
        <v/>
      </c>
      <c r="G65" s="14">
        <f>G37+G63</f>
        <v/>
      </c>
      <c r="H65" s="14">
        <f>H37+H63</f>
        <v/>
      </c>
      <c r="I65" s="14">
        <f>I37+I63</f>
        <v/>
      </c>
      <c r="J65" s="14">
        <f>J37+J63</f>
        <v/>
      </c>
      <c r="K65" s="14">
        <f>K37+K63</f>
        <v/>
      </c>
      <c r="L65" s="14">
        <f>L37+L63</f>
        <v/>
      </c>
      <c r="M65" s="14">
        <f>M37+M63</f>
        <v/>
      </c>
      <c r="N65" s="14">
        <f>SUM(B65:M65)</f>
        <v/>
      </c>
    </row>
    <row r="66" ht="8" customHeight="1"/>
    <row r="67" ht="22" customHeight="1">
      <c r="A67" s="18" t="inlineStr">
        <is>
          <t>NET INCOME</t>
        </is>
      </c>
      <c r="B67" s="19">
        <f>B24-B65</f>
        <v/>
      </c>
      <c r="C67" s="19">
        <f>C24-C65</f>
        <v/>
      </c>
      <c r="D67" s="19">
        <f>D24-D65</f>
        <v/>
      </c>
      <c r="E67" s="19">
        <f>E24-E65</f>
        <v/>
      </c>
      <c r="F67" s="19">
        <f>F24-F65</f>
        <v/>
      </c>
      <c r="G67" s="19">
        <f>G24-G65</f>
        <v/>
      </c>
      <c r="H67" s="19">
        <f>H24-H65</f>
        <v/>
      </c>
      <c r="I67" s="19">
        <f>I24-I65</f>
        <v/>
      </c>
      <c r="J67" s="19">
        <f>J24-J65</f>
        <v/>
      </c>
      <c r="K67" s="19">
        <f>K24-K65</f>
        <v/>
      </c>
      <c r="L67" s="19">
        <f>L24-L65</f>
        <v/>
      </c>
      <c r="M67" s="19">
        <f>M24-M65</f>
        <v/>
      </c>
      <c r="N67" s="19">
        <f>SUM(B67:M67)</f>
        <v/>
      </c>
    </row>
    <row r="68" ht="12" customHeight="1"/>
    <row r="69" ht="17" customHeight="1">
      <c r="A69" s="6" t="inlineStr">
        <is>
          <t>EXTENDED ANALYSIS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20" t="inlineStr">
        <is>
          <t xml:space="preserve">  EBITDA</t>
        </is>
      </c>
      <c r="B70" s="21">
        <f>B67</f>
        <v/>
      </c>
      <c r="C70" s="21">
        <f>C67</f>
        <v/>
      </c>
      <c r="D70" s="21">
        <f>D67</f>
        <v/>
      </c>
      <c r="E70" s="21">
        <f>E67</f>
        <v/>
      </c>
      <c r="F70" s="21">
        <f>F67</f>
        <v/>
      </c>
      <c r="G70" s="21">
        <f>G67</f>
        <v/>
      </c>
      <c r="H70" s="21">
        <f>H67</f>
        <v/>
      </c>
      <c r="I70" s="21">
        <f>I67</f>
        <v/>
      </c>
      <c r="J70" s="21">
        <f>J67</f>
        <v/>
      </c>
      <c r="K70" s="21">
        <f>K67</f>
        <v/>
      </c>
      <c r="L70" s="21">
        <f>L67</f>
        <v/>
      </c>
      <c r="M70" s="21">
        <f>M67</f>
        <v/>
      </c>
      <c r="N70" s="21">
        <f>SUM(B70:M70)</f>
        <v/>
      </c>
    </row>
    <row r="71">
      <c r="A71" s="20" t="inlineStr">
        <is>
          <t xml:space="preserve">  NOV Margin %</t>
        </is>
      </c>
      <c r="B71" s="22">
        <f>IF(B12=0,0,B67/B12)</f>
        <v/>
      </c>
      <c r="C71" s="22">
        <f>IF(C12=0,0,C67/C12)</f>
        <v/>
      </c>
      <c r="D71" s="22">
        <f>IF(D12=0,0,D67/D12)</f>
        <v/>
      </c>
      <c r="E71" s="22">
        <f>IF(E12=0,0,E67/E12)</f>
        <v/>
      </c>
      <c r="F71" s="22">
        <f>IF(F12=0,0,F67/F12)</f>
        <v/>
      </c>
      <c r="G71" s="22">
        <f>IF(G12=0,0,G67/G12)</f>
        <v/>
      </c>
      <c r="H71" s="22">
        <f>IF(H12=0,0,H67/H12)</f>
        <v/>
      </c>
      <c r="I71" s="22">
        <f>IF(I12=0,0,I67/I12)</f>
        <v/>
      </c>
      <c r="J71" s="22">
        <f>IF(J12=0,0,J67/J12)</f>
        <v/>
      </c>
      <c r="K71" s="22">
        <f>IF(K12=0,0,K67/K12)</f>
        <v/>
      </c>
      <c r="L71" s="22">
        <f>IF(L12=0,0,L67/L12)</f>
        <v/>
      </c>
      <c r="M71" s="22">
        <f>IF(M12=0,0,M67/M12)</f>
        <v/>
      </c>
      <c r="N71" s="22">
        <f>IF(N12=0,0,N67/N12)</f>
        <v/>
      </c>
    </row>
    <row r="72">
      <c r="A72" s="20" t="inlineStr">
        <is>
          <t xml:space="preserve">  EBITDA Margin %</t>
        </is>
      </c>
      <c r="B72" s="22">
        <f>IF(B12=0,0,B70/B12)</f>
        <v/>
      </c>
      <c r="C72" s="22">
        <f>IF(C12=0,0,C70/C12)</f>
        <v/>
      </c>
      <c r="D72" s="22">
        <f>IF(D12=0,0,D70/D12)</f>
        <v/>
      </c>
      <c r="E72" s="22">
        <f>IF(E12=0,0,E70/E12)</f>
        <v/>
      </c>
      <c r="F72" s="22">
        <f>IF(F12=0,0,F70/F12)</f>
        <v/>
      </c>
      <c r="G72" s="22">
        <f>IF(G12=0,0,G70/G12)</f>
        <v/>
      </c>
      <c r="H72" s="22">
        <f>IF(H12=0,0,H70/H12)</f>
        <v/>
      </c>
      <c r="I72" s="22">
        <f>IF(I12=0,0,I70/I12)</f>
        <v/>
      </c>
      <c r="J72" s="22">
        <f>IF(J12=0,0,J70/J12)</f>
        <v/>
      </c>
      <c r="K72" s="22">
        <f>IF(K12=0,0,K70/K12)</f>
        <v/>
      </c>
      <c r="L72" s="22">
        <f>IF(L12=0,0,L70/L12)</f>
        <v/>
      </c>
      <c r="M72" s="22">
        <f>IF(M12=0,0,M70/M12)</f>
        <v/>
      </c>
      <c r="N72" s="22">
        <f>IF(N12=0,0,N70/N12)</f>
        <v/>
      </c>
    </row>
    <row r="73">
      <c r="A73" s="23" t="inlineStr">
        <is>
          <t>Source: Paloma P&amp;L Dashboard — Hospice Executive Operations, Jun 2025. Blue values = screenshot data; blank cells need input.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2026-06-02T04:53:42Z</dcterms:created>
  <dcterms:modified xsi:type="dcterms:W3CDTF">2026-06-02T04:53:42Z</dcterms:modified>
</cp:coreProperties>
</file>