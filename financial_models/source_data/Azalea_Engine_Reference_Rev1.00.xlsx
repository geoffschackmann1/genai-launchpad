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geoffschackmann/Downloads/"/>
    </mc:Choice>
  </mc:AlternateContent>
  <xr:revisionPtr revIDLastSave="0" documentId="8_{2DDBEA03-709D-FE40-8845-071901754244}" xr6:coauthVersionLast="47" xr6:coauthVersionMax="47" xr10:uidLastSave="{00000000-0000-0000-0000-000000000000}"/>
  <bookViews>
    <workbookView xWindow="0" yWindow="780" windowWidth="34200" windowHeight="21460" tabRatio="500" firstSheet="1" activeTab="1" xr2:uid="{00000000-000D-0000-FFFF-FFFF00000000}"/>
  </bookViews>
  <sheets>
    <sheet name="Prompt Pack" sheetId="10" r:id="rId1"/>
    <sheet name="Inputs" sheetId="11" r:id="rId2"/>
    <sheet name="ARCHIVE_Control Tower" sheetId="1" r:id="rId3"/>
    <sheet name="ARCHIVE_COA Mapping" sheetId="2" r:id="rId4"/>
    <sheet name="ARCHIVE_Census Waterfall" sheetId="3" r:id="rId5"/>
    <sheet name="ARCHIVE_Revenue Model" sheetId="4" r:id="rId6"/>
    <sheet name="ARCHIVE_Staffing Summary" sheetId="5" r:id="rId7"/>
    <sheet name="ARCHIVE_Operating Budget" sheetId="6" r:id="rId8"/>
    <sheet name="ARCHIVE_P&amp;L" sheetId="7" r:id="rId9"/>
    <sheet name="ARCHIVE_Reconciliation" sheetId="9" r:id="rId10"/>
    <sheet name="ARCHIVE_Stress Tests" sheetId="8"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43" i="7" l="1"/>
  <c r="H43" i="7"/>
  <c r="I43" i="7"/>
  <c r="J43" i="7"/>
  <c r="K43" i="7"/>
  <c r="L43" i="7"/>
  <c r="M43" i="7"/>
  <c r="N43" i="7"/>
  <c r="O43" i="7"/>
  <c r="P43" i="7"/>
  <c r="Q43" i="7"/>
  <c r="R43" i="7"/>
  <c r="S43" i="7"/>
  <c r="T43" i="7"/>
  <c r="U43" i="7"/>
  <c r="V43" i="7"/>
  <c r="W43" i="7"/>
  <c r="X43" i="7"/>
  <c r="Y43" i="7"/>
  <c r="Z43" i="7"/>
  <c r="AA43" i="7"/>
  <c r="AB43" i="7"/>
  <c r="AC43" i="7"/>
  <c r="AD43" i="7"/>
  <c r="AE43" i="7"/>
  <c r="AF43" i="7"/>
  <c r="AG43" i="7"/>
  <c r="AH43" i="7"/>
  <c r="AI43" i="7"/>
  <c r="AJ43" i="7"/>
  <c r="AK43" i="7"/>
  <c r="AL43" i="7"/>
  <c r="AM43" i="7"/>
  <c r="AN43" i="7"/>
  <c r="AO43" i="7"/>
  <c r="E43" i="7"/>
  <c r="D43" i="7"/>
  <c r="E83" i="6"/>
  <c r="F83" i="6"/>
  <c r="G83" i="6"/>
  <c r="H83" i="6"/>
  <c r="I83" i="6"/>
  <c r="J83" i="6"/>
  <c r="K83" i="6"/>
  <c r="L83" i="6"/>
  <c r="M83" i="6"/>
  <c r="N83" i="6"/>
  <c r="O83" i="6"/>
  <c r="P83" i="6"/>
  <c r="Q83" i="6"/>
  <c r="R83" i="6"/>
  <c r="S83" i="6"/>
  <c r="T83" i="6"/>
  <c r="U83" i="6"/>
  <c r="V83" i="6"/>
  <c r="W83" i="6"/>
  <c r="X83" i="6"/>
  <c r="Y83" i="6"/>
  <c r="Z83" i="6"/>
  <c r="AA83" i="6"/>
  <c r="AB83" i="6"/>
  <c r="AC83" i="6"/>
  <c r="AD83" i="6"/>
  <c r="AE83" i="6"/>
  <c r="AF83" i="6"/>
  <c r="AG83" i="6"/>
  <c r="AH83" i="6"/>
  <c r="AI83" i="6"/>
  <c r="AJ83" i="6"/>
  <c r="AK83" i="6"/>
  <c r="AL83" i="6"/>
  <c r="C82" i="7"/>
  <c r="D82" i="7"/>
  <c r="E82" i="7"/>
  <c r="F82" i="7"/>
  <c r="G82" i="7"/>
  <c r="H82" i="7"/>
  <c r="I82" i="7"/>
  <c r="J82" i="7"/>
  <c r="K82" i="7"/>
  <c r="L82" i="7"/>
  <c r="M82" i="7"/>
  <c r="N82" i="7"/>
  <c r="O82" i="7"/>
  <c r="P82" i="7"/>
  <c r="Q82" i="7"/>
  <c r="R82" i="7"/>
  <c r="S82" i="7"/>
  <c r="T82" i="7"/>
  <c r="U82" i="7"/>
  <c r="V82" i="7"/>
  <c r="W82" i="7"/>
  <c r="X82" i="7"/>
  <c r="Y82" i="7"/>
  <c r="Z82" i="7"/>
  <c r="AA82" i="7"/>
  <c r="AB82" i="7"/>
  <c r="AC82" i="7"/>
  <c r="AD82" i="7"/>
  <c r="AE82" i="7"/>
  <c r="AF82" i="7"/>
  <c r="AG82" i="7"/>
  <c r="AH82" i="7"/>
  <c r="AI82" i="7"/>
  <c r="AJ82" i="7"/>
  <c r="AK82" i="7"/>
  <c r="AL82" i="7"/>
  <c r="AM82" i="7"/>
  <c r="AN82" i="7"/>
  <c r="AO82" i="7"/>
  <c r="C81" i="7"/>
  <c r="D81" i="7"/>
  <c r="E81" i="7"/>
  <c r="F81" i="7"/>
  <c r="G81" i="7"/>
  <c r="H81" i="7"/>
  <c r="I81" i="7"/>
  <c r="J81" i="7"/>
  <c r="K81" i="7"/>
  <c r="L81" i="7"/>
  <c r="M81" i="7"/>
  <c r="N81" i="7"/>
  <c r="O81" i="7"/>
  <c r="P81" i="7"/>
  <c r="Q81" i="7"/>
  <c r="R81" i="7"/>
  <c r="S81" i="7"/>
  <c r="T81" i="7"/>
  <c r="U81" i="7"/>
  <c r="V81" i="7"/>
  <c r="W81" i="7"/>
  <c r="X81" i="7"/>
  <c r="Y81" i="7"/>
  <c r="Z81" i="7"/>
  <c r="AA81" i="7"/>
  <c r="AB81" i="7"/>
  <c r="AC81" i="7"/>
  <c r="AD81" i="7"/>
  <c r="AE81" i="7"/>
  <c r="AF81" i="7"/>
  <c r="AG81" i="7"/>
  <c r="AH81" i="7"/>
  <c r="AI81" i="7"/>
  <c r="AJ81" i="7"/>
  <c r="AK81" i="7"/>
  <c r="AL81" i="7"/>
  <c r="AM81" i="7"/>
  <c r="AN81" i="7"/>
  <c r="AO81" i="7"/>
  <c r="AP87" i="7" l="1"/>
  <c r="AP86" i="7"/>
  <c r="AP85" i="7"/>
  <c r="AP83" i="7"/>
  <c r="AP82" i="7"/>
  <c r="AP81" i="7"/>
  <c r="AP80" i="7"/>
  <c r="AP79" i="7"/>
  <c r="AP78" i="7"/>
  <c r="AP74" i="7"/>
  <c r="AP72" i="7"/>
  <c r="AP69" i="7"/>
  <c r="AP68" i="7"/>
  <c r="AP67" i="7"/>
  <c r="AP66" i="7"/>
  <c r="AP65" i="7"/>
  <c r="AP64" i="7"/>
  <c r="AP63" i="7"/>
  <c r="AP62" i="7"/>
  <c r="AP61" i="7"/>
  <c r="AP60" i="7"/>
  <c r="AP59" i="7"/>
  <c r="AP58" i="7"/>
  <c r="AP57" i="7"/>
  <c r="AP56" i="7"/>
  <c r="AP54" i="7"/>
  <c r="AP53" i="7"/>
  <c r="AP52" i="7"/>
  <c r="AP51" i="7"/>
  <c r="AP50" i="7"/>
  <c r="AP48" i="7"/>
  <c r="AP47" i="7"/>
  <c r="AP46" i="7"/>
  <c r="AP45" i="7"/>
  <c r="AP44" i="7"/>
  <c r="AP43" i="7"/>
  <c r="AP42" i="7"/>
  <c r="AP36" i="7"/>
  <c r="AP35" i="7"/>
  <c r="AP33" i="7"/>
  <c r="AP32" i="7"/>
  <c r="AP31" i="7"/>
  <c r="AP30" i="7"/>
  <c r="AP29" i="7"/>
  <c r="AP28" i="7"/>
  <c r="AP26" i="7"/>
  <c r="AP25" i="7"/>
  <c r="AP24" i="7"/>
  <c r="AP23" i="7"/>
  <c r="AP22" i="7"/>
  <c r="AP20" i="7"/>
  <c r="AP19" i="7"/>
  <c r="AP18" i="7"/>
  <c r="AP17" i="7"/>
  <c r="AP16" i="7"/>
  <c r="AP15" i="7"/>
  <c r="AP14" i="7"/>
  <c r="AP10" i="7"/>
  <c r="AP9" i="7"/>
  <c r="AP8" i="7"/>
  <c r="AP87" i="6"/>
  <c r="AP86" i="6"/>
  <c r="AP85" i="6"/>
  <c r="AP83" i="6"/>
  <c r="AP82" i="6"/>
  <c r="AP81" i="6"/>
  <c r="AP80" i="6"/>
  <c r="AP79" i="6"/>
  <c r="AP78" i="6"/>
  <c r="AP74" i="6"/>
  <c r="AP72" i="6"/>
  <c r="AP69" i="6"/>
  <c r="AP68" i="6"/>
  <c r="AP67" i="6"/>
  <c r="AP66" i="6"/>
  <c r="AP65" i="6"/>
  <c r="AP64" i="6"/>
  <c r="AP63" i="6"/>
  <c r="AP62" i="6"/>
  <c r="AP61" i="6"/>
  <c r="AP60" i="6"/>
  <c r="AP59" i="6"/>
  <c r="AP58" i="6"/>
  <c r="AP57" i="6"/>
  <c r="AP56" i="6"/>
  <c r="AP54" i="6"/>
  <c r="AP53" i="6"/>
  <c r="AP52" i="6"/>
  <c r="AP51" i="6"/>
  <c r="AP50" i="6"/>
  <c r="AP48" i="6"/>
  <c r="AP47" i="6"/>
  <c r="AP46" i="6"/>
  <c r="AP45" i="6"/>
  <c r="AP44" i="6"/>
  <c r="AP43" i="6"/>
  <c r="AP42" i="6"/>
  <c r="AP36" i="6"/>
  <c r="AP35" i="6"/>
  <c r="AP33" i="6"/>
  <c r="AP32" i="6"/>
  <c r="AP31" i="6"/>
  <c r="AP30" i="6"/>
  <c r="AP29" i="6"/>
  <c r="AP28" i="6"/>
  <c r="AP26" i="6"/>
  <c r="AP25" i="6"/>
  <c r="AP24" i="6"/>
  <c r="AP23" i="6"/>
  <c r="AP22" i="6"/>
  <c r="AP20" i="6"/>
  <c r="AP19" i="6"/>
  <c r="AP18" i="6"/>
  <c r="AP17" i="6"/>
  <c r="AP16" i="6"/>
  <c r="AP15" i="6"/>
  <c r="AP14" i="6"/>
  <c r="AP10" i="6"/>
  <c r="AP9" i="6"/>
  <c r="AP8" i="6"/>
  <c r="F43" i="7"/>
  <c r="C43" i="7"/>
  <c r="AO52" i="6"/>
  <c r="AN52" i="6"/>
  <c r="AM52" i="6"/>
  <c r="AL52" i="6"/>
  <c r="AK52" i="6"/>
  <c r="AJ52" i="6"/>
  <c r="AI52" i="6"/>
  <c r="AH52" i="6"/>
  <c r="AG52" i="6"/>
  <c r="AF52" i="6"/>
  <c r="AE52" i="6"/>
  <c r="AD52" i="6"/>
  <c r="AC52" i="6"/>
  <c r="AB52" i="6"/>
  <c r="AA52" i="6"/>
  <c r="Z52" i="6"/>
  <c r="Y52" i="6"/>
  <c r="X52" i="6"/>
  <c r="W52" i="6"/>
  <c r="V52" i="6"/>
  <c r="U52" i="6"/>
  <c r="T52" i="6"/>
  <c r="S52" i="6"/>
  <c r="R52" i="6"/>
  <c r="Q52" i="6"/>
  <c r="P52" i="6"/>
  <c r="O52" i="6"/>
  <c r="N52" i="6"/>
  <c r="M52" i="6"/>
  <c r="L52" i="6"/>
  <c r="K52" i="6"/>
  <c r="J52" i="6"/>
  <c r="I52" i="6"/>
  <c r="H52" i="6"/>
  <c r="G52" i="6"/>
  <c r="F52" i="6"/>
  <c r="E52" i="6"/>
  <c r="D52" i="6"/>
  <c r="AO51" i="6"/>
  <c r="AN51" i="6"/>
  <c r="AM51" i="6"/>
  <c r="AL51" i="6"/>
  <c r="AK51" i="6"/>
  <c r="AJ51" i="6"/>
  <c r="AI51" i="6"/>
  <c r="AH51" i="6"/>
  <c r="AG51" i="6"/>
  <c r="AF51" i="6"/>
  <c r="AE51" i="6"/>
  <c r="AD51" i="6"/>
  <c r="AC51" i="6"/>
  <c r="AB51" i="6"/>
  <c r="AA51" i="6"/>
  <c r="Z51" i="6"/>
  <c r="Y51" i="6"/>
  <c r="X51" i="6"/>
  <c r="W51" i="6"/>
  <c r="V51" i="6"/>
  <c r="U51" i="6"/>
  <c r="T51" i="6"/>
  <c r="S51" i="6"/>
  <c r="R51" i="6"/>
  <c r="Q51" i="6"/>
  <c r="P51" i="6"/>
  <c r="O51" i="6"/>
  <c r="N51" i="6"/>
  <c r="M51" i="6"/>
  <c r="L51" i="6"/>
  <c r="K51" i="6"/>
  <c r="J51" i="6"/>
  <c r="I51" i="6"/>
  <c r="H51" i="6"/>
  <c r="G51" i="6"/>
  <c r="F51" i="6"/>
  <c r="E51" i="6"/>
  <c r="D51" i="6"/>
  <c r="AO50" i="6"/>
  <c r="AN50" i="6"/>
  <c r="AM50" i="6"/>
  <c r="AL50" i="6"/>
  <c r="AK50" i="6"/>
  <c r="AJ50" i="6"/>
  <c r="AI50" i="6"/>
  <c r="AH50" i="6"/>
  <c r="AG50" i="6"/>
  <c r="AF50" i="6"/>
  <c r="AE50" i="6"/>
  <c r="AD50" i="6"/>
  <c r="AC50" i="6"/>
  <c r="AB50" i="6"/>
  <c r="AA50" i="6"/>
  <c r="Z50" i="6"/>
  <c r="Y50" i="6"/>
  <c r="X50" i="6"/>
  <c r="W50" i="6"/>
  <c r="V50" i="6"/>
  <c r="U50" i="6"/>
  <c r="T50" i="6"/>
  <c r="S50" i="6"/>
  <c r="R50" i="6"/>
  <c r="Q50" i="6"/>
  <c r="P50" i="6"/>
  <c r="O50" i="6"/>
  <c r="N50" i="6"/>
  <c r="M50" i="6"/>
  <c r="L50" i="6"/>
  <c r="K50" i="6"/>
  <c r="J50" i="6"/>
  <c r="I50" i="6"/>
  <c r="H50" i="6"/>
  <c r="G50" i="6"/>
  <c r="F50" i="6"/>
  <c r="E50" i="6"/>
  <c r="D50" i="6"/>
  <c r="C52" i="6"/>
  <c r="C51" i="6"/>
  <c r="C50" i="6"/>
  <c r="AO43" i="6"/>
  <c r="AN43" i="6"/>
  <c r="AM43" i="6"/>
  <c r="D43" i="6"/>
  <c r="E43" i="6"/>
  <c r="F43" i="6"/>
  <c r="G43" i="6"/>
  <c r="H43" i="6"/>
  <c r="I43" i="6"/>
  <c r="J43" i="6"/>
  <c r="K43" i="6"/>
  <c r="L43" i="6"/>
  <c r="M43" i="6"/>
  <c r="N43" i="6"/>
  <c r="O43" i="6"/>
  <c r="P43" i="6"/>
  <c r="Q43" i="6"/>
  <c r="R43" i="6"/>
  <c r="S43" i="6"/>
  <c r="T43" i="6"/>
  <c r="U43" i="6"/>
  <c r="V43" i="6"/>
  <c r="W43" i="6"/>
  <c r="X43" i="6"/>
  <c r="Y43" i="6"/>
  <c r="Z43" i="6"/>
  <c r="AA43" i="6"/>
  <c r="AB43" i="6"/>
  <c r="AC43" i="6"/>
  <c r="AD43" i="6"/>
  <c r="AE43" i="6"/>
  <c r="AF43" i="6"/>
  <c r="AG43" i="6"/>
  <c r="AH43" i="6"/>
  <c r="AI43" i="6"/>
  <c r="AJ43" i="6"/>
  <c r="AK43" i="6"/>
  <c r="AL43" i="6"/>
  <c r="C43" i="6"/>
  <c r="AL82" i="6"/>
  <c r="AK82" i="6"/>
  <c r="AJ82" i="6"/>
  <c r="AI82" i="6"/>
  <c r="AH82" i="6"/>
  <c r="AG82" i="6"/>
  <c r="AF82" i="6"/>
  <c r="AE82" i="6"/>
  <c r="AD82" i="6"/>
  <c r="AC82" i="6"/>
  <c r="AB82" i="6"/>
  <c r="AA82" i="6"/>
  <c r="Z82" i="6"/>
  <c r="Y82" i="6"/>
  <c r="X82" i="6"/>
  <c r="W82" i="6"/>
  <c r="V82" i="6"/>
  <c r="U82" i="6"/>
  <c r="T82" i="6"/>
  <c r="S82" i="6"/>
  <c r="R82" i="6"/>
  <c r="Q82" i="6"/>
  <c r="P82" i="6"/>
  <c r="O82" i="6"/>
  <c r="N82" i="6"/>
  <c r="M82" i="6"/>
  <c r="L82" i="6"/>
  <c r="K82" i="6"/>
  <c r="J82" i="6"/>
  <c r="I82" i="6"/>
  <c r="H82" i="6"/>
  <c r="G82" i="6"/>
  <c r="F82" i="6"/>
  <c r="E82" i="6"/>
  <c r="D82" i="6"/>
  <c r="AL81" i="6"/>
  <c r="AK81" i="6"/>
  <c r="AJ81" i="6"/>
  <c r="AI81" i="6"/>
  <c r="AH81" i="6"/>
  <c r="AG81" i="6"/>
  <c r="AF81" i="6"/>
  <c r="AE81" i="6"/>
  <c r="AD81" i="6"/>
  <c r="AC81" i="6"/>
  <c r="AB81" i="6"/>
  <c r="AA81" i="6"/>
  <c r="Z81" i="6"/>
  <c r="Y81" i="6"/>
  <c r="X81" i="6"/>
  <c r="W81" i="6"/>
  <c r="V81" i="6"/>
  <c r="U81" i="6"/>
  <c r="T81" i="6"/>
  <c r="S81" i="6"/>
  <c r="R81" i="6"/>
  <c r="Q81" i="6"/>
  <c r="P81" i="6"/>
  <c r="O81" i="6"/>
  <c r="N81" i="6"/>
  <c r="M81" i="6"/>
  <c r="L81" i="6"/>
  <c r="K81" i="6"/>
  <c r="J81" i="6"/>
  <c r="I81" i="6"/>
  <c r="H81" i="6"/>
  <c r="G81" i="6"/>
  <c r="F81" i="6"/>
  <c r="E81" i="6"/>
  <c r="D81" i="6"/>
  <c r="C82" i="6"/>
  <c r="C81" i="6"/>
  <c r="AO80" i="6"/>
  <c r="AO80" i="7" s="1"/>
  <c r="AN80" i="6"/>
  <c r="AN80" i="7" s="1"/>
  <c r="AM80" i="6"/>
  <c r="AM80" i="7" s="1"/>
  <c r="AL80" i="6"/>
  <c r="AL80" i="7" s="1"/>
  <c r="AK80" i="6"/>
  <c r="AK80" i="7" s="1"/>
  <c r="AJ80" i="6"/>
  <c r="AI80" i="6"/>
  <c r="AI80" i="7" s="1"/>
  <c r="AH80" i="6"/>
  <c r="AH80" i="7" s="1"/>
  <c r="AG80" i="6"/>
  <c r="AG80" i="7" s="1"/>
  <c r="AF80" i="6"/>
  <c r="AF80" i="7" s="1"/>
  <c r="AE80" i="6"/>
  <c r="AE80" i="7" s="1"/>
  <c r="AD80" i="6"/>
  <c r="AD80" i="7" s="1"/>
  <c r="AC80" i="6"/>
  <c r="AC80" i="7" s="1"/>
  <c r="AB80" i="6"/>
  <c r="AA80" i="6"/>
  <c r="AA80" i="7" s="1"/>
  <c r="Z80" i="6"/>
  <c r="Z80" i="7" s="1"/>
  <c r="Y80" i="6"/>
  <c r="Y80" i="7" s="1"/>
  <c r="X80" i="6"/>
  <c r="X80" i="7" s="1"/>
  <c r="W80" i="6"/>
  <c r="W80" i="7" s="1"/>
  <c r="V80" i="6"/>
  <c r="V80" i="7" s="1"/>
  <c r="U80" i="6"/>
  <c r="U80" i="7" s="1"/>
  <c r="T80" i="6"/>
  <c r="S80" i="6"/>
  <c r="S80" i="7" s="1"/>
  <c r="R80" i="6"/>
  <c r="R80" i="7" s="1"/>
  <c r="Q80" i="6"/>
  <c r="Q80" i="7" s="1"/>
  <c r="P80" i="6"/>
  <c r="P80" i="7" s="1"/>
  <c r="O80" i="6"/>
  <c r="O80" i="7" s="1"/>
  <c r="N80" i="6"/>
  <c r="N80" i="7" s="1"/>
  <c r="M80" i="6"/>
  <c r="M80" i="7" s="1"/>
  <c r="L80" i="6"/>
  <c r="K80" i="6"/>
  <c r="K80" i="7" s="1"/>
  <c r="J80" i="6"/>
  <c r="J80" i="7" s="1"/>
  <c r="I80" i="6"/>
  <c r="I80" i="7" s="1"/>
  <c r="H80" i="6"/>
  <c r="H80" i="7" s="1"/>
  <c r="G80" i="6"/>
  <c r="G80" i="7" s="1"/>
  <c r="F80" i="6"/>
  <c r="F80" i="7" s="1"/>
  <c r="E80" i="6"/>
  <c r="E80" i="7" s="1"/>
  <c r="D80" i="6"/>
  <c r="AO79" i="6"/>
  <c r="AO79" i="7" s="1"/>
  <c r="AN79" i="6"/>
  <c r="AN79" i="7" s="1"/>
  <c r="AM79" i="6"/>
  <c r="AM79" i="7" s="1"/>
  <c r="AL79" i="6"/>
  <c r="AL79" i="7" s="1"/>
  <c r="AK79" i="6"/>
  <c r="AJ79" i="6"/>
  <c r="AJ79" i="7" s="1"/>
  <c r="AI79" i="6"/>
  <c r="AI79" i="7" s="1"/>
  <c r="AH79" i="6"/>
  <c r="AH79" i="7" s="1"/>
  <c r="AG79" i="6"/>
  <c r="AG79" i="7" s="1"/>
  <c r="AF79" i="6"/>
  <c r="AF79" i="7" s="1"/>
  <c r="AE79" i="6"/>
  <c r="AE79" i="7" s="1"/>
  <c r="AD79" i="6"/>
  <c r="AD79" i="7" s="1"/>
  <c r="AC79" i="6"/>
  <c r="AB79" i="6"/>
  <c r="AB79" i="7" s="1"/>
  <c r="AA79" i="6"/>
  <c r="AA79" i="7" s="1"/>
  <c r="Z79" i="6"/>
  <c r="Z79" i="7" s="1"/>
  <c r="Y79" i="6"/>
  <c r="Y79" i="7" s="1"/>
  <c r="X79" i="6"/>
  <c r="X79" i="7" s="1"/>
  <c r="W79" i="6"/>
  <c r="W79" i="7" s="1"/>
  <c r="V79" i="6"/>
  <c r="V79" i="7" s="1"/>
  <c r="U79" i="6"/>
  <c r="T79" i="6"/>
  <c r="T79" i="7" s="1"/>
  <c r="S79" i="6"/>
  <c r="S79" i="7" s="1"/>
  <c r="R79" i="6"/>
  <c r="R79" i="7" s="1"/>
  <c r="Q79" i="6"/>
  <c r="Q79" i="7" s="1"/>
  <c r="P79" i="6"/>
  <c r="P79" i="7" s="1"/>
  <c r="O79" i="6"/>
  <c r="O79" i="7" s="1"/>
  <c r="N79" i="6"/>
  <c r="N79" i="7" s="1"/>
  <c r="M79" i="6"/>
  <c r="L79" i="6"/>
  <c r="L79" i="7" s="1"/>
  <c r="K79" i="6"/>
  <c r="K79" i="7" s="1"/>
  <c r="J79" i="6"/>
  <c r="J79" i="7" s="1"/>
  <c r="I79" i="6"/>
  <c r="I79" i="7" s="1"/>
  <c r="H79" i="6"/>
  <c r="H79" i="7" s="1"/>
  <c r="G79" i="6"/>
  <c r="G79" i="7" s="1"/>
  <c r="F79" i="6"/>
  <c r="F79" i="7" s="1"/>
  <c r="E79" i="6"/>
  <c r="D79" i="6"/>
  <c r="D79" i="7" s="1"/>
  <c r="AO78" i="6"/>
  <c r="AN78" i="6"/>
  <c r="AM78" i="6"/>
  <c r="AM78" i="7" s="1"/>
  <c r="AL78" i="6"/>
  <c r="AL78" i="7" s="1"/>
  <c r="AK78" i="6"/>
  <c r="AK78" i="7" s="1"/>
  <c r="AJ78" i="6"/>
  <c r="AJ78" i="7" s="1"/>
  <c r="AI78" i="6"/>
  <c r="AH78" i="6"/>
  <c r="AG78" i="6"/>
  <c r="AF78" i="6"/>
  <c r="AE78" i="6"/>
  <c r="AE78" i="7" s="1"/>
  <c r="AD78" i="6"/>
  <c r="AC78" i="6"/>
  <c r="AC78" i="7" s="1"/>
  <c r="AB78" i="6"/>
  <c r="AB78" i="7" s="1"/>
  <c r="AA78" i="6"/>
  <c r="Z78" i="6"/>
  <c r="Y78" i="6"/>
  <c r="X78" i="6"/>
  <c r="W78" i="6"/>
  <c r="V78" i="6"/>
  <c r="U78" i="6"/>
  <c r="U78" i="7" s="1"/>
  <c r="T78" i="6"/>
  <c r="T78" i="7" s="1"/>
  <c r="S78" i="6"/>
  <c r="R78" i="6"/>
  <c r="Q78" i="6"/>
  <c r="P78" i="6"/>
  <c r="O78" i="6"/>
  <c r="N78" i="6"/>
  <c r="N78" i="7" s="1"/>
  <c r="M78" i="6"/>
  <c r="M78" i="7" s="1"/>
  <c r="L78" i="6"/>
  <c r="L78" i="7" s="1"/>
  <c r="K78" i="6"/>
  <c r="J78" i="6"/>
  <c r="I78" i="6"/>
  <c r="H78" i="6"/>
  <c r="G78" i="6"/>
  <c r="G78" i="7" s="1"/>
  <c r="F78" i="6"/>
  <c r="F78" i="7" s="1"/>
  <c r="E78" i="6"/>
  <c r="E78" i="7" s="1"/>
  <c r="D78" i="6"/>
  <c r="D78" i="7" s="1"/>
  <c r="C80" i="6"/>
  <c r="C80" i="7" s="1"/>
  <c r="C79" i="6"/>
  <c r="C79" i="7" s="1"/>
  <c r="C78" i="6"/>
  <c r="C78" i="7" s="1"/>
  <c r="AO68" i="6"/>
  <c r="AO68" i="7" s="1"/>
  <c r="AN68" i="6"/>
  <c r="AN68" i="7" s="1"/>
  <c r="AM68" i="6"/>
  <c r="AM68" i="7" s="1"/>
  <c r="AL68" i="6"/>
  <c r="AL68" i="7" s="1"/>
  <c r="AK68" i="6"/>
  <c r="AK68" i="7" s="1"/>
  <c r="AJ68" i="6"/>
  <c r="AJ68" i="7" s="1"/>
  <c r="AI68" i="6"/>
  <c r="AI68" i="7" s="1"/>
  <c r="AH68" i="6"/>
  <c r="AH68" i="7" s="1"/>
  <c r="AG68" i="6"/>
  <c r="AG68" i="7" s="1"/>
  <c r="AF68" i="6"/>
  <c r="AF68" i="7" s="1"/>
  <c r="AE68" i="6"/>
  <c r="AE68" i="7" s="1"/>
  <c r="AD68" i="6"/>
  <c r="AD68" i="7" s="1"/>
  <c r="AC68" i="6"/>
  <c r="AC68" i="7" s="1"/>
  <c r="AB68" i="6"/>
  <c r="AB68" i="7" s="1"/>
  <c r="AA68" i="6"/>
  <c r="AA68" i="7" s="1"/>
  <c r="Z68" i="6"/>
  <c r="Z68" i="7" s="1"/>
  <c r="Y68" i="6"/>
  <c r="Y68" i="7" s="1"/>
  <c r="X68" i="6"/>
  <c r="X68" i="7" s="1"/>
  <c r="W68" i="6"/>
  <c r="W68" i="7" s="1"/>
  <c r="V68" i="6"/>
  <c r="V68" i="7" s="1"/>
  <c r="U68" i="6"/>
  <c r="U68" i="7" s="1"/>
  <c r="T68" i="6"/>
  <c r="T68" i="7" s="1"/>
  <c r="S68" i="6"/>
  <c r="S68" i="7" s="1"/>
  <c r="R68" i="6"/>
  <c r="R68" i="7" s="1"/>
  <c r="Q68" i="6"/>
  <c r="Q68" i="7" s="1"/>
  <c r="P68" i="6"/>
  <c r="P68" i="7" s="1"/>
  <c r="O68" i="6"/>
  <c r="O68" i="7" s="1"/>
  <c r="N68" i="6"/>
  <c r="N68" i="7" s="1"/>
  <c r="M68" i="6"/>
  <c r="M68" i="7" s="1"/>
  <c r="L68" i="6"/>
  <c r="L68" i="7" s="1"/>
  <c r="K68" i="6"/>
  <c r="K68" i="7" s="1"/>
  <c r="J68" i="6"/>
  <c r="J68" i="7" s="1"/>
  <c r="I68" i="6"/>
  <c r="I68" i="7" s="1"/>
  <c r="H68" i="6"/>
  <c r="H68" i="7" s="1"/>
  <c r="G68" i="6"/>
  <c r="G68" i="7" s="1"/>
  <c r="F68" i="6"/>
  <c r="F68" i="7" s="1"/>
  <c r="E68" i="6"/>
  <c r="E68" i="7" s="1"/>
  <c r="D68" i="6"/>
  <c r="D68" i="7" s="1"/>
  <c r="AO67" i="6"/>
  <c r="AO67" i="7" s="1"/>
  <c r="AN67" i="6"/>
  <c r="AN67" i="7" s="1"/>
  <c r="AM67" i="6"/>
  <c r="AM67" i="7" s="1"/>
  <c r="AL67" i="6"/>
  <c r="AL67" i="7" s="1"/>
  <c r="AK67" i="6"/>
  <c r="AK67" i="7" s="1"/>
  <c r="AJ67" i="6"/>
  <c r="AJ67" i="7" s="1"/>
  <c r="AI67" i="6"/>
  <c r="AI67" i="7" s="1"/>
  <c r="AH67" i="6"/>
  <c r="AH67" i="7" s="1"/>
  <c r="AG67" i="6"/>
  <c r="AG67" i="7" s="1"/>
  <c r="AF67" i="6"/>
  <c r="AF67" i="7" s="1"/>
  <c r="AE67" i="6"/>
  <c r="AE67" i="7" s="1"/>
  <c r="AD67" i="6"/>
  <c r="AD67" i="7" s="1"/>
  <c r="AC67" i="6"/>
  <c r="AC67" i="7" s="1"/>
  <c r="AB67" i="6"/>
  <c r="AB67" i="7" s="1"/>
  <c r="AA67" i="6"/>
  <c r="AA67" i="7" s="1"/>
  <c r="Z67" i="6"/>
  <c r="Z67" i="7" s="1"/>
  <c r="Y67" i="6"/>
  <c r="Y67" i="7" s="1"/>
  <c r="X67" i="6"/>
  <c r="X67" i="7" s="1"/>
  <c r="W67" i="6"/>
  <c r="W67" i="7" s="1"/>
  <c r="V67" i="6"/>
  <c r="V67" i="7" s="1"/>
  <c r="U67" i="6"/>
  <c r="U67" i="7" s="1"/>
  <c r="T67" i="6"/>
  <c r="T67" i="7" s="1"/>
  <c r="S67" i="6"/>
  <c r="S67" i="7" s="1"/>
  <c r="R67" i="6"/>
  <c r="R67" i="7" s="1"/>
  <c r="Q67" i="6"/>
  <c r="Q67" i="7" s="1"/>
  <c r="P67" i="6"/>
  <c r="P67" i="7" s="1"/>
  <c r="O67" i="6"/>
  <c r="O67" i="7" s="1"/>
  <c r="N67" i="6"/>
  <c r="N67" i="7" s="1"/>
  <c r="M67" i="6"/>
  <c r="M67" i="7" s="1"/>
  <c r="L67" i="6"/>
  <c r="L67" i="7" s="1"/>
  <c r="K67" i="6"/>
  <c r="K67" i="7" s="1"/>
  <c r="J67" i="6"/>
  <c r="J67" i="7" s="1"/>
  <c r="I67" i="6"/>
  <c r="I67" i="7" s="1"/>
  <c r="H67" i="6"/>
  <c r="H67" i="7" s="1"/>
  <c r="G67" i="6"/>
  <c r="G67" i="7" s="1"/>
  <c r="F67" i="6"/>
  <c r="F67" i="7" s="1"/>
  <c r="E67" i="6"/>
  <c r="E67" i="7" s="1"/>
  <c r="D67" i="6"/>
  <c r="D67" i="7" s="1"/>
  <c r="AO66" i="6"/>
  <c r="AO66" i="7" s="1"/>
  <c r="AN66" i="6"/>
  <c r="AN66" i="7" s="1"/>
  <c r="AM66" i="6"/>
  <c r="AM66" i="7" s="1"/>
  <c r="AL66" i="6"/>
  <c r="AL66" i="7" s="1"/>
  <c r="AK66" i="6"/>
  <c r="AK66" i="7" s="1"/>
  <c r="AJ66" i="6"/>
  <c r="AJ66" i="7" s="1"/>
  <c r="AI66" i="6"/>
  <c r="AI66" i="7" s="1"/>
  <c r="AH66" i="6"/>
  <c r="AH66" i="7" s="1"/>
  <c r="AG66" i="6"/>
  <c r="AG66" i="7" s="1"/>
  <c r="AF66" i="6"/>
  <c r="AF66" i="7" s="1"/>
  <c r="AE66" i="6"/>
  <c r="AE66" i="7" s="1"/>
  <c r="AD66" i="6"/>
  <c r="AD66" i="7" s="1"/>
  <c r="AC66" i="6"/>
  <c r="AC66" i="7" s="1"/>
  <c r="AB66" i="6"/>
  <c r="AB66" i="7" s="1"/>
  <c r="AA66" i="6"/>
  <c r="AA66" i="7" s="1"/>
  <c r="Z66" i="6"/>
  <c r="Z66" i="7" s="1"/>
  <c r="Y66" i="6"/>
  <c r="Y66" i="7" s="1"/>
  <c r="X66" i="6"/>
  <c r="X66" i="7" s="1"/>
  <c r="W66" i="6"/>
  <c r="W66" i="7" s="1"/>
  <c r="V66" i="6"/>
  <c r="V66" i="7" s="1"/>
  <c r="U66" i="6"/>
  <c r="U66" i="7" s="1"/>
  <c r="T66" i="6"/>
  <c r="T66" i="7" s="1"/>
  <c r="S66" i="6"/>
  <c r="S66" i="7" s="1"/>
  <c r="R66" i="6"/>
  <c r="R66" i="7" s="1"/>
  <c r="Q66" i="6"/>
  <c r="Q66" i="7" s="1"/>
  <c r="P66" i="6"/>
  <c r="P66" i="7" s="1"/>
  <c r="O66" i="6"/>
  <c r="O66" i="7" s="1"/>
  <c r="N66" i="6"/>
  <c r="N66" i="7" s="1"/>
  <c r="M66" i="6"/>
  <c r="M66" i="7" s="1"/>
  <c r="L66" i="6"/>
  <c r="L66" i="7" s="1"/>
  <c r="K66" i="6"/>
  <c r="K66" i="7" s="1"/>
  <c r="J66" i="6"/>
  <c r="J66" i="7" s="1"/>
  <c r="I66" i="6"/>
  <c r="I66" i="7" s="1"/>
  <c r="H66" i="6"/>
  <c r="H66" i="7" s="1"/>
  <c r="G66" i="6"/>
  <c r="G66" i="7" s="1"/>
  <c r="F66" i="6"/>
  <c r="F66" i="7" s="1"/>
  <c r="E66" i="6"/>
  <c r="E66" i="7" s="1"/>
  <c r="D66" i="6"/>
  <c r="D66" i="7" s="1"/>
  <c r="AO65" i="6"/>
  <c r="AO65" i="7" s="1"/>
  <c r="AN65" i="6"/>
  <c r="AN65" i="7" s="1"/>
  <c r="AM65" i="6"/>
  <c r="AM65" i="7" s="1"/>
  <c r="AL65" i="6"/>
  <c r="AL65" i="7" s="1"/>
  <c r="AK65" i="6"/>
  <c r="AK65" i="7" s="1"/>
  <c r="AJ65" i="6"/>
  <c r="AJ65" i="7" s="1"/>
  <c r="AI65" i="6"/>
  <c r="AI65" i="7" s="1"/>
  <c r="AH65" i="6"/>
  <c r="AH65" i="7" s="1"/>
  <c r="AG65" i="6"/>
  <c r="AG65" i="7" s="1"/>
  <c r="AF65" i="6"/>
  <c r="AF65" i="7" s="1"/>
  <c r="AE65" i="6"/>
  <c r="AE65" i="7" s="1"/>
  <c r="AD65" i="6"/>
  <c r="AD65" i="7" s="1"/>
  <c r="AC65" i="6"/>
  <c r="AC65" i="7" s="1"/>
  <c r="AB65" i="6"/>
  <c r="AB65" i="7" s="1"/>
  <c r="AA65" i="6"/>
  <c r="AA65" i="7" s="1"/>
  <c r="Z65" i="6"/>
  <c r="Z65" i="7" s="1"/>
  <c r="Y65" i="6"/>
  <c r="Y65" i="7" s="1"/>
  <c r="X65" i="6"/>
  <c r="X65" i="7" s="1"/>
  <c r="W65" i="6"/>
  <c r="W65" i="7" s="1"/>
  <c r="V65" i="6"/>
  <c r="V65" i="7" s="1"/>
  <c r="U65" i="6"/>
  <c r="U65" i="7" s="1"/>
  <c r="T65" i="6"/>
  <c r="T65" i="7" s="1"/>
  <c r="S65" i="6"/>
  <c r="S65" i="7" s="1"/>
  <c r="R65" i="6"/>
  <c r="R65" i="7" s="1"/>
  <c r="Q65" i="6"/>
  <c r="Q65" i="7" s="1"/>
  <c r="P65" i="6"/>
  <c r="P65" i="7" s="1"/>
  <c r="O65" i="6"/>
  <c r="O65" i="7" s="1"/>
  <c r="N65" i="6"/>
  <c r="N65" i="7" s="1"/>
  <c r="M65" i="6"/>
  <c r="M65" i="7" s="1"/>
  <c r="L65" i="6"/>
  <c r="L65" i="7" s="1"/>
  <c r="K65" i="6"/>
  <c r="K65" i="7" s="1"/>
  <c r="J65" i="6"/>
  <c r="J65" i="7" s="1"/>
  <c r="I65" i="6"/>
  <c r="I65" i="7" s="1"/>
  <c r="H65" i="6"/>
  <c r="H65" i="7" s="1"/>
  <c r="G65" i="6"/>
  <c r="G65" i="7" s="1"/>
  <c r="F65" i="6"/>
  <c r="F65" i="7" s="1"/>
  <c r="E65" i="6"/>
  <c r="E65" i="7" s="1"/>
  <c r="D65" i="6"/>
  <c r="D65" i="7" s="1"/>
  <c r="AO64" i="6"/>
  <c r="AO64" i="7" s="1"/>
  <c r="AN64" i="6"/>
  <c r="AN64" i="7" s="1"/>
  <c r="AM64" i="6"/>
  <c r="AM64" i="7" s="1"/>
  <c r="AL64" i="6"/>
  <c r="AL64" i="7" s="1"/>
  <c r="AK64" i="6"/>
  <c r="AK64" i="7" s="1"/>
  <c r="AJ64" i="6"/>
  <c r="AJ64" i="7" s="1"/>
  <c r="AI64" i="6"/>
  <c r="AI64" i="7" s="1"/>
  <c r="AH64" i="6"/>
  <c r="AH64" i="7" s="1"/>
  <c r="AG64" i="6"/>
  <c r="AG64" i="7" s="1"/>
  <c r="AF64" i="6"/>
  <c r="AF64" i="7" s="1"/>
  <c r="AE64" i="6"/>
  <c r="AE64" i="7" s="1"/>
  <c r="AD64" i="6"/>
  <c r="AD64" i="7" s="1"/>
  <c r="AC64" i="6"/>
  <c r="AC64" i="7" s="1"/>
  <c r="AB64" i="6"/>
  <c r="AB64" i="7" s="1"/>
  <c r="AA64" i="6"/>
  <c r="AA64" i="7" s="1"/>
  <c r="Z64" i="6"/>
  <c r="Z64" i="7" s="1"/>
  <c r="Y64" i="6"/>
  <c r="Y64" i="7" s="1"/>
  <c r="X64" i="6"/>
  <c r="X64" i="7" s="1"/>
  <c r="W64" i="6"/>
  <c r="W64" i="7" s="1"/>
  <c r="V64" i="6"/>
  <c r="V64" i="7" s="1"/>
  <c r="U64" i="6"/>
  <c r="U64" i="7" s="1"/>
  <c r="T64" i="6"/>
  <c r="T64" i="7" s="1"/>
  <c r="S64" i="6"/>
  <c r="S64" i="7" s="1"/>
  <c r="R64" i="6"/>
  <c r="R64" i="7" s="1"/>
  <c r="Q64" i="6"/>
  <c r="Q64" i="7" s="1"/>
  <c r="P64" i="6"/>
  <c r="P64" i="7" s="1"/>
  <c r="O64" i="6"/>
  <c r="O64" i="7" s="1"/>
  <c r="N64" i="6"/>
  <c r="N64" i="7" s="1"/>
  <c r="M64" i="6"/>
  <c r="M64" i="7" s="1"/>
  <c r="L64" i="6"/>
  <c r="L64" i="7" s="1"/>
  <c r="K64" i="6"/>
  <c r="K64" i="7" s="1"/>
  <c r="J64" i="6"/>
  <c r="J64" i="7" s="1"/>
  <c r="I64" i="6"/>
  <c r="I64" i="7" s="1"/>
  <c r="H64" i="6"/>
  <c r="H64" i="7" s="1"/>
  <c r="G64" i="6"/>
  <c r="G64" i="7" s="1"/>
  <c r="F64" i="6"/>
  <c r="F64" i="7" s="1"/>
  <c r="E64" i="6"/>
  <c r="E64" i="7" s="1"/>
  <c r="D64" i="6"/>
  <c r="D64" i="7" s="1"/>
  <c r="AO63" i="6"/>
  <c r="AO63" i="7" s="1"/>
  <c r="AN63" i="6"/>
  <c r="AN63" i="7" s="1"/>
  <c r="AM63" i="6"/>
  <c r="AM63" i="7" s="1"/>
  <c r="AL63" i="6"/>
  <c r="AL63" i="7" s="1"/>
  <c r="AK63" i="6"/>
  <c r="AK63" i="7" s="1"/>
  <c r="AJ63" i="6"/>
  <c r="AJ63" i="7" s="1"/>
  <c r="AI63" i="6"/>
  <c r="AI63" i="7" s="1"/>
  <c r="AH63" i="6"/>
  <c r="AH63" i="7" s="1"/>
  <c r="AG63" i="6"/>
  <c r="AG63" i="7" s="1"/>
  <c r="AF63" i="6"/>
  <c r="AF63" i="7" s="1"/>
  <c r="AE63" i="6"/>
  <c r="AE63" i="7" s="1"/>
  <c r="AD63" i="6"/>
  <c r="AD63" i="7" s="1"/>
  <c r="AC63" i="6"/>
  <c r="AC63" i="7" s="1"/>
  <c r="AB63" i="6"/>
  <c r="AB63" i="7" s="1"/>
  <c r="AA63" i="6"/>
  <c r="AA63" i="7" s="1"/>
  <c r="Z63" i="6"/>
  <c r="Z63" i="7" s="1"/>
  <c r="Y63" i="6"/>
  <c r="Y63" i="7" s="1"/>
  <c r="X63" i="6"/>
  <c r="X63" i="7" s="1"/>
  <c r="W63" i="6"/>
  <c r="W63" i="7" s="1"/>
  <c r="V63" i="6"/>
  <c r="V63" i="7" s="1"/>
  <c r="U63" i="6"/>
  <c r="U63" i="7" s="1"/>
  <c r="T63" i="6"/>
  <c r="T63" i="7" s="1"/>
  <c r="S63" i="6"/>
  <c r="S63" i="7" s="1"/>
  <c r="R63" i="6"/>
  <c r="R63" i="7" s="1"/>
  <c r="Q63" i="6"/>
  <c r="Q63" i="7" s="1"/>
  <c r="P63" i="6"/>
  <c r="P63" i="7" s="1"/>
  <c r="O63" i="6"/>
  <c r="O63" i="7" s="1"/>
  <c r="N63" i="6"/>
  <c r="N63" i="7" s="1"/>
  <c r="M63" i="6"/>
  <c r="M63" i="7" s="1"/>
  <c r="L63" i="6"/>
  <c r="L63" i="7" s="1"/>
  <c r="K63" i="6"/>
  <c r="K63" i="7" s="1"/>
  <c r="J63" i="6"/>
  <c r="J63" i="7" s="1"/>
  <c r="I63" i="6"/>
  <c r="I63" i="7" s="1"/>
  <c r="H63" i="6"/>
  <c r="H63" i="7" s="1"/>
  <c r="G63" i="6"/>
  <c r="G63" i="7" s="1"/>
  <c r="F63" i="6"/>
  <c r="F63" i="7" s="1"/>
  <c r="E63" i="6"/>
  <c r="E63" i="7" s="1"/>
  <c r="D63" i="6"/>
  <c r="D63" i="7" s="1"/>
  <c r="AO62" i="6"/>
  <c r="AO62" i="7" s="1"/>
  <c r="AN62" i="6"/>
  <c r="AN62" i="7" s="1"/>
  <c r="AM62" i="6"/>
  <c r="AM62" i="7" s="1"/>
  <c r="AL62" i="6"/>
  <c r="AL62" i="7" s="1"/>
  <c r="AK62" i="6"/>
  <c r="AK62" i="7" s="1"/>
  <c r="AJ62" i="6"/>
  <c r="AJ62" i="7" s="1"/>
  <c r="AI62" i="6"/>
  <c r="AI62" i="7" s="1"/>
  <c r="AH62" i="6"/>
  <c r="AH62" i="7" s="1"/>
  <c r="AG62" i="6"/>
  <c r="AG62" i="7" s="1"/>
  <c r="AF62" i="6"/>
  <c r="AF62" i="7" s="1"/>
  <c r="AE62" i="6"/>
  <c r="AE62" i="7" s="1"/>
  <c r="AD62" i="6"/>
  <c r="AD62" i="7" s="1"/>
  <c r="AC62" i="6"/>
  <c r="AC62" i="7" s="1"/>
  <c r="AB62" i="6"/>
  <c r="AB62" i="7" s="1"/>
  <c r="AA62" i="6"/>
  <c r="AA62" i="7" s="1"/>
  <c r="Z62" i="6"/>
  <c r="Z62" i="7" s="1"/>
  <c r="Y62" i="6"/>
  <c r="Y62" i="7" s="1"/>
  <c r="X62" i="6"/>
  <c r="X62" i="7" s="1"/>
  <c r="W62" i="6"/>
  <c r="W62" i="7" s="1"/>
  <c r="V62" i="6"/>
  <c r="V62" i="7" s="1"/>
  <c r="U62" i="6"/>
  <c r="U62" i="7" s="1"/>
  <c r="T62" i="6"/>
  <c r="T62" i="7" s="1"/>
  <c r="S62" i="6"/>
  <c r="S62" i="7" s="1"/>
  <c r="R62" i="6"/>
  <c r="R62" i="7" s="1"/>
  <c r="Q62" i="6"/>
  <c r="Q62" i="7" s="1"/>
  <c r="P62" i="6"/>
  <c r="P62" i="7" s="1"/>
  <c r="O62" i="6"/>
  <c r="O62" i="7" s="1"/>
  <c r="N62" i="6"/>
  <c r="N62" i="7" s="1"/>
  <c r="M62" i="6"/>
  <c r="M62" i="7" s="1"/>
  <c r="L62" i="6"/>
  <c r="L62" i="7" s="1"/>
  <c r="K62" i="6"/>
  <c r="K62" i="7" s="1"/>
  <c r="J62" i="6"/>
  <c r="J62" i="7" s="1"/>
  <c r="I62" i="6"/>
  <c r="I62" i="7" s="1"/>
  <c r="H62" i="6"/>
  <c r="H62" i="7" s="1"/>
  <c r="G62" i="6"/>
  <c r="G62" i="7" s="1"/>
  <c r="F62" i="6"/>
  <c r="F62" i="7" s="1"/>
  <c r="E62" i="6"/>
  <c r="E62" i="7" s="1"/>
  <c r="D62" i="6"/>
  <c r="D62" i="7" s="1"/>
  <c r="AO61" i="6"/>
  <c r="AO61" i="7" s="1"/>
  <c r="AN61" i="6"/>
  <c r="AN61" i="7" s="1"/>
  <c r="AM61" i="6"/>
  <c r="AM61" i="7" s="1"/>
  <c r="AL61" i="6"/>
  <c r="AL61" i="7" s="1"/>
  <c r="AK61" i="6"/>
  <c r="AK61" i="7" s="1"/>
  <c r="AJ61" i="6"/>
  <c r="AJ61" i="7" s="1"/>
  <c r="AI61" i="6"/>
  <c r="AI61" i="7" s="1"/>
  <c r="AH61" i="6"/>
  <c r="AH61" i="7" s="1"/>
  <c r="AG61" i="6"/>
  <c r="AG61" i="7" s="1"/>
  <c r="AF61" i="6"/>
  <c r="AF61" i="7" s="1"/>
  <c r="AE61" i="6"/>
  <c r="AE61" i="7" s="1"/>
  <c r="AD61" i="6"/>
  <c r="AD61" i="7" s="1"/>
  <c r="AC61" i="6"/>
  <c r="AC61" i="7" s="1"/>
  <c r="AB61" i="6"/>
  <c r="AB61" i="7" s="1"/>
  <c r="AA61" i="6"/>
  <c r="AA61" i="7" s="1"/>
  <c r="Z61" i="6"/>
  <c r="Z61" i="7" s="1"/>
  <c r="Y61" i="6"/>
  <c r="Y61" i="7" s="1"/>
  <c r="X61" i="6"/>
  <c r="X61" i="7" s="1"/>
  <c r="W61" i="6"/>
  <c r="W61" i="7" s="1"/>
  <c r="V61" i="6"/>
  <c r="V61" i="7" s="1"/>
  <c r="U61" i="6"/>
  <c r="U61" i="7" s="1"/>
  <c r="T61" i="6"/>
  <c r="T61" i="7" s="1"/>
  <c r="S61" i="6"/>
  <c r="S61" i="7" s="1"/>
  <c r="R61" i="6"/>
  <c r="R61" i="7" s="1"/>
  <c r="Q61" i="6"/>
  <c r="Q61" i="7" s="1"/>
  <c r="P61" i="6"/>
  <c r="P61" i="7" s="1"/>
  <c r="O61" i="6"/>
  <c r="O61" i="7" s="1"/>
  <c r="N61" i="6"/>
  <c r="N61" i="7" s="1"/>
  <c r="M61" i="6"/>
  <c r="M61" i="7" s="1"/>
  <c r="L61" i="6"/>
  <c r="L61" i="7" s="1"/>
  <c r="K61" i="6"/>
  <c r="K61" i="7" s="1"/>
  <c r="J61" i="6"/>
  <c r="J61" i="7" s="1"/>
  <c r="I61" i="6"/>
  <c r="I61" i="7" s="1"/>
  <c r="H61" i="6"/>
  <c r="H61" i="7" s="1"/>
  <c r="G61" i="6"/>
  <c r="G61" i="7" s="1"/>
  <c r="F61" i="6"/>
  <c r="F61" i="7" s="1"/>
  <c r="E61" i="6"/>
  <c r="E61" i="7" s="1"/>
  <c r="D61" i="6"/>
  <c r="D61" i="7" s="1"/>
  <c r="AO60" i="6"/>
  <c r="AO60" i="7" s="1"/>
  <c r="AN60" i="6"/>
  <c r="AN60" i="7" s="1"/>
  <c r="AM60" i="6"/>
  <c r="AM60" i="7" s="1"/>
  <c r="AL60" i="6"/>
  <c r="AL60" i="7" s="1"/>
  <c r="AK60" i="6"/>
  <c r="AK60" i="7" s="1"/>
  <c r="AJ60" i="6"/>
  <c r="AJ60" i="7" s="1"/>
  <c r="AI60" i="6"/>
  <c r="AI60" i="7" s="1"/>
  <c r="AH60" i="6"/>
  <c r="AH60" i="7" s="1"/>
  <c r="AG60" i="6"/>
  <c r="AG60" i="7" s="1"/>
  <c r="AF60" i="6"/>
  <c r="AF60" i="7" s="1"/>
  <c r="AE60" i="6"/>
  <c r="AE60" i="7" s="1"/>
  <c r="AD60" i="6"/>
  <c r="AD60" i="7" s="1"/>
  <c r="AC60" i="6"/>
  <c r="AC60" i="7" s="1"/>
  <c r="AB60" i="6"/>
  <c r="AB60" i="7" s="1"/>
  <c r="AA60" i="6"/>
  <c r="AA60" i="7" s="1"/>
  <c r="Z60" i="6"/>
  <c r="Z60" i="7" s="1"/>
  <c r="Y60" i="6"/>
  <c r="Y60" i="7" s="1"/>
  <c r="X60" i="6"/>
  <c r="X60" i="7" s="1"/>
  <c r="W60" i="6"/>
  <c r="W60" i="7" s="1"/>
  <c r="V60" i="6"/>
  <c r="V60" i="7" s="1"/>
  <c r="U60" i="6"/>
  <c r="U60" i="7" s="1"/>
  <c r="T60" i="6"/>
  <c r="T60" i="7" s="1"/>
  <c r="S60" i="6"/>
  <c r="S60" i="7" s="1"/>
  <c r="R60" i="6"/>
  <c r="R60" i="7" s="1"/>
  <c r="Q60" i="6"/>
  <c r="Q60" i="7" s="1"/>
  <c r="P60" i="6"/>
  <c r="P60" i="7" s="1"/>
  <c r="O60" i="6"/>
  <c r="O60" i="7" s="1"/>
  <c r="N60" i="6"/>
  <c r="N60" i="7" s="1"/>
  <c r="M60" i="6"/>
  <c r="M60" i="7" s="1"/>
  <c r="L60" i="6"/>
  <c r="L60" i="7" s="1"/>
  <c r="K60" i="6"/>
  <c r="K60" i="7" s="1"/>
  <c r="J60" i="6"/>
  <c r="J60" i="7" s="1"/>
  <c r="I60" i="6"/>
  <c r="I60" i="7" s="1"/>
  <c r="H60" i="6"/>
  <c r="H60" i="7" s="1"/>
  <c r="G60" i="6"/>
  <c r="G60" i="7" s="1"/>
  <c r="F60" i="6"/>
  <c r="F60" i="7" s="1"/>
  <c r="E60" i="6"/>
  <c r="E60" i="7" s="1"/>
  <c r="D60" i="6"/>
  <c r="D60" i="7" s="1"/>
  <c r="AO59" i="6"/>
  <c r="AO59" i="7" s="1"/>
  <c r="AN59" i="6"/>
  <c r="AN59" i="7" s="1"/>
  <c r="AM59" i="6"/>
  <c r="AM59" i="7" s="1"/>
  <c r="AL59" i="6"/>
  <c r="AL59" i="7" s="1"/>
  <c r="AK59" i="6"/>
  <c r="AK59" i="7" s="1"/>
  <c r="AJ59" i="6"/>
  <c r="AJ59" i="7" s="1"/>
  <c r="AI59" i="6"/>
  <c r="AI59" i="7" s="1"/>
  <c r="AH59" i="6"/>
  <c r="AH59" i="7" s="1"/>
  <c r="AG59" i="6"/>
  <c r="AG59" i="7" s="1"/>
  <c r="AF59" i="6"/>
  <c r="AF59" i="7" s="1"/>
  <c r="AE59" i="6"/>
  <c r="AE59" i="7" s="1"/>
  <c r="AD59" i="6"/>
  <c r="AD59" i="7" s="1"/>
  <c r="AC59" i="6"/>
  <c r="AC59" i="7" s="1"/>
  <c r="AB59" i="6"/>
  <c r="AB59" i="7" s="1"/>
  <c r="AA59" i="6"/>
  <c r="AA59" i="7" s="1"/>
  <c r="Z59" i="6"/>
  <c r="Z59" i="7" s="1"/>
  <c r="Y59" i="6"/>
  <c r="Y59" i="7" s="1"/>
  <c r="X59" i="6"/>
  <c r="X59" i="7" s="1"/>
  <c r="W59" i="6"/>
  <c r="W59" i="7" s="1"/>
  <c r="V59" i="6"/>
  <c r="V59" i="7" s="1"/>
  <c r="U59" i="6"/>
  <c r="U59" i="7" s="1"/>
  <c r="T59" i="6"/>
  <c r="T59" i="7" s="1"/>
  <c r="S59" i="6"/>
  <c r="S59" i="7" s="1"/>
  <c r="R59" i="6"/>
  <c r="R59" i="7" s="1"/>
  <c r="Q59" i="6"/>
  <c r="Q59" i="7" s="1"/>
  <c r="P59" i="6"/>
  <c r="P59" i="7" s="1"/>
  <c r="O59" i="6"/>
  <c r="O59" i="7" s="1"/>
  <c r="N59" i="6"/>
  <c r="N59" i="7" s="1"/>
  <c r="M59" i="6"/>
  <c r="M59" i="7" s="1"/>
  <c r="L59" i="6"/>
  <c r="L59" i="7" s="1"/>
  <c r="K59" i="6"/>
  <c r="K59" i="7" s="1"/>
  <c r="J59" i="6"/>
  <c r="J59" i="7" s="1"/>
  <c r="I59" i="6"/>
  <c r="I59" i="7" s="1"/>
  <c r="H59" i="6"/>
  <c r="H59" i="7" s="1"/>
  <c r="G59" i="6"/>
  <c r="G59" i="7" s="1"/>
  <c r="F59" i="6"/>
  <c r="F59" i="7" s="1"/>
  <c r="E59" i="6"/>
  <c r="E59" i="7" s="1"/>
  <c r="D59" i="6"/>
  <c r="D59" i="7" s="1"/>
  <c r="AO58" i="6"/>
  <c r="AO58" i="7" s="1"/>
  <c r="AN58" i="6"/>
  <c r="AN58" i="7" s="1"/>
  <c r="AM58" i="6"/>
  <c r="AM58" i="7" s="1"/>
  <c r="AL58" i="6"/>
  <c r="AL58" i="7" s="1"/>
  <c r="AK58" i="6"/>
  <c r="AK58" i="7" s="1"/>
  <c r="AJ58" i="6"/>
  <c r="AJ58" i="7" s="1"/>
  <c r="AI58" i="6"/>
  <c r="AI58" i="7" s="1"/>
  <c r="AH58" i="6"/>
  <c r="AH58" i="7" s="1"/>
  <c r="AG58" i="6"/>
  <c r="AG58" i="7" s="1"/>
  <c r="AF58" i="6"/>
  <c r="AF58" i="7" s="1"/>
  <c r="AE58" i="6"/>
  <c r="AE58" i="7" s="1"/>
  <c r="AD58" i="6"/>
  <c r="AD58" i="7" s="1"/>
  <c r="AC58" i="6"/>
  <c r="AC58" i="7" s="1"/>
  <c r="AB58" i="6"/>
  <c r="AB58" i="7" s="1"/>
  <c r="AA58" i="6"/>
  <c r="AA58" i="7" s="1"/>
  <c r="Z58" i="6"/>
  <c r="Z58" i="7" s="1"/>
  <c r="Y58" i="6"/>
  <c r="Y58" i="7" s="1"/>
  <c r="X58" i="6"/>
  <c r="X58" i="7" s="1"/>
  <c r="W58" i="6"/>
  <c r="W58" i="7" s="1"/>
  <c r="V58" i="6"/>
  <c r="V58" i="7" s="1"/>
  <c r="U58" i="6"/>
  <c r="U58" i="7" s="1"/>
  <c r="T58" i="6"/>
  <c r="T58" i="7" s="1"/>
  <c r="S58" i="6"/>
  <c r="S58" i="7" s="1"/>
  <c r="R58" i="6"/>
  <c r="R58" i="7" s="1"/>
  <c r="Q58" i="6"/>
  <c r="Q58" i="7" s="1"/>
  <c r="P58" i="6"/>
  <c r="P58" i="7" s="1"/>
  <c r="O58" i="6"/>
  <c r="O58" i="7" s="1"/>
  <c r="N58" i="6"/>
  <c r="N58" i="7" s="1"/>
  <c r="M58" i="6"/>
  <c r="M58" i="7" s="1"/>
  <c r="L58" i="6"/>
  <c r="L58" i="7" s="1"/>
  <c r="K58" i="6"/>
  <c r="K58" i="7" s="1"/>
  <c r="J58" i="6"/>
  <c r="J58" i="7" s="1"/>
  <c r="I58" i="6"/>
  <c r="I58" i="7" s="1"/>
  <c r="H58" i="6"/>
  <c r="H58" i="7" s="1"/>
  <c r="G58" i="6"/>
  <c r="G58" i="7" s="1"/>
  <c r="F58" i="6"/>
  <c r="F58" i="7" s="1"/>
  <c r="E58" i="6"/>
  <c r="E58" i="7" s="1"/>
  <c r="D58" i="6"/>
  <c r="D58" i="7" s="1"/>
  <c r="AO57" i="6"/>
  <c r="AO57" i="7" s="1"/>
  <c r="AN57" i="6"/>
  <c r="AN57" i="7" s="1"/>
  <c r="AM57" i="6"/>
  <c r="AM57" i="7" s="1"/>
  <c r="AL57" i="6"/>
  <c r="AL57" i="7" s="1"/>
  <c r="AK57" i="6"/>
  <c r="AK57" i="7" s="1"/>
  <c r="AJ57" i="6"/>
  <c r="AJ57" i="7" s="1"/>
  <c r="AI57" i="6"/>
  <c r="AI57" i="7" s="1"/>
  <c r="AH57" i="6"/>
  <c r="AH57" i="7" s="1"/>
  <c r="AG57" i="6"/>
  <c r="AG57" i="7" s="1"/>
  <c r="AF57" i="6"/>
  <c r="AF57" i="7" s="1"/>
  <c r="AE57" i="6"/>
  <c r="AE57" i="7" s="1"/>
  <c r="AD57" i="6"/>
  <c r="AD57" i="7" s="1"/>
  <c r="AC57" i="6"/>
  <c r="AC57" i="7" s="1"/>
  <c r="AB57" i="6"/>
  <c r="AB57" i="7" s="1"/>
  <c r="AA57" i="6"/>
  <c r="AA57" i="7" s="1"/>
  <c r="Z57" i="6"/>
  <c r="Z57" i="7" s="1"/>
  <c r="Y57" i="6"/>
  <c r="Y57" i="7" s="1"/>
  <c r="X57" i="6"/>
  <c r="X57" i="7" s="1"/>
  <c r="W57" i="6"/>
  <c r="W57" i="7" s="1"/>
  <c r="V57" i="6"/>
  <c r="V57" i="7" s="1"/>
  <c r="U57" i="6"/>
  <c r="U57" i="7" s="1"/>
  <c r="T57" i="6"/>
  <c r="T57" i="7" s="1"/>
  <c r="S57" i="6"/>
  <c r="S57" i="7" s="1"/>
  <c r="R57" i="6"/>
  <c r="R57" i="7" s="1"/>
  <c r="Q57" i="6"/>
  <c r="Q57" i="7" s="1"/>
  <c r="P57" i="6"/>
  <c r="P57" i="7" s="1"/>
  <c r="O57" i="6"/>
  <c r="O57" i="7" s="1"/>
  <c r="N57" i="6"/>
  <c r="N57" i="7" s="1"/>
  <c r="M57" i="6"/>
  <c r="M57" i="7" s="1"/>
  <c r="L57" i="6"/>
  <c r="L57" i="7" s="1"/>
  <c r="K57" i="6"/>
  <c r="K57" i="7" s="1"/>
  <c r="J57" i="6"/>
  <c r="J57" i="7" s="1"/>
  <c r="I57" i="6"/>
  <c r="I57" i="7" s="1"/>
  <c r="H57" i="6"/>
  <c r="H57" i="7" s="1"/>
  <c r="G57" i="6"/>
  <c r="G57" i="7" s="1"/>
  <c r="F57" i="6"/>
  <c r="F57" i="7" s="1"/>
  <c r="E57" i="6"/>
  <c r="E57" i="7" s="1"/>
  <c r="D57" i="6"/>
  <c r="D57" i="7" s="1"/>
  <c r="AO56" i="6"/>
  <c r="AO56" i="7" s="1"/>
  <c r="AN56" i="6"/>
  <c r="AN56" i="7" s="1"/>
  <c r="AM56" i="6"/>
  <c r="AM56" i="7" s="1"/>
  <c r="AL56" i="6"/>
  <c r="AL56" i="7" s="1"/>
  <c r="AK56" i="6"/>
  <c r="AK56" i="7" s="1"/>
  <c r="AJ56" i="6"/>
  <c r="AJ56" i="7" s="1"/>
  <c r="AI56" i="6"/>
  <c r="AI56" i="7" s="1"/>
  <c r="AH56" i="6"/>
  <c r="AH56" i="7" s="1"/>
  <c r="AG56" i="6"/>
  <c r="AG56" i="7" s="1"/>
  <c r="AF56" i="6"/>
  <c r="AF56" i="7" s="1"/>
  <c r="AE56" i="6"/>
  <c r="AE56" i="7" s="1"/>
  <c r="AD56" i="6"/>
  <c r="AD56" i="7" s="1"/>
  <c r="AC56" i="6"/>
  <c r="AC56" i="7" s="1"/>
  <c r="AB56" i="6"/>
  <c r="AB56" i="7" s="1"/>
  <c r="AA56" i="6"/>
  <c r="AA56" i="7" s="1"/>
  <c r="Z56" i="6"/>
  <c r="Z56" i="7" s="1"/>
  <c r="Y56" i="6"/>
  <c r="Y56" i="7" s="1"/>
  <c r="X56" i="6"/>
  <c r="X56" i="7" s="1"/>
  <c r="W56" i="6"/>
  <c r="W56" i="7" s="1"/>
  <c r="V56" i="6"/>
  <c r="V56" i="7" s="1"/>
  <c r="U56" i="6"/>
  <c r="U56" i="7" s="1"/>
  <c r="T56" i="6"/>
  <c r="T56" i="7" s="1"/>
  <c r="S56" i="6"/>
  <c r="S56" i="7" s="1"/>
  <c r="R56" i="6"/>
  <c r="R56" i="7" s="1"/>
  <c r="Q56" i="6"/>
  <c r="Q56" i="7" s="1"/>
  <c r="P56" i="6"/>
  <c r="P56" i="7" s="1"/>
  <c r="O56" i="6"/>
  <c r="O56" i="7" s="1"/>
  <c r="N56" i="6"/>
  <c r="N56" i="7" s="1"/>
  <c r="M56" i="6"/>
  <c r="M56" i="7" s="1"/>
  <c r="L56" i="6"/>
  <c r="L56" i="7" s="1"/>
  <c r="K56" i="6"/>
  <c r="K56" i="7" s="1"/>
  <c r="J56" i="6"/>
  <c r="J56" i="7" s="1"/>
  <c r="I56" i="6"/>
  <c r="I56" i="7" s="1"/>
  <c r="H56" i="6"/>
  <c r="H56" i="7" s="1"/>
  <c r="G56" i="6"/>
  <c r="G56" i="7" s="1"/>
  <c r="F56" i="6"/>
  <c r="F56" i="7" s="1"/>
  <c r="E56" i="6"/>
  <c r="E56" i="7" s="1"/>
  <c r="D56" i="6"/>
  <c r="D56" i="7" s="1"/>
  <c r="C68" i="6"/>
  <c r="C68" i="7" s="1"/>
  <c r="C67" i="6"/>
  <c r="C67" i="7" s="1"/>
  <c r="C66" i="6"/>
  <c r="C66" i="7" s="1"/>
  <c r="C65" i="6"/>
  <c r="C65" i="7" s="1"/>
  <c r="C64" i="6"/>
  <c r="C64" i="7" s="1"/>
  <c r="C63" i="6"/>
  <c r="C63" i="7" s="1"/>
  <c r="C62" i="6"/>
  <c r="C62" i="7" s="1"/>
  <c r="C61" i="6"/>
  <c r="C61" i="7" s="1"/>
  <c r="C60" i="6"/>
  <c r="C60" i="7" s="1"/>
  <c r="C59" i="6"/>
  <c r="C59" i="7" s="1"/>
  <c r="C58" i="6"/>
  <c r="C58" i="7" s="1"/>
  <c r="C57" i="6"/>
  <c r="C57" i="7" s="1"/>
  <c r="C56" i="6"/>
  <c r="C56" i="7" s="1"/>
  <c r="AO47" i="6"/>
  <c r="AO47" i="7" s="1"/>
  <c r="AN47" i="6"/>
  <c r="AN47" i="7" s="1"/>
  <c r="AM47" i="6"/>
  <c r="AM47" i="7" s="1"/>
  <c r="AL47" i="6"/>
  <c r="AL47" i="7" s="1"/>
  <c r="AK47" i="6"/>
  <c r="AK47" i="7" s="1"/>
  <c r="AJ47" i="6"/>
  <c r="AJ47" i="7" s="1"/>
  <c r="AI47" i="6"/>
  <c r="AI47" i="7" s="1"/>
  <c r="AH47" i="6"/>
  <c r="AH47" i="7" s="1"/>
  <c r="AG47" i="6"/>
  <c r="AG47" i="7" s="1"/>
  <c r="AF47" i="6"/>
  <c r="AF47" i="7" s="1"/>
  <c r="AE47" i="6"/>
  <c r="AE47" i="7" s="1"/>
  <c r="AD47" i="6"/>
  <c r="AD47" i="7" s="1"/>
  <c r="AC47" i="6"/>
  <c r="AC47" i="7" s="1"/>
  <c r="AB47" i="6"/>
  <c r="AB47" i="7" s="1"/>
  <c r="AA47" i="6"/>
  <c r="AA47" i="7" s="1"/>
  <c r="Z47" i="6"/>
  <c r="Z47" i="7" s="1"/>
  <c r="Y47" i="6"/>
  <c r="Y47" i="7" s="1"/>
  <c r="X47" i="6"/>
  <c r="X47" i="7" s="1"/>
  <c r="W47" i="6"/>
  <c r="W47" i="7" s="1"/>
  <c r="V47" i="6"/>
  <c r="V47" i="7" s="1"/>
  <c r="U47" i="6"/>
  <c r="U47" i="7" s="1"/>
  <c r="T47" i="6"/>
  <c r="T47" i="7" s="1"/>
  <c r="S47" i="6"/>
  <c r="S47" i="7" s="1"/>
  <c r="R47" i="6"/>
  <c r="R47" i="7" s="1"/>
  <c r="Q47" i="6"/>
  <c r="Q47" i="7" s="1"/>
  <c r="P47" i="6"/>
  <c r="P47" i="7" s="1"/>
  <c r="O47" i="6"/>
  <c r="O47" i="7" s="1"/>
  <c r="N47" i="6"/>
  <c r="N47" i="7" s="1"/>
  <c r="M47" i="6"/>
  <c r="M47" i="7" s="1"/>
  <c r="L47" i="6"/>
  <c r="L47" i="7" s="1"/>
  <c r="K47" i="6"/>
  <c r="K47" i="7" s="1"/>
  <c r="J47" i="6"/>
  <c r="J47" i="7" s="1"/>
  <c r="I47" i="6"/>
  <c r="I47" i="7" s="1"/>
  <c r="H47" i="6"/>
  <c r="H47" i="7" s="1"/>
  <c r="G47" i="6"/>
  <c r="G47" i="7" s="1"/>
  <c r="F47" i="6"/>
  <c r="F47" i="7" s="1"/>
  <c r="E47" i="6"/>
  <c r="E47" i="7" s="1"/>
  <c r="D47" i="6"/>
  <c r="D47" i="7" s="1"/>
  <c r="AO46" i="6"/>
  <c r="AO46" i="7" s="1"/>
  <c r="AN46" i="6"/>
  <c r="AN46" i="7" s="1"/>
  <c r="AM46" i="6"/>
  <c r="AM46" i="7" s="1"/>
  <c r="AL46" i="6"/>
  <c r="AL46" i="7" s="1"/>
  <c r="AK46" i="6"/>
  <c r="AK46" i="7" s="1"/>
  <c r="AJ46" i="6"/>
  <c r="AJ46" i="7" s="1"/>
  <c r="AI46" i="6"/>
  <c r="AI46" i="7" s="1"/>
  <c r="AH46" i="6"/>
  <c r="AH46" i="7" s="1"/>
  <c r="AG46" i="6"/>
  <c r="AG46" i="7" s="1"/>
  <c r="AF46" i="6"/>
  <c r="AF46" i="7" s="1"/>
  <c r="AE46" i="6"/>
  <c r="AE46" i="7" s="1"/>
  <c r="AD46" i="6"/>
  <c r="AD46" i="7" s="1"/>
  <c r="AC46" i="6"/>
  <c r="AC46" i="7" s="1"/>
  <c r="AB46" i="6"/>
  <c r="AB46" i="7" s="1"/>
  <c r="AA46" i="6"/>
  <c r="AA46" i="7" s="1"/>
  <c r="Z46" i="6"/>
  <c r="Z46" i="7" s="1"/>
  <c r="Y46" i="6"/>
  <c r="Y46" i="7" s="1"/>
  <c r="X46" i="6"/>
  <c r="X46" i="7" s="1"/>
  <c r="W46" i="6"/>
  <c r="W46" i="7" s="1"/>
  <c r="V46" i="6"/>
  <c r="V46" i="7" s="1"/>
  <c r="U46" i="6"/>
  <c r="U46" i="7" s="1"/>
  <c r="T46" i="6"/>
  <c r="T46" i="7" s="1"/>
  <c r="S46" i="6"/>
  <c r="S46" i="7" s="1"/>
  <c r="R46" i="6"/>
  <c r="R46" i="7" s="1"/>
  <c r="Q46" i="6"/>
  <c r="Q46" i="7" s="1"/>
  <c r="P46" i="6"/>
  <c r="P46" i="7" s="1"/>
  <c r="O46" i="6"/>
  <c r="O46" i="7" s="1"/>
  <c r="N46" i="6"/>
  <c r="N46" i="7" s="1"/>
  <c r="M46" i="6"/>
  <c r="M46" i="7" s="1"/>
  <c r="L46" i="6"/>
  <c r="L46" i="7" s="1"/>
  <c r="K46" i="6"/>
  <c r="K46" i="7" s="1"/>
  <c r="J46" i="6"/>
  <c r="J46" i="7" s="1"/>
  <c r="I46" i="6"/>
  <c r="I46" i="7" s="1"/>
  <c r="H46" i="6"/>
  <c r="H46" i="7" s="1"/>
  <c r="G46" i="6"/>
  <c r="G46" i="7" s="1"/>
  <c r="F46" i="6"/>
  <c r="F46" i="7" s="1"/>
  <c r="E46" i="6"/>
  <c r="E46" i="7" s="1"/>
  <c r="D46" i="6"/>
  <c r="D46" i="7" s="1"/>
  <c r="AO45" i="6"/>
  <c r="AO45" i="7" s="1"/>
  <c r="AN45" i="6"/>
  <c r="AN45" i="7" s="1"/>
  <c r="AM45" i="6"/>
  <c r="AM45" i="7" s="1"/>
  <c r="AL45" i="6"/>
  <c r="AL45" i="7" s="1"/>
  <c r="AK45" i="6"/>
  <c r="AK45" i="7" s="1"/>
  <c r="AJ45" i="6"/>
  <c r="AJ45" i="7" s="1"/>
  <c r="AI45" i="6"/>
  <c r="AI45" i="7" s="1"/>
  <c r="AH45" i="6"/>
  <c r="AH45" i="7" s="1"/>
  <c r="AG45" i="6"/>
  <c r="AG45" i="7" s="1"/>
  <c r="AF45" i="6"/>
  <c r="AF45" i="7" s="1"/>
  <c r="AE45" i="6"/>
  <c r="AE45" i="7" s="1"/>
  <c r="AD45" i="6"/>
  <c r="AD45" i="7" s="1"/>
  <c r="AC45" i="6"/>
  <c r="AC45" i="7" s="1"/>
  <c r="AB45" i="6"/>
  <c r="AB45" i="7" s="1"/>
  <c r="AA45" i="6"/>
  <c r="AA45" i="7" s="1"/>
  <c r="Z45" i="6"/>
  <c r="Z45" i="7" s="1"/>
  <c r="Y45" i="6"/>
  <c r="Y45" i="7" s="1"/>
  <c r="X45" i="6"/>
  <c r="X45" i="7" s="1"/>
  <c r="W45" i="6"/>
  <c r="W45" i="7" s="1"/>
  <c r="V45" i="6"/>
  <c r="V45" i="7" s="1"/>
  <c r="U45" i="6"/>
  <c r="U45" i="7" s="1"/>
  <c r="T45" i="6"/>
  <c r="T45" i="7" s="1"/>
  <c r="S45" i="6"/>
  <c r="S45" i="7" s="1"/>
  <c r="R45" i="6"/>
  <c r="R45" i="7" s="1"/>
  <c r="Q45" i="6"/>
  <c r="Q45" i="7" s="1"/>
  <c r="P45" i="6"/>
  <c r="P45" i="7" s="1"/>
  <c r="O45" i="6"/>
  <c r="O45" i="7" s="1"/>
  <c r="N45" i="6"/>
  <c r="N45" i="7" s="1"/>
  <c r="M45" i="6"/>
  <c r="M45" i="7" s="1"/>
  <c r="L45" i="6"/>
  <c r="L45" i="7" s="1"/>
  <c r="K45" i="6"/>
  <c r="K45" i="7" s="1"/>
  <c r="J45" i="6"/>
  <c r="J45" i="7" s="1"/>
  <c r="I45" i="6"/>
  <c r="I45" i="7" s="1"/>
  <c r="H45" i="6"/>
  <c r="H45" i="7" s="1"/>
  <c r="G45" i="6"/>
  <c r="G45" i="7" s="1"/>
  <c r="F45" i="6"/>
  <c r="F45" i="7" s="1"/>
  <c r="E45" i="6"/>
  <c r="E45" i="7" s="1"/>
  <c r="D45" i="6"/>
  <c r="D45" i="7" s="1"/>
  <c r="AO44" i="6"/>
  <c r="AO44" i="7" s="1"/>
  <c r="AN44" i="6"/>
  <c r="AN44" i="7" s="1"/>
  <c r="AM44" i="6"/>
  <c r="AM44" i="7" s="1"/>
  <c r="AL44" i="6"/>
  <c r="AK44" i="6"/>
  <c r="AK44" i="7" s="1"/>
  <c r="AJ44" i="6"/>
  <c r="AJ44" i="7" s="1"/>
  <c r="AI44" i="6"/>
  <c r="AI44" i="7" s="1"/>
  <c r="AH44" i="6"/>
  <c r="AH44" i="7" s="1"/>
  <c r="AG44" i="6"/>
  <c r="AG44" i="7" s="1"/>
  <c r="AF44" i="6"/>
  <c r="AF44" i="7" s="1"/>
  <c r="AE44" i="6"/>
  <c r="AD44" i="6"/>
  <c r="AC44" i="6"/>
  <c r="AB44" i="6"/>
  <c r="AB44" i="7" s="1"/>
  <c r="AA44" i="6"/>
  <c r="Z44" i="6"/>
  <c r="Z44" i="7" s="1"/>
  <c r="Y44" i="6"/>
  <c r="Y44" i="7" s="1"/>
  <c r="X44" i="6"/>
  <c r="X44" i="7" s="1"/>
  <c r="W44" i="6"/>
  <c r="V44" i="6"/>
  <c r="U44" i="6"/>
  <c r="T44" i="6"/>
  <c r="S44" i="6"/>
  <c r="R44" i="6"/>
  <c r="R44" i="7" s="1"/>
  <c r="Q44" i="6"/>
  <c r="Q44" i="7" s="1"/>
  <c r="P44" i="6"/>
  <c r="P44" i="7" s="1"/>
  <c r="O44" i="6"/>
  <c r="N44" i="6"/>
  <c r="M44" i="6"/>
  <c r="L44" i="6"/>
  <c r="L44" i="7" s="1"/>
  <c r="K44" i="6"/>
  <c r="J44" i="6"/>
  <c r="J44" i="7" s="1"/>
  <c r="I44" i="6"/>
  <c r="I44" i="7" s="1"/>
  <c r="H44" i="6"/>
  <c r="H44" i="7" s="1"/>
  <c r="G44" i="6"/>
  <c r="F44" i="6"/>
  <c r="E44" i="6"/>
  <c r="D44" i="6"/>
  <c r="AO42" i="6"/>
  <c r="AN42" i="6"/>
  <c r="AM42" i="6"/>
  <c r="AL42" i="6"/>
  <c r="AL42" i="7" s="1"/>
  <c r="AK42" i="6"/>
  <c r="AK42" i="7" s="1"/>
  <c r="AJ42" i="6"/>
  <c r="AJ42" i="7" s="1"/>
  <c r="AI42" i="6"/>
  <c r="AI42" i="7" s="1"/>
  <c r="AH42" i="6"/>
  <c r="AG42" i="6"/>
  <c r="AF42" i="6"/>
  <c r="AE42" i="6"/>
  <c r="AE42" i="7" s="1"/>
  <c r="AD42" i="6"/>
  <c r="AD42" i="7" s="1"/>
  <c r="AC42" i="6"/>
  <c r="AC42" i="7" s="1"/>
  <c r="AB42" i="6"/>
  <c r="AB42" i="7" s="1"/>
  <c r="AA42" i="6"/>
  <c r="AA42" i="7" s="1"/>
  <c r="Z42" i="6"/>
  <c r="Y42" i="6"/>
  <c r="X42" i="6"/>
  <c r="W42" i="6"/>
  <c r="W42" i="7" s="1"/>
  <c r="V42" i="6"/>
  <c r="U42" i="6"/>
  <c r="U42" i="7" s="1"/>
  <c r="T42" i="6"/>
  <c r="T42" i="7" s="1"/>
  <c r="S42" i="6"/>
  <c r="S42" i="7" s="1"/>
  <c r="R42" i="6"/>
  <c r="Q42" i="6"/>
  <c r="P42" i="6"/>
  <c r="O42" i="6"/>
  <c r="O42" i="7" s="1"/>
  <c r="N42" i="6"/>
  <c r="M42" i="6"/>
  <c r="M42" i="7" s="1"/>
  <c r="L42" i="6"/>
  <c r="L42" i="7" s="1"/>
  <c r="K42" i="6"/>
  <c r="K42" i="7" s="1"/>
  <c r="J42" i="6"/>
  <c r="I42" i="6"/>
  <c r="H42" i="6"/>
  <c r="G42" i="6"/>
  <c r="G42" i="7" s="1"/>
  <c r="F42" i="6"/>
  <c r="E42" i="6"/>
  <c r="E42" i="7" s="1"/>
  <c r="D42" i="6"/>
  <c r="D42" i="7" s="1"/>
  <c r="C47" i="6"/>
  <c r="C47" i="7" s="1"/>
  <c r="C46" i="6"/>
  <c r="C46" i="7" s="1"/>
  <c r="C45" i="6"/>
  <c r="C45" i="7" s="1"/>
  <c r="C44" i="6"/>
  <c r="C44" i="7" s="1"/>
  <c r="C42" i="6"/>
  <c r="AO32" i="6"/>
  <c r="AO32" i="7" s="1"/>
  <c r="AN32" i="6"/>
  <c r="AN32" i="7" s="1"/>
  <c r="AM32" i="6"/>
  <c r="AM32" i="7" s="1"/>
  <c r="AL32" i="6"/>
  <c r="AL32" i="7" s="1"/>
  <c r="AK32" i="6"/>
  <c r="AK32" i="7" s="1"/>
  <c r="AJ32" i="6"/>
  <c r="AJ32" i="7" s="1"/>
  <c r="AI32" i="6"/>
  <c r="AI32" i="7" s="1"/>
  <c r="AH32" i="6"/>
  <c r="AH32" i="7" s="1"/>
  <c r="AG32" i="6"/>
  <c r="AG32" i="7" s="1"/>
  <c r="AF32" i="6"/>
  <c r="AF32" i="7" s="1"/>
  <c r="AE32" i="6"/>
  <c r="AE32" i="7" s="1"/>
  <c r="AD32" i="6"/>
  <c r="AD32" i="7" s="1"/>
  <c r="AC32" i="6"/>
  <c r="AC32" i="7" s="1"/>
  <c r="AB32" i="6"/>
  <c r="AB32" i="7" s="1"/>
  <c r="AA32" i="6"/>
  <c r="AA32" i="7" s="1"/>
  <c r="Z32" i="6"/>
  <c r="Z32" i="7" s="1"/>
  <c r="Y32" i="6"/>
  <c r="Y32" i="7" s="1"/>
  <c r="X32" i="6"/>
  <c r="X32" i="7" s="1"/>
  <c r="W32" i="6"/>
  <c r="W32" i="7" s="1"/>
  <c r="V32" i="6"/>
  <c r="V32" i="7" s="1"/>
  <c r="U32" i="6"/>
  <c r="U32" i="7" s="1"/>
  <c r="T32" i="6"/>
  <c r="T32" i="7" s="1"/>
  <c r="S32" i="6"/>
  <c r="S32" i="7" s="1"/>
  <c r="R32" i="6"/>
  <c r="R32" i="7" s="1"/>
  <c r="Q32" i="6"/>
  <c r="Q32" i="7" s="1"/>
  <c r="P32" i="6"/>
  <c r="P32" i="7" s="1"/>
  <c r="O32" i="6"/>
  <c r="O32" i="7" s="1"/>
  <c r="N32" i="6"/>
  <c r="N32" i="7" s="1"/>
  <c r="M32" i="6"/>
  <c r="M32" i="7" s="1"/>
  <c r="L32" i="6"/>
  <c r="L32" i="7" s="1"/>
  <c r="K32" i="6"/>
  <c r="K32" i="7" s="1"/>
  <c r="J32" i="6"/>
  <c r="J32" i="7" s="1"/>
  <c r="I32" i="6"/>
  <c r="I32" i="7" s="1"/>
  <c r="H32" i="6"/>
  <c r="H32" i="7" s="1"/>
  <c r="G32" i="6"/>
  <c r="G32" i="7" s="1"/>
  <c r="F32" i="6"/>
  <c r="F32" i="7" s="1"/>
  <c r="E32" i="6"/>
  <c r="E32" i="7" s="1"/>
  <c r="D32" i="6"/>
  <c r="D32" i="7" s="1"/>
  <c r="AO31" i="6"/>
  <c r="AO31" i="7" s="1"/>
  <c r="AN31" i="6"/>
  <c r="AN31" i="7" s="1"/>
  <c r="AM31" i="6"/>
  <c r="AM31" i="7" s="1"/>
  <c r="AL31" i="6"/>
  <c r="AL31" i="7" s="1"/>
  <c r="AK31" i="6"/>
  <c r="AK31" i="7" s="1"/>
  <c r="AJ31" i="6"/>
  <c r="AJ31" i="7" s="1"/>
  <c r="AI31" i="6"/>
  <c r="AI31" i="7" s="1"/>
  <c r="AH31" i="6"/>
  <c r="AH31" i="7" s="1"/>
  <c r="AG31" i="6"/>
  <c r="AG31" i="7" s="1"/>
  <c r="AF31" i="6"/>
  <c r="AF31" i="7" s="1"/>
  <c r="AE31" i="6"/>
  <c r="AE31" i="7" s="1"/>
  <c r="AD31" i="6"/>
  <c r="AD31" i="7" s="1"/>
  <c r="AC31" i="6"/>
  <c r="AC31" i="7" s="1"/>
  <c r="AB31" i="6"/>
  <c r="AB31" i="7" s="1"/>
  <c r="AA31" i="6"/>
  <c r="AA31" i="7" s="1"/>
  <c r="Z31" i="6"/>
  <c r="Z31" i="7" s="1"/>
  <c r="Y31" i="6"/>
  <c r="Y31" i="7" s="1"/>
  <c r="X31" i="6"/>
  <c r="X31" i="7" s="1"/>
  <c r="W31" i="6"/>
  <c r="W31" i="7" s="1"/>
  <c r="V31" i="6"/>
  <c r="V31" i="7" s="1"/>
  <c r="U31" i="6"/>
  <c r="U31" i="7" s="1"/>
  <c r="T31" i="6"/>
  <c r="T31" i="7" s="1"/>
  <c r="S31" i="6"/>
  <c r="S31" i="7" s="1"/>
  <c r="R31" i="6"/>
  <c r="R31" i="7" s="1"/>
  <c r="Q31" i="6"/>
  <c r="Q31" i="7" s="1"/>
  <c r="P31" i="6"/>
  <c r="P31" i="7" s="1"/>
  <c r="O31" i="6"/>
  <c r="O31" i="7" s="1"/>
  <c r="N31" i="6"/>
  <c r="N31" i="7" s="1"/>
  <c r="M31" i="6"/>
  <c r="M31" i="7" s="1"/>
  <c r="L31" i="6"/>
  <c r="L31" i="7" s="1"/>
  <c r="K31" i="6"/>
  <c r="K31" i="7" s="1"/>
  <c r="J31" i="6"/>
  <c r="J31" i="7" s="1"/>
  <c r="I31" i="6"/>
  <c r="I31" i="7" s="1"/>
  <c r="H31" i="6"/>
  <c r="H31" i="7" s="1"/>
  <c r="G31" i="6"/>
  <c r="G31" i="7" s="1"/>
  <c r="F31" i="6"/>
  <c r="F31" i="7" s="1"/>
  <c r="E31" i="6"/>
  <c r="E31" i="7" s="1"/>
  <c r="D31" i="6"/>
  <c r="D31" i="7" s="1"/>
  <c r="AO30" i="6"/>
  <c r="AO30" i="7" s="1"/>
  <c r="AN30" i="6"/>
  <c r="AN30" i="7" s="1"/>
  <c r="AM30" i="6"/>
  <c r="AM30" i="7" s="1"/>
  <c r="AL30" i="6"/>
  <c r="AL30" i="7" s="1"/>
  <c r="AK30" i="6"/>
  <c r="AK30" i="7" s="1"/>
  <c r="AJ30" i="6"/>
  <c r="AJ30" i="7" s="1"/>
  <c r="AI30" i="6"/>
  <c r="AI30" i="7" s="1"/>
  <c r="AH30" i="6"/>
  <c r="AH30" i="7" s="1"/>
  <c r="AG30" i="6"/>
  <c r="AG30" i="7" s="1"/>
  <c r="AF30" i="6"/>
  <c r="AF30" i="7" s="1"/>
  <c r="AE30" i="6"/>
  <c r="AE30" i="7" s="1"/>
  <c r="AD30" i="6"/>
  <c r="AD30" i="7" s="1"/>
  <c r="AC30" i="6"/>
  <c r="AC30" i="7" s="1"/>
  <c r="AB30" i="6"/>
  <c r="AB30" i="7" s="1"/>
  <c r="AA30" i="6"/>
  <c r="AA30" i="7" s="1"/>
  <c r="Z30" i="6"/>
  <c r="Z30" i="7" s="1"/>
  <c r="Y30" i="6"/>
  <c r="Y30" i="7" s="1"/>
  <c r="X30" i="6"/>
  <c r="X30" i="7" s="1"/>
  <c r="W30" i="6"/>
  <c r="W30" i="7" s="1"/>
  <c r="V30" i="6"/>
  <c r="V30" i="7" s="1"/>
  <c r="U30" i="6"/>
  <c r="U30" i="7" s="1"/>
  <c r="T30" i="6"/>
  <c r="T30" i="7" s="1"/>
  <c r="S30" i="6"/>
  <c r="S30" i="7" s="1"/>
  <c r="R30" i="6"/>
  <c r="R30" i="7" s="1"/>
  <c r="Q30" i="6"/>
  <c r="Q30" i="7" s="1"/>
  <c r="P30" i="6"/>
  <c r="P30" i="7" s="1"/>
  <c r="O30" i="6"/>
  <c r="O30" i="7" s="1"/>
  <c r="N30" i="6"/>
  <c r="N30" i="7" s="1"/>
  <c r="M30" i="6"/>
  <c r="M30" i="7" s="1"/>
  <c r="L30" i="6"/>
  <c r="L30" i="7" s="1"/>
  <c r="K30" i="6"/>
  <c r="K30" i="7" s="1"/>
  <c r="J30" i="6"/>
  <c r="J30" i="7" s="1"/>
  <c r="I30" i="6"/>
  <c r="I30" i="7" s="1"/>
  <c r="H30" i="6"/>
  <c r="H30" i="7" s="1"/>
  <c r="G30" i="6"/>
  <c r="G30" i="7" s="1"/>
  <c r="F30" i="6"/>
  <c r="F30" i="7" s="1"/>
  <c r="E30" i="6"/>
  <c r="E30" i="7" s="1"/>
  <c r="D30" i="6"/>
  <c r="D30" i="7" s="1"/>
  <c r="AO29" i="6"/>
  <c r="AO29" i="7" s="1"/>
  <c r="AN29" i="6"/>
  <c r="AN29" i="7" s="1"/>
  <c r="AM29" i="6"/>
  <c r="AM29" i="7" s="1"/>
  <c r="AL29" i="6"/>
  <c r="AK29" i="6"/>
  <c r="AJ29" i="6"/>
  <c r="AI29" i="6"/>
  <c r="AI29" i="7" s="1"/>
  <c r="AH29" i="6"/>
  <c r="AH29" i="7" s="1"/>
  <c r="AG29" i="6"/>
  <c r="AG29" i="7" s="1"/>
  <c r="AF29" i="6"/>
  <c r="AF29" i="7" s="1"/>
  <c r="AE29" i="6"/>
  <c r="AE29" i="7" s="1"/>
  <c r="AD29" i="6"/>
  <c r="AC29" i="6"/>
  <c r="AB29" i="6"/>
  <c r="AA29" i="6"/>
  <c r="AA29" i="7" s="1"/>
  <c r="Z29" i="6"/>
  <c r="Z29" i="7" s="1"/>
  <c r="Y29" i="6"/>
  <c r="Y29" i="7" s="1"/>
  <c r="X29" i="6"/>
  <c r="X29" i="7" s="1"/>
  <c r="W29" i="6"/>
  <c r="W29" i="7" s="1"/>
  <c r="V29" i="6"/>
  <c r="U29" i="6"/>
  <c r="T29" i="6"/>
  <c r="S29" i="6"/>
  <c r="S29" i="7" s="1"/>
  <c r="R29" i="6"/>
  <c r="R29" i="7" s="1"/>
  <c r="Q29" i="6"/>
  <c r="Q29" i="7" s="1"/>
  <c r="P29" i="6"/>
  <c r="P29" i="7" s="1"/>
  <c r="O29" i="6"/>
  <c r="O29" i="7" s="1"/>
  <c r="N29" i="6"/>
  <c r="M29" i="6"/>
  <c r="L29" i="6"/>
  <c r="K29" i="6"/>
  <c r="K29" i="7" s="1"/>
  <c r="J29" i="6"/>
  <c r="J29" i="7" s="1"/>
  <c r="I29" i="6"/>
  <c r="I29" i="7" s="1"/>
  <c r="H29" i="6"/>
  <c r="H29" i="7" s="1"/>
  <c r="G29" i="6"/>
  <c r="G29" i="7" s="1"/>
  <c r="F29" i="6"/>
  <c r="E29" i="6"/>
  <c r="D29" i="6"/>
  <c r="AO28" i="6"/>
  <c r="AN28" i="6"/>
  <c r="AM28" i="6"/>
  <c r="AL28" i="6"/>
  <c r="AL28" i="7" s="1"/>
  <c r="AK28" i="6"/>
  <c r="AK28" i="7" s="1"/>
  <c r="AJ28" i="6"/>
  <c r="AJ28" i="7" s="1"/>
  <c r="AI28" i="6"/>
  <c r="AH28" i="6"/>
  <c r="AG28" i="6"/>
  <c r="AF28" i="6"/>
  <c r="AE28" i="6"/>
  <c r="AD28" i="6"/>
  <c r="AD28" i="7" s="1"/>
  <c r="AC28" i="6"/>
  <c r="AC28" i="7" s="1"/>
  <c r="AB28" i="6"/>
  <c r="AB28" i="7" s="1"/>
  <c r="AA28" i="6"/>
  <c r="Z28" i="6"/>
  <c r="Y28" i="6"/>
  <c r="X28" i="6"/>
  <c r="W28" i="6"/>
  <c r="V28" i="6"/>
  <c r="V28" i="7" s="1"/>
  <c r="U28" i="6"/>
  <c r="U28" i="7" s="1"/>
  <c r="T28" i="6"/>
  <c r="T28" i="7" s="1"/>
  <c r="S28" i="6"/>
  <c r="R28" i="6"/>
  <c r="Q28" i="6"/>
  <c r="P28" i="6"/>
  <c r="O28" i="6"/>
  <c r="N28" i="6"/>
  <c r="N28" i="7" s="1"/>
  <c r="M28" i="6"/>
  <c r="M28" i="7" s="1"/>
  <c r="L28" i="6"/>
  <c r="L28" i="7" s="1"/>
  <c r="K28" i="6"/>
  <c r="J28" i="6"/>
  <c r="I28" i="6"/>
  <c r="H28" i="6"/>
  <c r="G28" i="6"/>
  <c r="F28" i="6"/>
  <c r="F28" i="7" s="1"/>
  <c r="E28" i="6"/>
  <c r="E28" i="7" s="1"/>
  <c r="D28" i="6"/>
  <c r="D28" i="7" s="1"/>
  <c r="C32" i="6"/>
  <c r="C32" i="7" s="1"/>
  <c r="C31" i="6"/>
  <c r="C31" i="7" s="1"/>
  <c r="C30" i="6"/>
  <c r="C30" i="7" s="1"/>
  <c r="C29" i="6"/>
  <c r="C29" i="7" s="1"/>
  <c r="C28" i="6"/>
  <c r="C28" i="7" s="1"/>
  <c r="AO19" i="6"/>
  <c r="AO19" i="7" s="1"/>
  <c r="AN19" i="6"/>
  <c r="AN19" i="7" s="1"/>
  <c r="AM19" i="6"/>
  <c r="AM19" i="7" s="1"/>
  <c r="AL19" i="6"/>
  <c r="AL19" i="7" s="1"/>
  <c r="AK19" i="6"/>
  <c r="AK19" i="7" s="1"/>
  <c r="AJ19" i="6"/>
  <c r="AJ19" i="7" s="1"/>
  <c r="AI19" i="6"/>
  <c r="AI19" i="7" s="1"/>
  <c r="AH19" i="6"/>
  <c r="AH19" i="7" s="1"/>
  <c r="AG19" i="6"/>
  <c r="AG19" i="7" s="1"/>
  <c r="AF19" i="6"/>
  <c r="AF19" i="7" s="1"/>
  <c r="AE19" i="6"/>
  <c r="AE19" i="7" s="1"/>
  <c r="AD19" i="6"/>
  <c r="AD19" i="7" s="1"/>
  <c r="AC19" i="6"/>
  <c r="AC19" i="7" s="1"/>
  <c r="AB19" i="6"/>
  <c r="AB19" i="7" s="1"/>
  <c r="AA19" i="6"/>
  <c r="AA19" i="7" s="1"/>
  <c r="Z19" i="6"/>
  <c r="Z19" i="7" s="1"/>
  <c r="Y19" i="6"/>
  <c r="Y19" i="7" s="1"/>
  <c r="X19" i="6"/>
  <c r="X19" i="7" s="1"/>
  <c r="W19" i="6"/>
  <c r="W19" i="7" s="1"/>
  <c r="V19" i="6"/>
  <c r="V19" i="7" s="1"/>
  <c r="U19" i="6"/>
  <c r="U19" i="7" s="1"/>
  <c r="T19" i="6"/>
  <c r="T19" i="7" s="1"/>
  <c r="S19" i="6"/>
  <c r="S19" i="7" s="1"/>
  <c r="R19" i="6"/>
  <c r="R19" i="7" s="1"/>
  <c r="Q19" i="6"/>
  <c r="Q19" i="7" s="1"/>
  <c r="P19" i="6"/>
  <c r="P19" i="7" s="1"/>
  <c r="O19" i="6"/>
  <c r="O19" i="7" s="1"/>
  <c r="N19" i="6"/>
  <c r="N19" i="7" s="1"/>
  <c r="M19" i="6"/>
  <c r="M19" i="7" s="1"/>
  <c r="L19" i="6"/>
  <c r="L19" i="7" s="1"/>
  <c r="K19" i="6"/>
  <c r="K19" i="7" s="1"/>
  <c r="J19" i="6"/>
  <c r="J19" i="7" s="1"/>
  <c r="I19" i="6"/>
  <c r="I19" i="7" s="1"/>
  <c r="H19" i="6"/>
  <c r="H19" i="7" s="1"/>
  <c r="G19" i="6"/>
  <c r="G19" i="7" s="1"/>
  <c r="F19" i="6"/>
  <c r="F19" i="7" s="1"/>
  <c r="E19" i="6"/>
  <c r="E19" i="7" s="1"/>
  <c r="D19" i="6"/>
  <c r="D19" i="7" s="1"/>
  <c r="AO18" i="6"/>
  <c r="AO18" i="7" s="1"/>
  <c r="AN18" i="6"/>
  <c r="AN18" i="7" s="1"/>
  <c r="AM18" i="6"/>
  <c r="AM18" i="7" s="1"/>
  <c r="AL18" i="6"/>
  <c r="AL18" i="7" s="1"/>
  <c r="AK18" i="6"/>
  <c r="AK18" i="7" s="1"/>
  <c r="AJ18" i="6"/>
  <c r="AJ18" i="7" s="1"/>
  <c r="AI18" i="6"/>
  <c r="AI18" i="7" s="1"/>
  <c r="AH18" i="6"/>
  <c r="AH18" i="7" s="1"/>
  <c r="AG18" i="6"/>
  <c r="AG18" i="7" s="1"/>
  <c r="AF18" i="6"/>
  <c r="AF18" i="7" s="1"/>
  <c r="AE18" i="6"/>
  <c r="AE18" i="7" s="1"/>
  <c r="AD18" i="6"/>
  <c r="AD18" i="7" s="1"/>
  <c r="AC18" i="6"/>
  <c r="AC18" i="7" s="1"/>
  <c r="AB18" i="6"/>
  <c r="AB18" i="7" s="1"/>
  <c r="AA18" i="6"/>
  <c r="AA18" i="7" s="1"/>
  <c r="Z18" i="6"/>
  <c r="Z18" i="7" s="1"/>
  <c r="Y18" i="6"/>
  <c r="Y18" i="7" s="1"/>
  <c r="X18" i="6"/>
  <c r="X18" i="7" s="1"/>
  <c r="W18" i="6"/>
  <c r="W18" i="7" s="1"/>
  <c r="V18" i="6"/>
  <c r="V18" i="7" s="1"/>
  <c r="U18" i="6"/>
  <c r="U18" i="7" s="1"/>
  <c r="T18" i="6"/>
  <c r="T18" i="7" s="1"/>
  <c r="S18" i="6"/>
  <c r="S18" i="7" s="1"/>
  <c r="R18" i="6"/>
  <c r="R18" i="7" s="1"/>
  <c r="Q18" i="6"/>
  <c r="Q18" i="7" s="1"/>
  <c r="P18" i="6"/>
  <c r="P18" i="7" s="1"/>
  <c r="O18" i="6"/>
  <c r="O18" i="7" s="1"/>
  <c r="N18" i="6"/>
  <c r="N18" i="7" s="1"/>
  <c r="M18" i="6"/>
  <c r="M18" i="7" s="1"/>
  <c r="L18" i="6"/>
  <c r="L18" i="7" s="1"/>
  <c r="K18" i="6"/>
  <c r="K18" i="7" s="1"/>
  <c r="J18" i="6"/>
  <c r="J18" i="7" s="1"/>
  <c r="I18" i="6"/>
  <c r="I18" i="7" s="1"/>
  <c r="H18" i="6"/>
  <c r="H18" i="7" s="1"/>
  <c r="G18" i="6"/>
  <c r="G18" i="7" s="1"/>
  <c r="F18" i="6"/>
  <c r="F18" i="7" s="1"/>
  <c r="E18" i="6"/>
  <c r="E18" i="7" s="1"/>
  <c r="D18" i="6"/>
  <c r="D18" i="7" s="1"/>
  <c r="AO17" i="6"/>
  <c r="AO17" i="7" s="1"/>
  <c r="AN17" i="6"/>
  <c r="AN17" i="7" s="1"/>
  <c r="AM17" i="6"/>
  <c r="AM17" i="7" s="1"/>
  <c r="AL17" i="6"/>
  <c r="AL17" i="7" s="1"/>
  <c r="AK17" i="6"/>
  <c r="AJ17" i="6"/>
  <c r="AI17" i="6"/>
  <c r="AI17" i="7" s="1"/>
  <c r="AH17" i="6"/>
  <c r="AH17" i="7" s="1"/>
  <c r="AG17" i="6"/>
  <c r="AG17" i="7" s="1"/>
  <c r="AF17" i="6"/>
  <c r="AF17" i="7" s="1"/>
  <c r="AE17" i="6"/>
  <c r="AE17" i="7" s="1"/>
  <c r="AD17" i="6"/>
  <c r="AD17" i="7" s="1"/>
  <c r="AC17" i="6"/>
  <c r="AB17" i="6"/>
  <c r="AA17" i="6"/>
  <c r="AA17" i="7" s="1"/>
  <c r="Z17" i="6"/>
  <c r="Z17" i="7" s="1"/>
  <c r="Y17" i="6"/>
  <c r="Y17" i="7" s="1"/>
  <c r="X17" i="6"/>
  <c r="X17" i="7" s="1"/>
  <c r="W17" i="6"/>
  <c r="W17" i="7" s="1"/>
  <c r="V17" i="6"/>
  <c r="V17" i="7" s="1"/>
  <c r="U17" i="6"/>
  <c r="T17" i="6"/>
  <c r="S17" i="6"/>
  <c r="S17" i="7" s="1"/>
  <c r="R17" i="6"/>
  <c r="R17" i="7" s="1"/>
  <c r="Q17" i="6"/>
  <c r="Q17" i="7" s="1"/>
  <c r="P17" i="6"/>
  <c r="P17" i="7" s="1"/>
  <c r="O17" i="6"/>
  <c r="O17" i="7" s="1"/>
  <c r="N17" i="6"/>
  <c r="N17" i="7" s="1"/>
  <c r="M17" i="6"/>
  <c r="L17" i="6"/>
  <c r="K17" i="6"/>
  <c r="K17" i="7" s="1"/>
  <c r="J17" i="6"/>
  <c r="J17" i="7" s="1"/>
  <c r="I17" i="6"/>
  <c r="I17" i="7" s="1"/>
  <c r="H17" i="6"/>
  <c r="H17" i="7" s="1"/>
  <c r="G17" i="6"/>
  <c r="G17" i="7" s="1"/>
  <c r="F17" i="6"/>
  <c r="F17" i="7" s="1"/>
  <c r="E17" i="6"/>
  <c r="D17" i="6"/>
  <c r="AO16" i="6"/>
  <c r="AO16" i="7" s="1"/>
  <c r="AN16" i="6"/>
  <c r="AN16" i="7" s="1"/>
  <c r="AM16" i="6"/>
  <c r="AM16" i="7" s="1"/>
  <c r="AL16" i="6"/>
  <c r="AL16" i="7" s="1"/>
  <c r="AK16" i="6"/>
  <c r="AK16" i="7" s="1"/>
  <c r="AJ16" i="6"/>
  <c r="AJ16" i="7" s="1"/>
  <c r="AI16" i="6"/>
  <c r="AI16" i="7" s="1"/>
  <c r="AH16" i="6"/>
  <c r="AH16" i="7" s="1"/>
  <c r="AG16" i="6"/>
  <c r="AG16" i="7" s="1"/>
  <c r="AF16" i="6"/>
  <c r="AF16" i="7" s="1"/>
  <c r="AE16" i="6"/>
  <c r="AE16" i="7" s="1"/>
  <c r="AD16" i="6"/>
  <c r="AD16" i="7" s="1"/>
  <c r="AC16" i="6"/>
  <c r="AC16" i="7" s="1"/>
  <c r="AB16" i="6"/>
  <c r="AB16" i="7" s="1"/>
  <c r="AA16" i="6"/>
  <c r="AA16" i="7" s="1"/>
  <c r="Z16" i="6"/>
  <c r="Z16" i="7" s="1"/>
  <c r="Y16" i="6"/>
  <c r="Y16" i="7" s="1"/>
  <c r="X16" i="6"/>
  <c r="X16" i="7" s="1"/>
  <c r="W16" i="6"/>
  <c r="W16" i="7" s="1"/>
  <c r="V16" i="6"/>
  <c r="V16" i="7" s="1"/>
  <c r="U16" i="6"/>
  <c r="U16" i="7" s="1"/>
  <c r="T16" i="6"/>
  <c r="T16" i="7" s="1"/>
  <c r="S16" i="6"/>
  <c r="S16" i="7" s="1"/>
  <c r="R16" i="6"/>
  <c r="R16" i="7" s="1"/>
  <c r="Q16" i="6"/>
  <c r="Q16" i="7" s="1"/>
  <c r="P16" i="6"/>
  <c r="P16" i="7" s="1"/>
  <c r="O16" i="6"/>
  <c r="O16" i="7" s="1"/>
  <c r="N16" i="6"/>
  <c r="N16" i="7" s="1"/>
  <c r="M16" i="6"/>
  <c r="M16" i="7" s="1"/>
  <c r="L16" i="6"/>
  <c r="L16" i="7" s="1"/>
  <c r="K16" i="6"/>
  <c r="K16" i="7" s="1"/>
  <c r="J16" i="6"/>
  <c r="J16" i="7" s="1"/>
  <c r="I16" i="6"/>
  <c r="I16" i="7" s="1"/>
  <c r="H16" i="6"/>
  <c r="H16" i="7" s="1"/>
  <c r="G16" i="6"/>
  <c r="G16" i="7" s="1"/>
  <c r="F16" i="6"/>
  <c r="F16" i="7" s="1"/>
  <c r="E16" i="6"/>
  <c r="E16" i="7" s="1"/>
  <c r="D16" i="6"/>
  <c r="D16" i="7" s="1"/>
  <c r="AO15" i="6"/>
  <c r="AO15" i="7" s="1"/>
  <c r="AN15" i="6"/>
  <c r="AN15" i="7" s="1"/>
  <c r="AM15" i="6"/>
  <c r="AM15" i="7" s="1"/>
  <c r="AL15" i="6"/>
  <c r="AL15" i="7" s="1"/>
  <c r="AK15" i="6"/>
  <c r="AK15" i="7" s="1"/>
  <c r="AJ15" i="6"/>
  <c r="AJ15" i="7" s="1"/>
  <c r="AI15" i="6"/>
  <c r="AI15" i="7" s="1"/>
  <c r="AH15" i="6"/>
  <c r="AG15" i="6"/>
  <c r="AG15" i="7" s="1"/>
  <c r="AF15" i="6"/>
  <c r="AF15" i="7" s="1"/>
  <c r="AE15" i="6"/>
  <c r="AE15" i="7" s="1"/>
  <c r="AD15" i="6"/>
  <c r="AD15" i="7" s="1"/>
  <c r="AC15" i="6"/>
  <c r="AC15" i="7" s="1"/>
  <c r="AB15" i="6"/>
  <c r="AB15" i="7" s="1"/>
  <c r="AA15" i="6"/>
  <c r="AA15" i="7" s="1"/>
  <c r="Z15" i="6"/>
  <c r="Y15" i="6"/>
  <c r="Y15" i="7" s="1"/>
  <c r="X15" i="6"/>
  <c r="X15" i="7" s="1"/>
  <c r="W15" i="6"/>
  <c r="W15" i="7" s="1"/>
  <c r="V15" i="6"/>
  <c r="V15" i="7" s="1"/>
  <c r="U15" i="6"/>
  <c r="U15" i="7" s="1"/>
  <c r="T15" i="6"/>
  <c r="T15" i="7" s="1"/>
  <c r="S15" i="6"/>
  <c r="S15" i="7" s="1"/>
  <c r="R15" i="6"/>
  <c r="Q15" i="6"/>
  <c r="Q15" i="7" s="1"/>
  <c r="P15" i="6"/>
  <c r="P15" i="7" s="1"/>
  <c r="O15" i="6"/>
  <c r="O15" i="7" s="1"/>
  <c r="N15" i="6"/>
  <c r="N15" i="7" s="1"/>
  <c r="M15" i="6"/>
  <c r="M15" i="7" s="1"/>
  <c r="L15" i="6"/>
  <c r="L15" i="7" s="1"/>
  <c r="K15" i="6"/>
  <c r="K15" i="7" s="1"/>
  <c r="J15" i="6"/>
  <c r="I15" i="6"/>
  <c r="I15" i="7" s="1"/>
  <c r="H15" i="6"/>
  <c r="H15" i="7" s="1"/>
  <c r="G15" i="6"/>
  <c r="G15" i="7" s="1"/>
  <c r="F15" i="6"/>
  <c r="F15" i="7" s="1"/>
  <c r="E15" i="6"/>
  <c r="E15" i="7" s="1"/>
  <c r="D15" i="6"/>
  <c r="D15" i="7" s="1"/>
  <c r="AO14" i="6"/>
  <c r="AN14" i="6"/>
  <c r="AM14" i="6"/>
  <c r="AM20" i="6" s="1"/>
  <c r="AL14" i="6"/>
  <c r="AL20" i="6" s="1"/>
  <c r="AK14" i="6"/>
  <c r="AK14" i="7" s="1"/>
  <c r="AJ14" i="6"/>
  <c r="AJ14" i="7" s="1"/>
  <c r="AI14" i="6"/>
  <c r="AH14" i="6"/>
  <c r="AH14" i="7" s="1"/>
  <c r="AG14" i="6"/>
  <c r="AF14" i="6"/>
  <c r="AE14" i="6"/>
  <c r="AE20" i="6" s="1"/>
  <c r="AD14" i="6"/>
  <c r="AD20" i="6" s="1"/>
  <c r="AC14" i="6"/>
  <c r="AC14" i="7" s="1"/>
  <c r="AB14" i="6"/>
  <c r="AB14" i="7" s="1"/>
  <c r="AA14" i="6"/>
  <c r="Z14" i="6"/>
  <c r="Z14" i="7" s="1"/>
  <c r="Y14" i="6"/>
  <c r="X14" i="6"/>
  <c r="W14" i="6"/>
  <c r="W20" i="6" s="1"/>
  <c r="V14" i="6"/>
  <c r="V20" i="6" s="1"/>
  <c r="U14" i="6"/>
  <c r="U14" i="7" s="1"/>
  <c r="T14" i="6"/>
  <c r="T14" i="7" s="1"/>
  <c r="S14" i="6"/>
  <c r="R14" i="6"/>
  <c r="R14" i="7" s="1"/>
  <c r="Q14" i="6"/>
  <c r="P14" i="6"/>
  <c r="O14" i="6"/>
  <c r="O20" i="6" s="1"/>
  <c r="N14" i="6"/>
  <c r="N20" i="6" s="1"/>
  <c r="M14" i="6"/>
  <c r="M14" i="7" s="1"/>
  <c r="L14" i="6"/>
  <c r="L14" i="7" s="1"/>
  <c r="K14" i="6"/>
  <c r="J14" i="6"/>
  <c r="J14" i="7" s="1"/>
  <c r="I14" i="6"/>
  <c r="H14" i="6"/>
  <c r="G14" i="6"/>
  <c r="G20" i="6" s="1"/>
  <c r="F14" i="6"/>
  <c r="F20" i="6" s="1"/>
  <c r="E14" i="6"/>
  <c r="E14" i="7" s="1"/>
  <c r="D14" i="6"/>
  <c r="D14" i="7" s="1"/>
  <c r="C19" i="6"/>
  <c r="C19" i="7" s="1"/>
  <c r="C18" i="6"/>
  <c r="C18" i="7" s="1"/>
  <c r="C17" i="6"/>
  <c r="C17" i="7" s="1"/>
  <c r="C16" i="6"/>
  <c r="C16" i="7" s="1"/>
  <c r="C15" i="6"/>
  <c r="C15" i="7" s="1"/>
  <c r="C14" i="6"/>
  <c r="C20" i="6" s="1"/>
  <c r="AO10" i="6"/>
  <c r="AN10" i="6"/>
  <c r="AM10" i="6"/>
  <c r="AM10" i="7" s="1"/>
  <c r="AL10" i="6"/>
  <c r="AL10" i="7" s="1"/>
  <c r="AK10" i="6"/>
  <c r="AK10" i="7" s="1"/>
  <c r="AJ10" i="6"/>
  <c r="AJ10" i="7" s="1"/>
  <c r="AI10" i="6"/>
  <c r="AI10" i="7" s="1"/>
  <c r="AH10" i="6"/>
  <c r="AH10" i="7" s="1"/>
  <c r="AG10" i="6"/>
  <c r="AF10" i="6"/>
  <c r="AF10" i="7" s="1"/>
  <c r="AE10" i="6"/>
  <c r="AE10" i="7" s="1"/>
  <c r="AD10" i="6"/>
  <c r="AD10" i="7" s="1"/>
  <c r="AC10" i="6"/>
  <c r="AC10" i="7" s="1"/>
  <c r="AB10" i="6"/>
  <c r="AB10" i="7" s="1"/>
  <c r="AA10" i="6"/>
  <c r="AA10" i="7" s="1"/>
  <c r="Z10" i="6"/>
  <c r="Z10" i="7" s="1"/>
  <c r="Y10" i="6"/>
  <c r="X10" i="6"/>
  <c r="W10" i="6"/>
  <c r="W10" i="7" s="1"/>
  <c r="V10" i="6"/>
  <c r="V10" i="7" s="1"/>
  <c r="U10" i="6"/>
  <c r="U10" i="7" s="1"/>
  <c r="T10" i="6"/>
  <c r="T10" i="7" s="1"/>
  <c r="S10" i="6"/>
  <c r="S10" i="7" s="1"/>
  <c r="R10" i="6"/>
  <c r="R10" i="7" s="1"/>
  <c r="Q10" i="6"/>
  <c r="P10" i="6"/>
  <c r="P10" i="7" s="1"/>
  <c r="O10" i="6"/>
  <c r="O10" i="7" s="1"/>
  <c r="N10" i="6"/>
  <c r="N10" i="7" s="1"/>
  <c r="M10" i="6"/>
  <c r="M10" i="7" s="1"/>
  <c r="L10" i="6"/>
  <c r="L10" i="7" s="1"/>
  <c r="K10" i="6"/>
  <c r="K10" i="7" s="1"/>
  <c r="J10" i="6"/>
  <c r="J10" i="7" s="1"/>
  <c r="I10" i="6"/>
  <c r="H10" i="6"/>
  <c r="H10" i="7" s="1"/>
  <c r="G10" i="6"/>
  <c r="G10" i="7" s="1"/>
  <c r="F10" i="6"/>
  <c r="F10" i="7" s="1"/>
  <c r="E10" i="6"/>
  <c r="E10" i="7" s="1"/>
  <c r="D10" i="6"/>
  <c r="D10" i="7" s="1"/>
  <c r="AO9" i="6"/>
  <c r="AO9" i="7" s="1"/>
  <c r="AN9" i="6"/>
  <c r="AN9" i="7" s="1"/>
  <c r="AM9" i="6"/>
  <c r="AM9" i="7" s="1"/>
  <c r="AL9" i="6"/>
  <c r="AL9" i="7" s="1"/>
  <c r="AK9" i="6"/>
  <c r="AK9" i="7" s="1"/>
  <c r="AJ9" i="6"/>
  <c r="AJ9" i="7" s="1"/>
  <c r="AI9" i="6"/>
  <c r="AI9" i="7" s="1"/>
  <c r="AH9" i="6"/>
  <c r="AH9" i="7" s="1"/>
  <c r="AG9" i="6"/>
  <c r="AG9" i="7" s="1"/>
  <c r="AF9" i="6"/>
  <c r="AF9" i="7" s="1"/>
  <c r="AE9" i="6"/>
  <c r="AE9" i="7" s="1"/>
  <c r="AD9" i="6"/>
  <c r="AD9" i="7" s="1"/>
  <c r="AC9" i="6"/>
  <c r="AC9" i="7" s="1"/>
  <c r="AB9" i="6"/>
  <c r="AB9" i="7" s="1"/>
  <c r="AA9" i="6"/>
  <c r="AA9" i="7" s="1"/>
  <c r="Z9" i="6"/>
  <c r="Z9" i="7" s="1"/>
  <c r="Y9" i="6"/>
  <c r="Y9" i="7" s="1"/>
  <c r="X9" i="6"/>
  <c r="X9" i="7" s="1"/>
  <c r="W9" i="6"/>
  <c r="W9" i="7" s="1"/>
  <c r="V9" i="6"/>
  <c r="V9" i="7" s="1"/>
  <c r="U9" i="6"/>
  <c r="U9" i="7" s="1"/>
  <c r="T9" i="6"/>
  <c r="T9" i="7" s="1"/>
  <c r="S9" i="6"/>
  <c r="S9" i="7" s="1"/>
  <c r="R9" i="6"/>
  <c r="R9" i="7" s="1"/>
  <c r="Q9" i="6"/>
  <c r="Q9" i="7" s="1"/>
  <c r="P9" i="6"/>
  <c r="P9" i="7" s="1"/>
  <c r="O9" i="6"/>
  <c r="O9" i="7" s="1"/>
  <c r="N9" i="6"/>
  <c r="N9" i="7" s="1"/>
  <c r="M9" i="6"/>
  <c r="M9" i="7" s="1"/>
  <c r="L9" i="6"/>
  <c r="L9" i="7" s="1"/>
  <c r="K9" i="6"/>
  <c r="K9" i="7" s="1"/>
  <c r="J9" i="6"/>
  <c r="J9" i="7" s="1"/>
  <c r="I9" i="6"/>
  <c r="I9" i="7" s="1"/>
  <c r="H9" i="6"/>
  <c r="H9" i="7" s="1"/>
  <c r="G9" i="6"/>
  <c r="G9" i="7" s="1"/>
  <c r="F9" i="6"/>
  <c r="F9" i="7" s="1"/>
  <c r="E9" i="6"/>
  <c r="E9" i="7" s="1"/>
  <c r="D9" i="6"/>
  <c r="D9" i="7" s="1"/>
  <c r="AO8" i="6"/>
  <c r="AO8" i="7" s="1"/>
  <c r="AN8" i="6"/>
  <c r="AN8" i="7" s="1"/>
  <c r="AM8" i="6"/>
  <c r="AM8" i="7" s="1"/>
  <c r="AL8" i="6"/>
  <c r="AL8" i="7" s="1"/>
  <c r="AK8" i="6"/>
  <c r="AK8" i="7" s="1"/>
  <c r="AJ8" i="6"/>
  <c r="AJ8" i="7" s="1"/>
  <c r="AI8" i="6"/>
  <c r="AI8" i="7" s="1"/>
  <c r="AH8" i="6"/>
  <c r="AH8" i="7" s="1"/>
  <c r="AG8" i="6"/>
  <c r="AG8" i="7" s="1"/>
  <c r="AF8" i="6"/>
  <c r="AF8" i="7" s="1"/>
  <c r="AE8" i="6"/>
  <c r="AE8" i="7" s="1"/>
  <c r="AD8" i="6"/>
  <c r="AD8" i="7" s="1"/>
  <c r="AC8" i="6"/>
  <c r="AC8" i="7" s="1"/>
  <c r="AB8" i="6"/>
  <c r="AB8" i="7" s="1"/>
  <c r="AA8" i="6"/>
  <c r="AA8" i="7" s="1"/>
  <c r="Z8" i="6"/>
  <c r="Z8" i="7" s="1"/>
  <c r="Y8" i="6"/>
  <c r="Y8" i="7" s="1"/>
  <c r="X8" i="6"/>
  <c r="X8" i="7" s="1"/>
  <c r="W8" i="6"/>
  <c r="W8" i="7" s="1"/>
  <c r="V8" i="6"/>
  <c r="V8" i="7" s="1"/>
  <c r="U8" i="6"/>
  <c r="U8" i="7" s="1"/>
  <c r="T8" i="6"/>
  <c r="T8" i="7" s="1"/>
  <c r="S8" i="6"/>
  <c r="S8" i="7" s="1"/>
  <c r="R8" i="6"/>
  <c r="R8" i="7" s="1"/>
  <c r="Q8" i="6"/>
  <c r="Q8" i="7" s="1"/>
  <c r="P8" i="6"/>
  <c r="P8" i="7" s="1"/>
  <c r="O8" i="6"/>
  <c r="O8" i="7" s="1"/>
  <c r="N8" i="6"/>
  <c r="N8" i="7" s="1"/>
  <c r="M8" i="6"/>
  <c r="M8" i="7" s="1"/>
  <c r="L8" i="6"/>
  <c r="L8" i="7" s="1"/>
  <c r="K8" i="6"/>
  <c r="K8" i="7" s="1"/>
  <c r="J8" i="6"/>
  <c r="J8" i="7" s="1"/>
  <c r="I8" i="6"/>
  <c r="I8" i="7" s="1"/>
  <c r="H8" i="6"/>
  <c r="H8" i="7" s="1"/>
  <c r="G8" i="6"/>
  <c r="G8" i="7" s="1"/>
  <c r="F8" i="6"/>
  <c r="F8" i="7" s="1"/>
  <c r="E8" i="6"/>
  <c r="E8" i="7" s="1"/>
  <c r="D8" i="6"/>
  <c r="D8" i="7" s="1"/>
  <c r="AO7" i="6"/>
  <c r="AO7" i="7" s="1"/>
  <c r="AN7" i="6"/>
  <c r="AN7" i="7" s="1"/>
  <c r="AM7" i="6"/>
  <c r="AM7" i="7" s="1"/>
  <c r="AL7" i="6"/>
  <c r="AL7" i="7" s="1"/>
  <c r="AK7" i="6"/>
  <c r="AK7" i="7" s="1"/>
  <c r="AJ7" i="6"/>
  <c r="AJ7" i="7" s="1"/>
  <c r="AI7" i="6"/>
  <c r="AI7" i="7" s="1"/>
  <c r="AH7" i="6"/>
  <c r="AH7" i="7" s="1"/>
  <c r="AG7" i="6"/>
  <c r="AG7" i="7" s="1"/>
  <c r="AF7" i="6"/>
  <c r="AF7" i="7" s="1"/>
  <c r="AE7" i="6"/>
  <c r="AE7" i="7" s="1"/>
  <c r="AD7" i="6"/>
  <c r="AD7" i="7" s="1"/>
  <c r="AC7" i="6"/>
  <c r="AC7" i="7" s="1"/>
  <c r="AB7" i="6"/>
  <c r="AB7" i="7" s="1"/>
  <c r="AA7" i="6"/>
  <c r="AA7" i="7" s="1"/>
  <c r="Z7" i="6"/>
  <c r="Z7" i="7" s="1"/>
  <c r="Y7" i="6"/>
  <c r="Y7" i="7" s="1"/>
  <c r="X7" i="6"/>
  <c r="X7" i="7" s="1"/>
  <c r="W7" i="6"/>
  <c r="W7" i="7" s="1"/>
  <c r="V7" i="6"/>
  <c r="V7" i="7" s="1"/>
  <c r="U7" i="6"/>
  <c r="U7" i="7" s="1"/>
  <c r="T7" i="6"/>
  <c r="T7" i="7" s="1"/>
  <c r="S7" i="6"/>
  <c r="S7" i="7" s="1"/>
  <c r="R7" i="6"/>
  <c r="R7" i="7" s="1"/>
  <c r="Q7" i="6"/>
  <c r="Q7" i="7" s="1"/>
  <c r="P7" i="6"/>
  <c r="P7" i="7" s="1"/>
  <c r="O7" i="6"/>
  <c r="O7" i="7" s="1"/>
  <c r="N7" i="6"/>
  <c r="N7" i="7" s="1"/>
  <c r="M7" i="6"/>
  <c r="M7" i="7" s="1"/>
  <c r="L7" i="6"/>
  <c r="L7" i="7" s="1"/>
  <c r="K7" i="6"/>
  <c r="K7" i="7" s="1"/>
  <c r="J7" i="6"/>
  <c r="J7" i="7" s="1"/>
  <c r="I7" i="6"/>
  <c r="I7" i="7" s="1"/>
  <c r="H7" i="6"/>
  <c r="H7" i="7" s="1"/>
  <c r="G7" i="6"/>
  <c r="G7" i="7" s="1"/>
  <c r="F7" i="6"/>
  <c r="F7" i="7" s="1"/>
  <c r="E7" i="6"/>
  <c r="E7" i="7" s="1"/>
  <c r="D7" i="6"/>
  <c r="D7" i="7" s="1"/>
  <c r="AL6" i="6"/>
  <c r="AL6" i="7" s="1"/>
  <c r="AK6" i="6"/>
  <c r="AK6" i="7" s="1"/>
  <c r="AJ6" i="6"/>
  <c r="AJ6" i="7" s="1"/>
  <c r="AI6" i="6"/>
  <c r="AI6" i="7" s="1"/>
  <c r="AH6" i="6"/>
  <c r="AH6" i="7" s="1"/>
  <c r="AG6" i="6"/>
  <c r="AG6" i="7" s="1"/>
  <c r="AF6" i="6"/>
  <c r="AF6" i="7" s="1"/>
  <c r="AE6" i="6"/>
  <c r="AE6" i="7" s="1"/>
  <c r="AD6" i="6"/>
  <c r="AD6" i="7" s="1"/>
  <c r="AC6" i="6"/>
  <c r="AC6" i="7" s="1"/>
  <c r="AB6" i="6"/>
  <c r="AB6" i="7" s="1"/>
  <c r="AA6" i="6"/>
  <c r="AA6" i="7" s="1"/>
  <c r="Z6" i="6"/>
  <c r="Z6" i="7" s="1"/>
  <c r="Y6" i="6"/>
  <c r="Y6" i="7" s="1"/>
  <c r="X6" i="6"/>
  <c r="X6" i="7" s="1"/>
  <c r="W6" i="6"/>
  <c r="W6" i="7" s="1"/>
  <c r="V6" i="6"/>
  <c r="V6" i="7" s="1"/>
  <c r="U6" i="6"/>
  <c r="U6" i="7" s="1"/>
  <c r="T6" i="6"/>
  <c r="T6" i="7" s="1"/>
  <c r="S6" i="6"/>
  <c r="S6" i="7" s="1"/>
  <c r="R6" i="6"/>
  <c r="R6" i="7" s="1"/>
  <c r="Q6" i="6"/>
  <c r="Q6" i="7" s="1"/>
  <c r="P6" i="6"/>
  <c r="P6" i="7" s="1"/>
  <c r="O6" i="6"/>
  <c r="O6" i="7" s="1"/>
  <c r="N6" i="6"/>
  <c r="N6" i="7" s="1"/>
  <c r="M6" i="6"/>
  <c r="M6" i="7" s="1"/>
  <c r="L6" i="6"/>
  <c r="L6" i="7" s="1"/>
  <c r="K6" i="6"/>
  <c r="K6" i="7" s="1"/>
  <c r="J6" i="6"/>
  <c r="J6" i="7" s="1"/>
  <c r="I6" i="6"/>
  <c r="I6" i="7" s="1"/>
  <c r="H6" i="6"/>
  <c r="H6" i="7" s="1"/>
  <c r="G6" i="6"/>
  <c r="G6" i="7" s="1"/>
  <c r="F6" i="6"/>
  <c r="F6" i="7" s="1"/>
  <c r="E6" i="6"/>
  <c r="E6" i="7" s="1"/>
  <c r="D6" i="6"/>
  <c r="D6" i="7" s="1"/>
  <c r="C10" i="6"/>
  <c r="C10" i="7" s="1"/>
  <c r="C9" i="6"/>
  <c r="C9" i="7" s="1"/>
  <c r="C8" i="6"/>
  <c r="C8" i="7" s="1"/>
  <c r="C7" i="6"/>
  <c r="C7" i="7" s="1"/>
  <c r="C6" i="6"/>
  <c r="J19" i="9"/>
  <c r="G19" i="9"/>
  <c r="D19" i="9"/>
  <c r="J18" i="9"/>
  <c r="G18" i="9"/>
  <c r="D18" i="9"/>
  <c r="J15" i="9"/>
  <c r="G15" i="9"/>
  <c r="D15" i="9"/>
  <c r="J14" i="9"/>
  <c r="G14" i="9"/>
  <c r="D14" i="9"/>
  <c r="J13" i="9"/>
  <c r="G13" i="9"/>
  <c r="D13" i="9"/>
  <c r="J10" i="9"/>
  <c r="G10" i="9"/>
  <c r="D10" i="9"/>
  <c r="J7" i="9"/>
  <c r="G7" i="9"/>
  <c r="D7" i="9"/>
  <c r="J6" i="9"/>
  <c r="G6" i="9"/>
  <c r="D6" i="9"/>
  <c r="O16" i="8"/>
  <c r="N16" i="8"/>
  <c r="M16" i="8"/>
  <c r="L16" i="8"/>
  <c r="K16" i="8"/>
  <c r="J16" i="8"/>
  <c r="I16" i="8"/>
  <c r="H16" i="8"/>
  <c r="G16" i="8"/>
  <c r="F16" i="8"/>
  <c r="E16" i="8"/>
  <c r="D16" i="8"/>
  <c r="C16" i="8"/>
  <c r="AH35" i="5"/>
  <c r="AG35" i="5"/>
  <c r="Z35" i="5"/>
  <c r="Y35" i="5"/>
  <c r="J35" i="5"/>
  <c r="I35" i="5"/>
  <c r="AM34" i="5"/>
  <c r="AL34" i="5"/>
  <c r="AK34" i="5"/>
  <c r="AJ34" i="5"/>
  <c r="AI34" i="5"/>
  <c r="AH34" i="5"/>
  <c r="AG34" i="5"/>
  <c r="AF34" i="5"/>
  <c r="AE34" i="5"/>
  <c r="AD34" i="5"/>
  <c r="AC34" i="5"/>
  <c r="AB34" i="5"/>
  <c r="AA34" i="5"/>
  <c r="Z34" i="5"/>
  <c r="Y34" i="5"/>
  <c r="X34" i="5"/>
  <c r="W34" i="5"/>
  <c r="V34" i="5"/>
  <c r="U34" i="5"/>
  <c r="T34" i="5"/>
  <c r="S34" i="5"/>
  <c r="R34" i="5"/>
  <c r="Q34" i="5"/>
  <c r="Q35" i="5" s="1"/>
  <c r="P34" i="5"/>
  <c r="O34" i="5"/>
  <c r="N34" i="5"/>
  <c r="M34" i="5"/>
  <c r="L34" i="5"/>
  <c r="K34" i="5"/>
  <c r="J34" i="5"/>
  <c r="I34" i="5"/>
  <c r="H34" i="5"/>
  <c r="G34" i="5"/>
  <c r="AN34" i="5" s="1"/>
  <c r="F34" i="5"/>
  <c r="E34" i="5"/>
  <c r="D34" i="5"/>
  <c r="AM33" i="5"/>
  <c r="AL33" i="5"/>
  <c r="AK33" i="5"/>
  <c r="AJ33" i="5"/>
  <c r="AI33" i="5"/>
  <c r="AH33" i="5"/>
  <c r="AG33" i="5"/>
  <c r="AF33" i="5"/>
  <c r="AF35" i="5" s="1"/>
  <c r="AE33" i="5"/>
  <c r="AD33" i="5"/>
  <c r="AC33" i="5"/>
  <c r="AB33" i="5"/>
  <c r="AA33" i="5"/>
  <c r="Z33" i="5"/>
  <c r="Y33" i="5"/>
  <c r="X33" i="5"/>
  <c r="W33" i="5"/>
  <c r="V33" i="5"/>
  <c r="U33" i="5"/>
  <c r="T33" i="5"/>
  <c r="S33" i="5"/>
  <c r="R33" i="5"/>
  <c r="Q33" i="5"/>
  <c r="P33" i="5"/>
  <c r="O33" i="5"/>
  <c r="N33" i="5"/>
  <c r="M33" i="5"/>
  <c r="L33" i="5"/>
  <c r="K33" i="5"/>
  <c r="J33" i="5"/>
  <c r="I33" i="5"/>
  <c r="H33" i="5"/>
  <c r="H35" i="5" s="1"/>
  <c r="G33" i="5"/>
  <c r="AN33" i="5" s="1"/>
  <c r="F33" i="5"/>
  <c r="E33" i="5"/>
  <c r="D33" i="5"/>
  <c r="AM32" i="5"/>
  <c r="AL32" i="5"/>
  <c r="AK32" i="5"/>
  <c r="AK35" i="5" s="1"/>
  <c r="AJ32" i="5"/>
  <c r="AJ35" i="5" s="1"/>
  <c r="AI32" i="5"/>
  <c r="AI35" i="5" s="1"/>
  <c r="AH32" i="5"/>
  <c r="AG32" i="5"/>
  <c r="AF32" i="5"/>
  <c r="AE32" i="5"/>
  <c r="AD32" i="5"/>
  <c r="AC32" i="5"/>
  <c r="AC35" i="5" s="1"/>
  <c r="AB32" i="5"/>
  <c r="AA32" i="5"/>
  <c r="AA35" i="5" s="1"/>
  <c r="Z32" i="5"/>
  <c r="Y32" i="5"/>
  <c r="X32" i="5"/>
  <c r="W32" i="5"/>
  <c r="V32" i="5"/>
  <c r="U32" i="5"/>
  <c r="U35" i="5" s="1"/>
  <c r="T32" i="5"/>
  <c r="T35" i="5" s="1"/>
  <c r="S32" i="5"/>
  <c r="S35" i="5" s="1"/>
  <c r="R32" i="5"/>
  <c r="R35" i="5" s="1"/>
  <c r="Q32" i="5"/>
  <c r="P32" i="5"/>
  <c r="O32" i="5"/>
  <c r="N32" i="5"/>
  <c r="M32" i="5"/>
  <c r="M35" i="5" s="1"/>
  <c r="L32" i="5"/>
  <c r="L35" i="5" s="1"/>
  <c r="K32" i="5"/>
  <c r="K35" i="5" s="1"/>
  <c r="J32" i="5"/>
  <c r="I32" i="5"/>
  <c r="H32" i="5"/>
  <c r="G32" i="5"/>
  <c r="F32" i="5"/>
  <c r="E32" i="5"/>
  <c r="E35" i="5" s="1"/>
  <c r="D32" i="5"/>
  <c r="AJ29" i="5"/>
  <c r="AG29" i="5"/>
  <c r="AB29" i="5"/>
  <c r="Y29" i="5"/>
  <c r="X29" i="5"/>
  <c r="P29" i="5"/>
  <c r="I29" i="5"/>
  <c r="H29" i="5"/>
  <c r="D29" i="5"/>
  <c r="AM28" i="5"/>
  <c r="AJ28" i="5"/>
  <c r="AG28" i="5"/>
  <c r="AF28" i="5"/>
  <c r="AB28" i="5"/>
  <c r="Y28" i="5"/>
  <c r="X28" i="5"/>
  <c r="W28" i="5"/>
  <c r="Q28" i="5"/>
  <c r="I28" i="5"/>
  <c r="H28" i="5"/>
  <c r="G28" i="5"/>
  <c r="E28" i="5"/>
  <c r="D28" i="5"/>
  <c r="AJ27" i="5"/>
  <c r="AG27" i="5"/>
  <c r="AF27" i="5"/>
  <c r="AE27" i="5"/>
  <c r="AB27" i="5"/>
  <c r="Y27" i="5"/>
  <c r="X27" i="5"/>
  <c r="W27" i="5"/>
  <c r="Q27" i="5"/>
  <c r="P27" i="5"/>
  <c r="I27" i="5"/>
  <c r="H27" i="5"/>
  <c r="G27" i="5"/>
  <c r="D27" i="5"/>
  <c r="AF26" i="5"/>
  <c r="AE26" i="5"/>
  <c r="X26" i="5"/>
  <c r="X30" i="5" s="1"/>
  <c r="P26" i="5"/>
  <c r="O26" i="5"/>
  <c r="H26" i="5"/>
  <c r="H30" i="5" s="1"/>
  <c r="AC23" i="5"/>
  <c r="AB23" i="5"/>
  <c r="AA23" i="5"/>
  <c r="M23" i="5"/>
  <c r="L23" i="5"/>
  <c r="K23" i="5"/>
  <c r="AK22" i="5"/>
  <c r="AJ22" i="5"/>
  <c r="AI22" i="5"/>
  <c r="AH22" i="5"/>
  <c r="AC22" i="5"/>
  <c r="U22" i="5"/>
  <c r="T22" i="5"/>
  <c r="S22" i="5"/>
  <c r="R22" i="5"/>
  <c r="M22" i="5"/>
  <c r="E22" i="5"/>
  <c r="D22" i="5"/>
  <c r="AJ21" i="5"/>
  <c r="AB21" i="5"/>
  <c r="AA21" i="5"/>
  <c r="T21" i="5"/>
  <c r="L21" i="5"/>
  <c r="K21" i="5"/>
  <c r="D21" i="5"/>
  <c r="AI20" i="5"/>
  <c r="AA20" i="5"/>
  <c r="S20" i="5"/>
  <c r="K20" i="5"/>
  <c r="AM16" i="5"/>
  <c r="AF16" i="5"/>
  <c r="X16" i="5"/>
  <c r="W16" i="5"/>
  <c r="V16" i="5"/>
  <c r="H16" i="5"/>
  <c r="G16" i="5"/>
  <c r="E16" i="5"/>
  <c r="D16" i="5"/>
  <c r="AM15" i="5"/>
  <c r="AL15" i="5"/>
  <c r="AJ15" i="5"/>
  <c r="AG15" i="5"/>
  <c r="AB15" i="5"/>
  <c r="Y15" i="5"/>
  <c r="W15" i="5"/>
  <c r="V15" i="5"/>
  <c r="T15" i="5"/>
  <c r="Q15" i="5"/>
  <c r="O15" i="5"/>
  <c r="AM13" i="5"/>
  <c r="AJ13" i="5"/>
  <c r="AB13" i="5"/>
  <c r="X13" i="5"/>
  <c r="T13" i="5"/>
  <c r="P13" i="5"/>
  <c r="O13" i="5"/>
  <c r="H13" i="5"/>
  <c r="G13" i="5"/>
  <c r="D13" i="5"/>
  <c r="AJ12" i="5"/>
  <c r="AG12" i="5"/>
  <c r="AE12" i="5"/>
  <c r="AB12" i="5"/>
  <c r="Y12" i="5"/>
  <c r="W12" i="5"/>
  <c r="V12" i="5"/>
  <c r="T12" i="5"/>
  <c r="Q12" i="5"/>
  <c r="O12" i="5"/>
  <c r="AK10" i="5"/>
  <c r="AI10" i="5"/>
  <c r="AC10" i="5"/>
  <c r="AA10" i="5"/>
  <c r="Z10" i="5"/>
  <c r="Z17" i="5" s="1"/>
  <c r="X10" i="5"/>
  <c r="X17" i="5" s="1"/>
  <c r="U10" i="5"/>
  <c r="S10" i="5"/>
  <c r="R10" i="5"/>
  <c r="O10" i="5"/>
  <c r="N10" i="5"/>
  <c r="G10" i="5"/>
  <c r="F10" i="5"/>
  <c r="F17" i="5" s="1"/>
  <c r="E10" i="5"/>
  <c r="AG9" i="5"/>
  <c r="AB9" i="5"/>
  <c r="V9" i="5"/>
  <c r="T9" i="5"/>
  <c r="S9" i="5"/>
  <c r="R9" i="5"/>
  <c r="L9" i="5"/>
  <c r="K9" i="5"/>
  <c r="J9" i="5"/>
  <c r="I9" i="5"/>
  <c r="G9" i="5"/>
  <c r="AM8" i="5"/>
  <c r="AM29" i="5" s="1"/>
  <c r="AL8" i="5"/>
  <c r="AL12" i="5" s="1"/>
  <c r="AK8" i="5"/>
  <c r="AJ8" i="5"/>
  <c r="AJ26" i="5" s="1"/>
  <c r="AJ30" i="5" s="1"/>
  <c r="AI8" i="5"/>
  <c r="AH8" i="5"/>
  <c r="AG8" i="5"/>
  <c r="AG13" i="5" s="1"/>
  <c r="AF8" i="5"/>
  <c r="AE8" i="5"/>
  <c r="AE29" i="5" s="1"/>
  <c r="AD8" i="5"/>
  <c r="AD15" i="5" s="1"/>
  <c r="AC8" i="5"/>
  <c r="AB8" i="5"/>
  <c r="AB26" i="5" s="1"/>
  <c r="AA8" i="5"/>
  <c r="Z8" i="5"/>
  <c r="Y8" i="5"/>
  <c r="Y13" i="5" s="1"/>
  <c r="X8" i="5"/>
  <c r="W8" i="5"/>
  <c r="W29" i="5" s="1"/>
  <c r="V8" i="5"/>
  <c r="V27" i="5" s="1"/>
  <c r="U8" i="5"/>
  <c r="T8" i="5"/>
  <c r="T26" i="5" s="1"/>
  <c r="S8" i="5"/>
  <c r="R8" i="5"/>
  <c r="Q8" i="5"/>
  <c r="Q29" i="5" s="1"/>
  <c r="P8" i="5"/>
  <c r="O8" i="5"/>
  <c r="O29" i="5" s="1"/>
  <c r="N8" i="5"/>
  <c r="N16" i="5" s="1"/>
  <c r="M8" i="5"/>
  <c r="L8" i="5"/>
  <c r="K8" i="5"/>
  <c r="J8" i="5"/>
  <c r="I8" i="5"/>
  <c r="H8" i="5"/>
  <c r="G8" i="5"/>
  <c r="G29" i="5" s="1"/>
  <c r="F8" i="5"/>
  <c r="F15" i="5" s="1"/>
  <c r="E8" i="5"/>
  <c r="D8" i="5"/>
  <c r="AM7" i="5"/>
  <c r="AL7" i="5"/>
  <c r="AK7" i="5"/>
  <c r="AJ7" i="5"/>
  <c r="AI7" i="5"/>
  <c r="AH7" i="5"/>
  <c r="AH9" i="5" s="1"/>
  <c r="AG7" i="5"/>
  <c r="AF7" i="5"/>
  <c r="AE7" i="5"/>
  <c r="AD7" i="5"/>
  <c r="AD9" i="5" s="1"/>
  <c r="AC7" i="5"/>
  <c r="AB7" i="5"/>
  <c r="AA7" i="5"/>
  <c r="Z7" i="5"/>
  <c r="Z22" i="5" s="1"/>
  <c r="Y7" i="5"/>
  <c r="X7" i="5"/>
  <c r="W7" i="5"/>
  <c r="V7" i="5"/>
  <c r="U7" i="5"/>
  <c r="T7" i="5"/>
  <c r="S7" i="5"/>
  <c r="R7" i="5"/>
  <c r="R20" i="5" s="1"/>
  <c r="Q7" i="5"/>
  <c r="P7" i="5"/>
  <c r="P10" i="5" s="1"/>
  <c r="P17" i="5" s="1"/>
  <c r="O7" i="5"/>
  <c r="N7" i="5"/>
  <c r="M7" i="5"/>
  <c r="L7" i="5"/>
  <c r="K7" i="5"/>
  <c r="J7" i="5"/>
  <c r="J22" i="5" s="1"/>
  <c r="I7" i="5"/>
  <c r="H7" i="5"/>
  <c r="G7" i="5"/>
  <c r="F7" i="5"/>
  <c r="E7" i="5"/>
  <c r="D7" i="5"/>
  <c r="J40" i="4"/>
  <c r="J14" i="8" s="1"/>
  <c r="I40" i="4"/>
  <c r="I14" i="8" s="1"/>
  <c r="H40" i="4"/>
  <c r="H14" i="8" s="1"/>
  <c r="D40" i="4"/>
  <c r="D14" i="8" s="1"/>
  <c r="C40" i="4"/>
  <c r="AA20" i="4"/>
  <c r="Z20" i="4"/>
  <c r="Y20" i="4"/>
  <c r="X20" i="4"/>
  <c r="K20" i="4"/>
  <c r="J20" i="4"/>
  <c r="I20" i="4"/>
  <c r="H20" i="4"/>
  <c r="AL19" i="4"/>
  <c r="AK19" i="4"/>
  <c r="AJ19" i="4"/>
  <c r="AI19" i="4"/>
  <c r="AH19" i="4"/>
  <c r="AG19" i="4"/>
  <c r="AF19" i="4"/>
  <c r="AE19" i="4"/>
  <c r="AD19" i="4"/>
  <c r="AC19" i="4"/>
  <c r="AB19" i="4"/>
  <c r="AA19" i="4"/>
  <c r="Z19" i="4"/>
  <c r="Y19" i="4"/>
  <c r="X19" i="4"/>
  <c r="W19" i="4"/>
  <c r="V19" i="4"/>
  <c r="U19" i="4"/>
  <c r="T19" i="4"/>
  <c r="S19" i="4"/>
  <c r="R19" i="4"/>
  <c r="Q19" i="4"/>
  <c r="P19" i="4"/>
  <c r="O19" i="4"/>
  <c r="N19" i="4"/>
  <c r="M19" i="4"/>
  <c r="L19" i="4"/>
  <c r="K19" i="4"/>
  <c r="J19" i="4"/>
  <c r="I19" i="4"/>
  <c r="H19" i="4"/>
  <c r="G19" i="4"/>
  <c r="F19" i="4"/>
  <c r="E19" i="4"/>
  <c r="D19" i="4"/>
  <c r="C19" i="4"/>
  <c r="AL18" i="4"/>
  <c r="AL20" i="4" s="1"/>
  <c r="AK18" i="4"/>
  <c r="AJ18" i="4"/>
  <c r="AI18" i="4"/>
  <c r="AH18" i="4"/>
  <c r="AG18" i="4"/>
  <c r="AF18" i="4"/>
  <c r="AE18" i="4"/>
  <c r="AD18" i="4"/>
  <c r="AC18" i="4"/>
  <c r="AB18" i="4"/>
  <c r="AA18" i="4"/>
  <c r="Z18" i="4"/>
  <c r="Y18" i="4"/>
  <c r="X18" i="4"/>
  <c r="W18" i="4"/>
  <c r="V18" i="4"/>
  <c r="U18" i="4"/>
  <c r="T18" i="4"/>
  <c r="S18" i="4"/>
  <c r="R18" i="4"/>
  <c r="Q18" i="4"/>
  <c r="P18" i="4"/>
  <c r="O18" i="4"/>
  <c r="N18" i="4"/>
  <c r="M18" i="4"/>
  <c r="L18" i="4"/>
  <c r="K18" i="4"/>
  <c r="J18" i="4"/>
  <c r="I18" i="4"/>
  <c r="H18" i="4"/>
  <c r="G18" i="4"/>
  <c r="F18" i="4"/>
  <c r="E18" i="4"/>
  <c r="D18" i="4"/>
  <c r="C18" i="4"/>
  <c r="B11" i="4"/>
  <c r="B7" i="4"/>
  <c r="B8" i="4" s="1"/>
  <c r="B6" i="4"/>
  <c r="B10" i="4" s="1"/>
  <c r="B5" i="4"/>
  <c r="B9" i="4" s="1"/>
  <c r="B12" i="4" s="1"/>
  <c r="B13" i="4" s="1"/>
  <c r="B14" i="4" s="1"/>
  <c r="C45" i="3"/>
  <c r="C44" i="3"/>
  <c r="C43"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F5" i="3" s="1"/>
  <c r="G5" i="3" s="1"/>
  <c r="B48" i="1"/>
  <c r="B47" i="1"/>
  <c r="AO82" i="6" l="1"/>
  <c r="P20" i="6"/>
  <c r="AF20" i="6"/>
  <c r="I20" i="6"/>
  <c r="Q20" i="6"/>
  <c r="Y20" i="6"/>
  <c r="AG20" i="6"/>
  <c r="AO20" i="6"/>
  <c r="H20" i="6"/>
  <c r="X20" i="6"/>
  <c r="AN20" i="6"/>
  <c r="K20" i="6"/>
  <c r="S20" i="6"/>
  <c r="AA20" i="6"/>
  <c r="AI20" i="6"/>
  <c r="AD83" i="7"/>
  <c r="AM81" i="6"/>
  <c r="AN81" i="6"/>
  <c r="AN83" i="6" s="1"/>
  <c r="AO81" i="6"/>
  <c r="AO83" i="6" s="1"/>
  <c r="AN82" i="6"/>
  <c r="D83" i="6"/>
  <c r="D83" i="7" s="1"/>
  <c r="AH20" i="6"/>
  <c r="Z20" i="6"/>
  <c r="R20" i="6"/>
  <c r="J20" i="6"/>
  <c r="AM52" i="7"/>
  <c r="AM82" i="6"/>
  <c r="AM83" i="6" s="1"/>
  <c r="AM83" i="7" s="1"/>
  <c r="AI83" i="7"/>
  <c r="AA83" i="7"/>
  <c r="J51" i="7"/>
  <c r="R51" i="7"/>
  <c r="Z51" i="7"/>
  <c r="AH51" i="7"/>
  <c r="D51" i="7"/>
  <c r="AK48" i="6"/>
  <c r="AK48" i="7" s="1"/>
  <c r="C83" i="6"/>
  <c r="C83" i="7" s="1"/>
  <c r="AK20" i="6"/>
  <c r="AC20" i="6"/>
  <c r="U20" i="6"/>
  <c r="M20" i="6"/>
  <c r="E20" i="6"/>
  <c r="AJ20" i="6"/>
  <c r="AB20" i="6"/>
  <c r="T20" i="6"/>
  <c r="L20" i="6"/>
  <c r="D20" i="6"/>
  <c r="AH15" i="7"/>
  <c r="H14" i="7"/>
  <c r="P14" i="7"/>
  <c r="X14" i="7"/>
  <c r="AF14" i="7"/>
  <c r="AN14" i="7"/>
  <c r="J15" i="7"/>
  <c r="R15" i="7"/>
  <c r="Z15" i="7"/>
  <c r="F42" i="7"/>
  <c r="F51" i="7"/>
  <c r="F52" i="7"/>
  <c r="N42" i="7"/>
  <c r="N51" i="7"/>
  <c r="N52" i="7"/>
  <c r="V42" i="7"/>
  <c r="V51" i="7"/>
  <c r="V52" i="7"/>
  <c r="C42" i="7"/>
  <c r="C48" i="6"/>
  <c r="C52" i="7"/>
  <c r="C51" i="7"/>
  <c r="J33" i="6"/>
  <c r="J28" i="7"/>
  <c r="R33" i="6"/>
  <c r="R28" i="7"/>
  <c r="Z33" i="6"/>
  <c r="Z28" i="7"/>
  <c r="AH33" i="6"/>
  <c r="AH28" i="7"/>
  <c r="D33" i="6"/>
  <c r="D29" i="7"/>
  <c r="L33" i="6"/>
  <c r="L29" i="7"/>
  <c r="T33" i="6"/>
  <c r="T29" i="7"/>
  <c r="AB33" i="6"/>
  <c r="AB29" i="7"/>
  <c r="AJ33" i="6"/>
  <c r="AJ29" i="7"/>
  <c r="I10" i="7"/>
  <c r="Q10" i="7"/>
  <c r="Y10" i="7"/>
  <c r="AG10" i="7"/>
  <c r="AO10" i="7"/>
  <c r="AM6" i="6"/>
  <c r="AM6" i="7" s="1"/>
  <c r="C14" i="7"/>
  <c r="D17" i="7"/>
  <c r="L17" i="7"/>
  <c r="T17" i="7"/>
  <c r="AB17" i="7"/>
  <c r="AJ17" i="7"/>
  <c r="F33" i="6"/>
  <c r="F29" i="7"/>
  <c r="N33" i="6"/>
  <c r="N29" i="7"/>
  <c r="V33" i="6"/>
  <c r="V29" i="7"/>
  <c r="AD33" i="6"/>
  <c r="AD29" i="7"/>
  <c r="AL33" i="6"/>
  <c r="AL29" i="7"/>
  <c r="H48" i="6"/>
  <c r="H42" i="7"/>
  <c r="P48" i="6"/>
  <c r="P42" i="7"/>
  <c r="X48" i="6"/>
  <c r="X42" i="7"/>
  <c r="AF48" i="6"/>
  <c r="AF42" i="7"/>
  <c r="AN48" i="6"/>
  <c r="AN42" i="7"/>
  <c r="D52" i="7"/>
  <c r="L52" i="7"/>
  <c r="T52" i="7"/>
  <c r="AB52" i="7"/>
  <c r="AJ52" i="7"/>
  <c r="C69" i="6"/>
  <c r="C69" i="7" s="1"/>
  <c r="K69" i="6"/>
  <c r="K69" i="7" s="1"/>
  <c r="S69" i="6"/>
  <c r="S69" i="7" s="1"/>
  <c r="AA69" i="6"/>
  <c r="AA69" i="7" s="1"/>
  <c r="AI69" i="6"/>
  <c r="AI69" i="7" s="1"/>
  <c r="K83" i="7"/>
  <c r="K78" i="7"/>
  <c r="S83" i="7"/>
  <c r="S78" i="7"/>
  <c r="AA78" i="7"/>
  <c r="AI78" i="7"/>
  <c r="E83" i="7"/>
  <c r="E79" i="7"/>
  <c r="M83" i="7"/>
  <c r="M79" i="7"/>
  <c r="U83" i="7"/>
  <c r="U79" i="7"/>
  <c r="AC83" i="7"/>
  <c r="AC79" i="7"/>
  <c r="AK83" i="7"/>
  <c r="AK79" i="7"/>
  <c r="AL14" i="7"/>
  <c r="K33" i="6"/>
  <c r="K28" i="7"/>
  <c r="S33" i="6"/>
  <c r="S28" i="7"/>
  <c r="AA33" i="6"/>
  <c r="AA28" i="7"/>
  <c r="AI33" i="6"/>
  <c r="AI28" i="7"/>
  <c r="E33" i="6"/>
  <c r="E29" i="7"/>
  <c r="M33" i="6"/>
  <c r="M29" i="7"/>
  <c r="U33" i="6"/>
  <c r="U29" i="7"/>
  <c r="AC33" i="6"/>
  <c r="AC29" i="7"/>
  <c r="AK33" i="6"/>
  <c r="AK29" i="7"/>
  <c r="G14" i="7"/>
  <c r="O14" i="7"/>
  <c r="W14" i="7"/>
  <c r="AE14" i="7"/>
  <c r="AM14" i="7"/>
  <c r="E17" i="7"/>
  <c r="M17" i="7"/>
  <c r="U17" i="7"/>
  <c r="AC17" i="7"/>
  <c r="AK17" i="7"/>
  <c r="I48" i="6"/>
  <c r="I42" i="7"/>
  <c r="Q48" i="6"/>
  <c r="Q42" i="7"/>
  <c r="Y48" i="6"/>
  <c r="Y42" i="7"/>
  <c r="AG48" i="6"/>
  <c r="AG42" i="7"/>
  <c r="AO48" i="6"/>
  <c r="AO42" i="7"/>
  <c r="K48" i="6"/>
  <c r="K44" i="7"/>
  <c r="S48" i="6"/>
  <c r="S44" i="7"/>
  <c r="AA48" i="6"/>
  <c r="AA44" i="7"/>
  <c r="K51" i="7"/>
  <c r="S51" i="7"/>
  <c r="AA51" i="7"/>
  <c r="AI51" i="7"/>
  <c r="E52" i="7"/>
  <c r="M52" i="7"/>
  <c r="U52" i="7"/>
  <c r="AC52" i="7"/>
  <c r="AK52" i="7"/>
  <c r="D69" i="6"/>
  <c r="D69" i="7" s="1"/>
  <c r="L69" i="6"/>
  <c r="L69" i="7" s="1"/>
  <c r="T69" i="6"/>
  <c r="T69" i="7" s="1"/>
  <c r="AB69" i="6"/>
  <c r="AB69" i="7" s="1"/>
  <c r="AJ69" i="6"/>
  <c r="AJ69" i="7" s="1"/>
  <c r="C6" i="7"/>
  <c r="AD14" i="7"/>
  <c r="J48" i="6"/>
  <c r="J42" i="7"/>
  <c r="R48" i="6"/>
  <c r="R42" i="7"/>
  <c r="Z48" i="6"/>
  <c r="Z42" i="7"/>
  <c r="E69" i="6"/>
  <c r="E69" i="7" s="1"/>
  <c r="M69" i="6"/>
  <c r="M69" i="7" s="1"/>
  <c r="U69" i="6"/>
  <c r="U69" i="7" s="1"/>
  <c r="AC69" i="6"/>
  <c r="AC69" i="7" s="1"/>
  <c r="AK69" i="6"/>
  <c r="AK69" i="7" s="1"/>
  <c r="V14" i="7"/>
  <c r="AH48" i="6"/>
  <c r="AH42" i="7"/>
  <c r="T48" i="6"/>
  <c r="T44" i="7"/>
  <c r="L48" i="6"/>
  <c r="L51" i="7"/>
  <c r="T51" i="7"/>
  <c r="AB51" i="7"/>
  <c r="AJ51" i="7"/>
  <c r="AD52" i="7"/>
  <c r="AL52" i="7"/>
  <c r="I14" i="7"/>
  <c r="Q14" i="7"/>
  <c r="Y14" i="7"/>
  <c r="AG14" i="7"/>
  <c r="AO14" i="7"/>
  <c r="G33" i="6"/>
  <c r="G28" i="7"/>
  <c r="O33" i="6"/>
  <c r="O28" i="7"/>
  <c r="W33" i="6"/>
  <c r="W28" i="7"/>
  <c r="AE33" i="6"/>
  <c r="AE28" i="7"/>
  <c r="AM33" i="6"/>
  <c r="AM28" i="7"/>
  <c r="E48" i="6"/>
  <c r="E44" i="7"/>
  <c r="M48" i="6"/>
  <c r="M44" i="7"/>
  <c r="U48" i="6"/>
  <c r="U44" i="7"/>
  <c r="AC48" i="6"/>
  <c r="AC44" i="7"/>
  <c r="AB48" i="6"/>
  <c r="E51" i="7"/>
  <c r="M51" i="7"/>
  <c r="U51" i="7"/>
  <c r="AC51" i="7"/>
  <c r="AK51" i="7"/>
  <c r="G52" i="7"/>
  <c r="O52" i="7"/>
  <c r="W52" i="7"/>
  <c r="AE52" i="7"/>
  <c r="F69" i="6"/>
  <c r="F69" i="7" s="1"/>
  <c r="N69" i="6"/>
  <c r="N69" i="7" s="1"/>
  <c r="V69" i="6"/>
  <c r="V69" i="7" s="1"/>
  <c r="AD69" i="6"/>
  <c r="AD69" i="7" s="1"/>
  <c r="AL69" i="6"/>
  <c r="AL69" i="7" s="1"/>
  <c r="V78" i="7"/>
  <c r="V83" i="7"/>
  <c r="AD78" i="7"/>
  <c r="F83" i="7"/>
  <c r="AN10" i="7"/>
  <c r="N14" i="7"/>
  <c r="D48" i="6"/>
  <c r="D44" i="7"/>
  <c r="AN6" i="6"/>
  <c r="AN6" i="7" s="1"/>
  <c r="C33" i="6"/>
  <c r="C33" i="7" s="1"/>
  <c r="H33" i="6"/>
  <c r="H28" i="7"/>
  <c r="P33" i="6"/>
  <c r="P28" i="7"/>
  <c r="X33" i="6"/>
  <c r="X28" i="7"/>
  <c r="AF33" i="6"/>
  <c r="AF28" i="7"/>
  <c r="AN33" i="6"/>
  <c r="AN28" i="7"/>
  <c r="F48" i="6"/>
  <c r="F44" i="7"/>
  <c r="N48" i="6"/>
  <c r="N44" i="7"/>
  <c r="V48" i="6"/>
  <c r="V44" i="7"/>
  <c r="AD48" i="6"/>
  <c r="AD44" i="7"/>
  <c r="AL48" i="6"/>
  <c r="AL44" i="7"/>
  <c r="AI48" i="6"/>
  <c r="AD51" i="7"/>
  <c r="H52" i="7"/>
  <c r="P52" i="7"/>
  <c r="X52" i="7"/>
  <c r="AF52" i="7"/>
  <c r="AN52" i="7"/>
  <c r="G69" i="6"/>
  <c r="G69" i="7" s="1"/>
  <c r="O69" i="6"/>
  <c r="O69" i="7" s="1"/>
  <c r="W69" i="6"/>
  <c r="W69" i="7" s="1"/>
  <c r="AE69" i="6"/>
  <c r="AE69" i="7" s="1"/>
  <c r="AM69" i="6"/>
  <c r="AM69" i="7" s="1"/>
  <c r="O78" i="7"/>
  <c r="O83" i="7"/>
  <c r="W78" i="7"/>
  <c r="W83" i="7"/>
  <c r="G83" i="7"/>
  <c r="F14" i="7"/>
  <c r="AO6" i="6"/>
  <c r="AO6" i="7" s="1"/>
  <c r="K14" i="7"/>
  <c r="S14" i="7"/>
  <c r="AA14" i="7"/>
  <c r="AI14" i="7"/>
  <c r="I33" i="6"/>
  <c r="I28" i="7"/>
  <c r="Q33" i="6"/>
  <c r="Q28" i="7"/>
  <c r="Y33" i="6"/>
  <c r="Y28" i="7"/>
  <c r="AG33" i="6"/>
  <c r="AG28" i="7"/>
  <c r="AO33" i="6"/>
  <c r="AO28" i="7"/>
  <c r="G48" i="6"/>
  <c r="G44" i="7"/>
  <c r="O48" i="6"/>
  <c r="O44" i="7"/>
  <c r="W48" i="6"/>
  <c r="W44" i="7"/>
  <c r="AE48" i="6"/>
  <c r="AE44" i="7"/>
  <c r="AJ48" i="6"/>
  <c r="G51" i="7"/>
  <c r="O51" i="7"/>
  <c r="W51" i="7"/>
  <c r="AE51" i="7"/>
  <c r="AM51" i="7"/>
  <c r="I52" i="7"/>
  <c r="Q52" i="7"/>
  <c r="Y52" i="7"/>
  <c r="AG52" i="7"/>
  <c r="AO52" i="7"/>
  <c r="H69" i="6"/>
  <c r="H69" i="7" s="1"/>
  <c r="P69" i="6"/>
  <c r="P69" i="7" s="1"/>
  <c r="X69" i="6"/>
  <c r="X69" i="7" s="1"/>
  <c r="AF69" i="6"/>
  <c r="AF69" i="7" s="1"/>
  <c r="AN69" i="6"/>
  <c r="AN69" i="7" s="1"/>
  <c r="H78" i="7"/>
  <c r="P78" i="7"/>
  <c r="X78" i="7"/>
  <c r="AF78" i="7"/>
  <c r="AN78" i="7"/>
  <c r="D80" i="7"/>
  <c r="L83" i="7"/>
  <c r="L80" i="7"/>
  <c r="T83" i="7"/>
  <c r="T80" i="7"/>
  <c r="AB83" i="7"/>
  <c r="AB80" i="7"/>
  <c r="AJ83" i="7"/>
  <c r="AJ80" i="7"/>
  <c r="N83" i="7"/>
  <c r="X10" i="7"/>
  <c r="AL50" i="7"/>
  <c r="H51" i="7"/>
  <c r="P51" i="7"/>
  <c r="X51" i="7"/>
  <c r="AF51" i="7"/>
  <c r="AN51" i="7"/>
  <c r="J52" i="7"/>
  <c r="R52" i="7"/>
  <c r="Z52" i="7"/>
  <c r="AH52" i="7"/>
  <c r="I69" i="6"/>
  <c r="I69" i="7" s="1"/>
  <c r="Q69" i="6"/>
  <c r="Q69" i="7" s="1"/>
  <c r="Y69" i="6"/>
  <c r="Y69" i="7" s="1"/>
  <c r="AG69" i="6"/>
  <c r="AG69" i="7" s="1"/>
  <c r="AO69" i="6"/>
  <c r="AO69" i="7" s="1"/>
  <c r="I78" i="7"/>
  <c r="Q78" i="7"/>
  <c r="Y78" i="7"/>
  <c r="AG78" i="7"/>
  <c r="AO78" i="7"/>
  <c r="AE83" i="7"/>
  <c r="AM48" i="6"/>
  <c r="AM42" i="7"/>
  <c r="I51" i="7"/>
  <c r="Q51" i="7"/>
  <c r="Y51" i="7"/>
  <c r="AG51" i="7"/>
  <c r="AO51" i="7"/>
  <c r="K52" i="7"/>
  <c r="S52" i="7"/>
  <c r="AA52" i="7"/>
  <c r="AI52" i="7"/>
  <c r="J69" i="6"/>
  <c r="J69" i="7" s="1"/>
  <c r="R69" i="6"/>
  <c r="R69" i="7" s="1"/>
  <c r="Z69" i="6"/>
  <c r="Z69" i="7" s="1"/>
  <c r="AH69" i="6"/>
  <c r="AH69" i="7" s="1"/>
  <c r="J83" i="7"/>
  <c r="J78" i="7"/>
  <c r="R83" i="7"/>
  <c r="R78" i="7"/>
  <c r="Z83" i="7"/>
  <c r="Z78" i="7"/>
  <c r="AH83" i="7"/>
  <c r="AH78" i="7"/>
  <c r="AL83" i="7"/>
  <c r="AD14" i="5"/>
  <c r="H5" i="3"/>
  <c r="D6" i="3" s="1"/>
  <c r="X21" i="4"/>
  <c r="T14" i="5"/>
  <c r="G41" i="5"/>
  <c r="G14" i="5"/>
  <c r="G17" i="5"/>
  <c r="AL21" i="4"/>
  <c r="I14" i="5"/>
  <c r="N17" i="5"/>
  <c r="AA17" i="5"/>
  <c r="H21" i="4"/>
  <c r="V14" i="5"/>
  <c r="C14" i="8"/>
  <c r="O17" i="5"/>
  <c r="P20" i="4"/>
  <c r="AF20" i="4"/>
  <c r="I21" i="4"/>
  <c r="Y21" i="4"/>
  <c r="G20" i="5"/>
  <c r="G21" i="5"/>
  <c r="G22" i="5"/>
  <c r="G23" i="5"/>
  <c r="O20" i="5"/>
  <c r="O21" i="5"/>
  <c r="O22" i="5"/>
  <c r="O23" i="5"/>
  <c r="O9" i="5"/>
  <c r="W20" i="5"/>
  <c r="W24" i="5" s="1"/>
  <c r="W21" i="5"/>
  <c r="W22" i="5"/>
  <c r="W23" i="5"/>
  <c r="W10" i="5"/>
  <c r="W17" i="5" s="1"/>
  <c r="W9" i="5"/>
  <c r="AE20" i="5"/>
  <c r="AE21" i="5"/>
  <c r="AE22" i="5"/>
  <c r="AE23" i="5"/>
  <c r="AE10" i="5"/>
  <c r="AE17" i="5" s="1"/>
  <c r="AM20" i="5"/>
  <c r="AM21" i="5"/>
  <c r="AM22" i="5"/>
  <c r="AM23" i="5"/>
  <c r="AM10" i="5"/>
  <c r="AM17" i="5" s="1"/>
  <c r="K15" i="5"/>
  <c r="K26" i="5"/>
  <c r="K16" i="5"/>
  <c r="K27" i="5"/>
  <c r="K28" i="5"/>
  <c r="K13" i="5"/>
  <c r="K29" i="5"/>
  <c r="K12" i="5"/>
  <c r="S15" i="5"/>
  <c r="S26" i="5"/>
  <c r="S16" i="5"/>
  <c r="S27" i="5"/>
  <c r="S28" i="5"/>
  <c r="S12" i="5"/>
  <c r="S13" i="5"/>
  <c r="S29" i="5"/>
  <c r="AA15" i="5"/>
  <c r="AA26" i="5"/>
  <c r="AA16" i="5"/>
  <c r="AA27" i="5"/>
  <c r="AA28" i="5"/>
  <c r="AA12" i="5"/>
  <c r="AA29" i="5"/>
  <c r="AA13" i="5"/>
  <c r="AI15" i="5"/>
  <c r="AI26" i="5"/>
  <c r="AI16" i="5"/>
  <c r="AI27" i="5"/>
  <c r="AI28" i="5"/>
  <c r="AI12" i="5"/>
  <c r="AI29" i="5"/>
  <c r="AI13" i="5"/>
  <c r="K14" i="5"/>
  <c r="AE9" i="5"/>
  <c r="AI17" i="5"/>
  <c r="AB41" i="5"/>
  <c r="AB14" i="5"/>
  <c r="AB18" i="5" s="1"/>
  <c r="F20" i="5"/>
  <c r="F21" i="5"/>
  <c r="F22" i="5"/>
  <c r="AN22" i="5" s="1"/>
  <c r="F9" i="5"/>
  <c r="F23" i="5"/>
  <c r="V20" i="5"/>
  <c r="V21" i="5"/>
  <c r="V22" i="5"/>
  <c r="V10" i="5"/>
  <c r="V17" i="5" s="1"/>
  <c r="V23" i="5"/>
  <c r="J26" i="5"/>
  <c r="J27" i="5"/>
  <c r="J13" i="5"/>
  <c r="J28" i="5"/>
  <c r="J29" i="5"/>
  <c r="J16" i="5"/>
  <c r="J15" i="5"/>
  <c r="Z15" i="5"/>
  <c r="Z26" i="5"/>
  <c r="Z27" i="5"/>
  <c r="Z28" i="5"/>
  <c r="Z16" i="5"/>
  <c r="Z12" i="5"/>
  <c r="Z29" i="5"/>
  <c r="Z13" i="5"/>
  <c r="J14" i="5"/>
  <c r="Q20" i="4"/>
  <c r="J21" i="4"/>
  <c r="Z21" i="4"/>
  <c r="H21" i="5"/>
  <c r="H9" i="5"/>
  <c r="H22" i="5"/>
  <c r="H23" i="5"/>
  <c r="H20" i="5"/>
  <c r="H10" i="5"/>
  <c r="H17" i="5" s="1"/>
  <c r="X21" i="5"/>
  <c r="X9" i="5"/>
  <c r="X22" i="5"/>
  <c r="X23" i="5"/>
  <c r="X20" i="5"/>
  <c r="D26" i="5"/>
  <c r="D12" i="5"/>
  <c r="D15" i="5"/>
  <c r="L26" i="5"/>
  <c r="L16" i="5"/>
  <c r="L27" i="5"/>
  <c r="L28" i="5"/>
  <c r="L29" i="5"/>
  <c r="L13" i="5"/>
  <c r="L12" i="5"/>
  <c r="L15" i="5"/>
  <c r="AB30" i="5"/>
  <c r="R17" i="5"/>
  <c r="Q22" i="5"/>
  <c r="Q23" i="5"/>
  <c r="Q10" i="5"/>
  <c r="Q17" i="5" s="1"/>
  <c r="AO17" i="5" s="1"/>
  <c r="Q9" i="5"/>
  <c r="Q21" i="5"/>
  <c r="Q20" i="5"/>
  <c r="Q24" i="5" s="1"/>
  <c r="Y22" i="5"/>
  <c r="Y23" i="5"/>
  <c r="Y10" i="5"/>
  <c r="Y17" i="5" s="1"/>
  <c r="Y20" i="5"/>
  <c r="Y9" i="5"/>
  <c r="Y21" i="5"/>
  <c r="AG22" i="5"/>
  <c r="AG23" i="5"/>
  <c r="AG10" i="5"/>
  <c r="AG17" i="5" s="1"/>
  <c r="AG21" i="5"/>
  <c r="AG20" i="5"/>
  <c r="E27" i="5"/>
  <c r="E29" i="5"/>
  <c r="E12" i="5"/>
  <c r="E26" i="5"/>
  <c r="E30" i="5" s="1"/>
  <c r="E15" i="5"/>
  <c r="E13" i="5"/>
  <c r="AN13" i="5" s="1"/>
  <c r="U27" i="5"/>
  <c r="U28" i="5"/>
  <c r="U29" i="5"/>
  <c r="U12" i="5"/>
  <c r="U15" i="5"/>
  <c r="U13" i="5"/>
  <c r="U26" i="5"/>
  <c r="U16" i="5"/>
  <c r="AC27" i="5"/>
  <c r="AC28" i="5"/>
  <c r="AC29" i="5"/>
  <c r="AC12" i="5"/>
  <c r="AC16" i="5"/>
  <c r="AC15" i="5"/>
  <c r="AP15" i="5" s="1"/>
  <c r="AC13" i="5"/>
  <c r="AP13" i="5" s="1"/>
  <c r="AC26" i="5"/>
  <c r="AK27" i="5"/>
  <c r="AK28" i="5"/>
  <c r="AK29" i="5"/>
  <c r="AK12" i="5"/>
  <c r="AK26" i="5"/>
  <c r="AK30" i="5" s="1"/>
  <c r="AK16" i="5"/>
  <c r="AK13" i="5"/>
  <c r="AK15" i="5"/>
  <c r="R41" i="5"/>
  <c r="R14" i="5"/>
  <c r="S17" i="5"/>
  <c r="J12" i="5"/>
  <c r="N20" i="5"/>
  <c r="N21" i="5"/>
  <c r="N22" i="5"/>
  <c r="N9" i="5"/>
  <c r="N23" i="5"/>
  <c r="AD20" i="5"/>
  <c r="AD24" i="5" s="1"/>
  <c r="AD21" i="5"/>
  <c r="AD22" i="5"/>
  <c r="AD23" i="5"/>
  <c r="AP23" i="5" s="1"/>
  <c r="AD10" i="5"/>
  <c r="AD17" i="5" s="1"/>
  <c r="AL20" i="5"/>
  <c r="AL21" i="5"/>
  <c r="AL22" i="5"/>
  <c r="AL9" i="5"/>
  <c r="AL10" i="5"/>
  <c r="AL17" i="5" s="1"/>
  <c r="AL23" i="5"/>
  <c r="R15" i="5"/>
  <c r="R26" i="5"/>
  <c r="R27" i="5"/>
  <c r="R29" i="5"/>
  <c r="AO29" i="5" s="1"/>
  <c r="R16" i="5"/>
  <c r="R12" i="5"/>
  <c r="R13" i="5"/>
  <c r="R28" i="5"/>
  <c r="AH15" i="5"/>
  <c r="AH26" i="5"/>
  <c r="AP26" i="5" s="1"/>
  <c r="AH27" i="5"/>
  <c r="AH13" i="5"/>
  <c r="AH28" i="5"/>
  <c r="AH12" i="5"/>
  <c r="AH16" i="5"/>
  <c r="AH29" i="5"/>
  <c r="AC17" i="5"/>
  <c r="AG20" i="4"/>
  <c r="P21" i="5"/>
  <c r="P9" i="5"/>
  <c r="P22" i="5"/>
  <c r="AO22" i="5" s="1"/>
  <c r="P23" i="5"/>
  <c r="P20" i="5"/>
  <c r="AF21" i="5"/>
  <c r="AF9" i="5"/>
  <c r="AF22" i="5"/>
  <c r="AF23" i="5"/>
  <c r="AF10" i="5"/>
  <c r="AF17" i="5" s="1"/>
  <c r="AF20" i="5"/>
  <c r="AG41" i="5"/>
  <c r="AG14" i="5"/>
  <c r="AG18" i="5" s="1"/>
  <c r="AK17" i="5"/>
  <c r="R20" i="4"/>
  <c r="AH20" i="4"/>
  <c r="K21" i="4"/>
  <c r="AA21" i="4"/>
  <c r="I22" i="5"/>
  <c r="I23" i="5"/>
  <c r="I10" i="5"/>
  <c r="I17" i="5" s="1"/>
  <c r="I20" i="5"/>
  <c r="I24" i="5" s="1"/>
  <c r="I21" i="5"/>
  <c r="M27" i="5"/>
  <c r="M28" i="5"/>
  <c r="M29" i="5"/>
  <c r="M12" i="5"/>
  <c r="M16" i="5"/>
  <c r="M15" i="5"/>
  <c r="M26" i="5"/>
  <c r="M30" i="5" s="1"/>
  <c r="M13" i="5"/>
  <c r="AM9" i="5"/>
  <c r="C20" i="4"/>
  <c r="S20" i="4"/>
  <c r="AI20" i="4"/>
  <c r="AH14" i="5"/>
  <c r="S41" i="5"/>
  <c r="S14" i="5"/>
  <c r="E17" i="5"/>
  <c r="U17" i="5"/>
  <c r="V18" i="5"/>
  <c r="D35" i="5"/>
  <c r="AN32" i="5"/>
  <c r="AP32" i="5"/>
  <c r="AB35" i="5"/>
  <c r="AO33" i="5"/>
  <c r="P35" i="5"/>
  <c r="J21" i="5"/>
  <c r="AN21" i="5" s="1"/>
  <c r="Z21" i="5"/>
  <c r="N26" i="5"/>
  <c r="AD26" i="5"/>
  <c r="F27" i="5"/>
  <c r="N12" i="5"/>
  <c r="N15" i="5"/>
  <c r="AL16" i="5"/>
  <c r="AH20" i="5"/>
  <c r="AE30" i="5"/>
  <c r="L14" i="5"/>
  <c r="P30" i="5"/>
  <c r="AL27" i="5"/>
  <c r="E20" i="4"/>
  <c r="M20" i="4"/>
  <c r="U20" i="4"/>
  <c r="AC20" i="4"/>
  <c r="AK20" i="4"/>
  <c r="AI9" i="5"/>
  <c r="J10" i="5"/>
  <c r="J17" i="5" s="1"/>
  <c r="S23" i="5"/>
  <c r="AI23" i="5"/>
  <c r="AM27" i="5"/>
  <c r="X35" i="5"/>
  <c r="D20" i="4"/>
  <c r="L20" i="4"/>
  <c r="T20" i="4"/>
  <c r="AB20" i="4"/>
  <c r="AJ20" i="4"/>
  <c r="J23" i="5"/>
  <c r="R23" i="5"/>
  <c r="Z23" i="5"/>
  <c r="AH23" i="5"/>
  <c r="F28" i="5"/>
  <c r="F29" i="5"/>
  <c r="F13" i="5"/>
  <c r="N28" i="5"/>
  <c r="N29" i="5"/>
  <c r="N13" i="5"/>
  <c r="V28" i="5"/>
  <c r="V29" i="5"/>
  <c r="V13" i="5"/>
  <c r="AD28" i="5"/>
  <c r="AD29" i="5"/>
  <c r="AD13" i="5"/>
  <c r="AL28" i="5"/>
  <c r="AL29" i="5"/>
  <c r="AL13" i="5"/>
  <c r="F20" i="4"/>
  <c r="N20" i="4"/>
  <c r="V20" i="4"/>
  <c r="AD20" i="4"/>
  <c r="D10" i="5"/>
  <c r="D17" i="5" s="1"/>
  <c r="D20" i="5"/>
  <c r="L10" i="5"/>
  <c r="L17" i="5" s="1"/>
  <c r="L20" i="5"/>
  <c r="T10" i="5"/>
  <c r="T17" i="5" s="1"/>
  <c r="T20" i="5"/>
  <c r="T24" i="5" s="1"/>
  <c r="AB10" i="5"/>
  <c r="AB17" i="5" s="1"/>
  <c r="AB20" i="5"/>
  <c r="AJ10" i="5"/>
  <c r="AJ17" i="5" s="1"/>
  <c r="AJ20" i="5"/>
  <c r="AJ24" i="5" s="1"/>
  <c r="H12" i="5"/>
  <c r="H15" i="5"/>
  <c r="P12" i="5"/>
  <c r="P15" i="5"/>
  <c r="X12" i="5"/>
  <c r="X15" i="5"/>
  <c r="AF12" i="5"/>
  <c r="AF15" i="5"/>
  <c r="D9" i="5"/>
  <c r="Z9" i="5"/>
  <c r="AJ9" i="5"/>
  <c r="K10" i="5"/>
  <c r="K17" i="5" s="1"/>
  <c r="G12" i="5"/>
  <c r="AM12" i="5"/>
  <c r="AF13" i="5"/>
  <c r="G15" i="5"/>
  <c r="AE15" i="5"/>
  <c r="P16" i="5"/>
  <c r="AD16" i="5"/>
  <c r="R21" i="5"/>
  <c r="R24" i="5" s="1"/>
  <c r="AH21" i="5"/>
  <c r="K22" i="5"/>
  <c r="K24" i="5" s="1"/>
  <c r="AA22" i="5"/>
  <c r="AA24" i="5" s="1"/>
  <c r="D23" i="5"/>
  <c r="AN23" i="5" s="1"/>
  <c r="T23" i="5"/>
  <c r="AJ23" i="5"/>
  <c r="F26" i="5"/>
  <c r="V26" i="5"/>
  <c r="AL26" i="5"/>
  <c r="N27" i="5"/>
  <c r="O28" i="5"/>
  <c r="AF29" i="5"/>
  <c r="AF30" i="5" s="1"/>
  <c r="AO34" i="5"/>
  <c r="F12" i="5"/>
  <c r="AE13" i="5"/>
  <c r="O16" i="5"/>
  <c r="G20" i="4"/>
  <c r="O20" i="4"/>
  <c r="W20" i="4"/>
  <c r="AE20" i="4"/>
  <c r="E20" i="5"/>
  <c r="E21" i="5"/>
  <c r="E9" i="5"/>
  <c r="M20" i="5"/>
  <c r="M21" i="5"/>
  <c r="M9" i="5"/>
  <c r="U20" i="5"/>
  <c r="U21" i="5"/>
  <c r="U9" i="5"/>
  <c r="AC20" i="5"/>
  <c r="AC21" i="5"/>
  <c r="AP21" i="5" s="1"/>
  <c r="AC9" i="5"/>
  <c r="AK20" i="5"/>
  <c r="AK21" i="5"/>
  <c r="AK9" i="5"/>
  <c r="I13" i="5"/>
  <c r="I26" i="5"/>
  <c r="I30" i="5" s="1"/>
  <c r="I16" i="5"/>
  <c r="Q13" i="5"/>
  <c r="Q26" i="5"/>
  <c r="Q30" i="5" s="1"/>
  <c r="Q16" i="5"/>
  <c r="AA9" i="5"/>
  <c r="M10" i="5"/>
  <c r="M17" i="5" s="1"/>
  <c r="AH10" i="5"/>
  <c r="AH17" i="5" s="1"/>
  <c r="I12" i="5"/>
  <c r="AD12" i="5"/>
  <c r="AD18" i="5" s="1"/>
  <c r="W13" i="5"/>
  <c r="I15" i="5"/>
  <c r="F16" i="5"/>
  <c r="AE16" i="5"/>
  <c r="J20" i="5"/>
  <c r="Z20" i="5"/>
  <c r="S21" i="5"/>
  <c r="S24" i="5" s="1"/>
  <c r="AI21" i="5"/>
  <c r="AI24" i="5" s="1"/>
  <c r="L22" i="5"/>
  <c r="AB22" i="5"/>
  <c r="AP22" i="5" s="1"/>
  <c r="E23" i="5"/>
  <c r="U23" i="5"/>
  <c r="AK23" i="5"/>
  <c r="G26" i="5"/>
  <c r="G30" i="5" s="1"/>
  <c r="W26" i="5"/>
  <c r="W30" i="5" s="1"/>
  <c r="AM26" i="5"/>
  <c r="AM30" i="5" s="1"/>
  <c r="O27" i="5"/>
  <c r="O30" i="5" s="1"/>
  <c r="AD27" i="5"/>
  <c r="AP27" i="5" s="1"/>
  <c r="P28" i="5"/>
  <c r="AE28" i="5"/>
  <c r="AP33" i="5"/>
  <c r="Y16" i="5"/>
  <c r="AG16" i="5"/>
  <c r="Y26" i="5"/>
  <c r="Y30" i="5" s="1"/>
  <c r="AG26" i="5"/>
  <c r="AG30" i="5" s="1"/>
  <c r="T29" i="5"/>
  <c r="F35" i="5"/>
  <c r="N35" i="5"/>
  <c r="V35" i="5"/>
  <c r="AD35" i="5"/>
  <c r="AL35" i="5"/>
  <c r="T28" i="5"/>
  <c r="G35" i="5"/>
  <c r="O35" i="5"/>
  <c r="W35" i="5"/>
  <c r="AE35" i="5"/>
  <c r="AM35" i="5"/>
  <c r="T27" i="5"/>
  <c r="AO27" i="5" s="1"/>
  <c r="AO32" i="5"/>
  <c r="AP34" i="5"/>
  <c r="T16" i="5"/>
  <c r="T18" i="5" s="1"/>
  <c r="AB16" i="5"/>
  <c r="AJ16" i="5"/>
  <c r="G50" i="7" l="1"/>
  <c r="AD50" i="7"/>
  <c r="AF83" i="7"/>
  <c r="AE48" i="7"/>
  <c r="AO33" i="7"/>
  <c r="I33" i="7"/>
  <c r="K20" i="7"/>
  <c r="K22" i="6"/>
  <c r="K24" i="6"/>
  <c r="K24" i="7" s="1"/>
  <c r="K23" i="6"/>
  <c r="K23" i="7" s="1"/>
  <c r="K25" i="6"/>
  <c r="D50" i="7"/>
  <c r="AH50" i="7"/>
  <c r="AH48" i="7"/>
  <c r="AA48" i="7"/>
  <c r="AG48" i="7"/>
  <c r="AK20" i="7"/>
  <c r="AK23" i="6"/>
  <c r="AK23" i="7" s="1"/>
  <c r="AK24" i="6"/>
  <c r="AK24" i="7" s="1"/>
  <c r="AK25" i="6"/>
  <c r="AK22" i="6"/>
  <c r="E20" i="7"/>
  <c r="E23" i="6"/>
  <c r="E23" i="7" s="1"/>
  <c r="E25" i="6"/>
  <c r="E24" i="6"/>
  <c r="E24" i="7" s="1"/>
  <c r="E22" i="6"/>
  <c r="O20" i="7"/>
  <c r="O24" i="6"/>
  <c r="O24" i="7" s="1"/>
  <c r="O25" i="6"/>
  <c r="O22" i="6"/>
  <c r="O23" i="6"/>
  <c r="O23" i="7" s="1"/>
  <c r="U33" i="7"/>
  <c r="AA33" i="7"/>
  <c r="H50" i="7"/>
  <c r="P48" i="7"/>
  <c r="V33" i="7"/>
  <c r="AB20" i="7"/>
  <c r="AB22" i="6"/>
  <c r="AB23" i="6"/>
  <c r="AB23" i="7" s="1"/>
  <c r="AB24" i="6"/>
  <c r="AB24" i="7" s="1"/>
  <c r="AB25" i="6"/>
  <c r="AD20" i="7"/>
  <c r="AD23" i="6"/>
  <c r="AD23" i="7" s="1"/>
  <c r="AD24" i="6"/>
  <c r="AD24" i="7" s="1"/>
  <c r="AD25" i="6"/>
  <c r="AD22" i="6"/>
  <c r="T33" i="7"/>
  <c r="Z33" i="7"/>
  <c r="C50" i="7"/>
  <c r="N50" i="7"/>
  <c r="AK50" i="7"/>
  <c r="AI48" i="7"/>
  <c r="N48" i="7"/>
  <c r="X33" i="7"/>
  <c r="D48" i="7"/>
  <c r="AI50" i="7"/>
  <c r="U48" i="7"/>
  <c r="AE33" i="7"/>
  <c r="AO20" i="7"/>
  <c r="AO25" i="6"/>
  <c r="AO23" i="6"/>
  <c r="AO23" i="7" s="1"/>
  <c r="AO24" i="6"/>
  <c r="AO24" i="7" s="1"/>
  <c r="AO22" i="6"/>
  <c r="I20" i="7"/>
  <c r="I25" i="6"/>
  <c r="I23" i="6"/>
  <c r="I23" i="7" s="1"/>
  <c r="I24" i="6"/>
  <c r="I24" i="7" s="1"/>
  <c r="I22" i="6"/>
  <c r="Z50" i="7"/>
  <c r="V20" i="7"/>
  <c r="V23" i="6"/>
  <c r="V23" i="7" s="1"/>
  <c r="V24" i="6"/>
  <c r="V24" i="7" s="1"/>
  <c r="V25" i="6"/>
  <c r="V22" i="6"/>
  <c r="R20" i="7"/>
  <c r="R25" i="6"/>
  <c r="R22" i="6"/>
  <c r="R23" i="6"/>
  <c r="R23" i="7" s="1"/>
  <c r="R24" i="6"/>
  <c r="R24" i="7" s="1"/>
  <c r="X20" i="7"/>
  <c r="X24" i="6"/>
  <c r="X24" i="7" s="1"/>
  <c r="X25" i="6"/>
  <c r="X22" i="6"/>
  <c r="X23" i="6"/>
  <c r="X23" i="7" s="1"/>
  <c r="AM50" i="7"/>
  <c r="Y83" i="7"/>
  <c r="AM48" i="7"/>
  <c r="X83" i="7"/>
  <c r="AC50" i="7"/>
  <c r="W48" i="7"/>
  <c r="AG33" i="7"/>
  <c r="AI20" i="7"/>
  <c r="AI22" i="6"/>
  <c r="AI24" i="6"/>
  <c r="AI24" i="7" s="1"/>
  <c r="AI25" i="6"/>
  <c r="AI23" i="6"/>
  <c r="AI23" i="7" s="1"/>
  <c r="AL51" i="7"/>
  <c r="AA50" i="7"/>
  <c r="R50" i="7"/>
  <c r="Z48" i="7"/>
  <c r="AO50" i="7"/>
  <c r="S48" i="7"/>
  <c r="Y48" i="7"/>
  <c r="AC20" i="7"/>
  <c r="AC23" i="6"/>
  <c r="AC23" i="7" s="1"/>
  <c r="AC24" i="6"/>
  <c r="AC24" i="7" s="1"/>
  <c r="AC25" i="6"/>
  <c r="AC22" i="6"/>
  <c r="AM20" i="7"/>
  <c r="AM24" i="6"/>
  <c r="AM24" i="7" s="1"/>
  <c r="AM25" i="6"/>
  <c r="AM22" i="6"/>
  <c r="AM23" i="6"/>
  <c r="AM23" i="7" s="1"/>
  <c r="G20" i="7"/>
  <c r="G24" i="6"/>
  <c r="G24" i="7" s="1"/>
  <c r="G25" i="6"/>
  <c r="G22" i="6"/>
  <c r="G23" i="6"/>
  <c r="G23" i="7" s="1"/>
  <c r="M33" i="7"/>
  <c r="S33" i="7"/>
  <c r="AN48" i="7"/>
  <c r="H48" i="7"/>
  <c r="N33" i="7"/>
  <c r="T20" i="7"/>
  <c r="T22" i="6"/>
  <c r="T23" i="6"/>
  <c r="T23" i="7" s="1"/>
  <c r="T24" i="6"/>
  <c r="T24" i="7" s="1"/>
  <c r="T25" i="6"/>
  <c r="N20" i="7"/>
  <c r="N23" i="6"/>
  <c r="N23" i="7" s="1"/>
  <c r="N24" i="6"/>
  <c r="N24" i="7" s="1"/>
  <c r="N25" i="6"/>
  <c r="N22" i="6"/>
  <c r="L33" i="7"/>
  <c r="R33" i="7"/>
  <c r="Q83" i="7"/>
  <c r="U50" i="7"/>
  <c r="AL48" i="7"/>
  <c r="F48" i="7"/>
  <c r="P33" i="7"/>
  <c r="S50" i="7"/>
  <c r="M48" i="7"/>
  <c r="W33" i="7"/>
  <c r="AG20" i="7"/>
  <c r="AG25" i="6"/>
  <c r="AG23" i="6"/>
  <c r="AG23" i="7" s="1"/>
  <c r="AG22" i="6"/>
  <c r="AG24" i="6"/>
  <c r="AG24" i="7" s="1"/>
  <c r="J50" i="7"/>
  <c r="AG50" i="7"/>
  <c r="F20" i="7"/>
  <c r="F23" i="6"/>
  <c r="F23" i="7" s="1"/>
  <c r="F24" i="6"/>
  <c r="F24" i="7" s="1"/>
  <c r="F25" i="6"/>
  <c r="F22" i="6"/>
  <c r="J20" i="7"/>
  <c r="J25" i="6"/>
  <c r="J22" i="6"/>
  <c r="J23" i="6"/>
  <c r="J23" i="7" s="1"/>
  <c r="J24" i="6"/>
  <c r="J24" i="7" s="1"/>
  <c r="P20" i="7"/>
  <c r="P24" i="6"/>
  <c r="P24" i="7" s="1"/>
  <c r="P25" i="6"/>
  <c r="P22" i="6"/>
  <c r="P23" i="6"/>
  <c r="P23" i="7" s="1"/>
  <c r="P83" i="7"/>
  <c r="M50" i="7"/>
  <c r="O48" i="7"/>
  <c r="Y33" i="7"/>
  <c r="AA20" i="7"/>
  <c r="AA22" i="6"/>
  <c r="AA24" i="6"/>
  <c r="AA24" i="7" s="1"/>
  <c r="AA23" i="6"/>
  <c r="AA23" i="7" s="1"/>
  <c r="AA25" i="6"/>
  <c r="AJ50" i="7"/>
  <c r="K50" i="7"/>
  <c r="L48" i="7"/>
  <c r="R48" i="7"/>
  <c r="Y50" i="7"/>
  <c r="K48" i="7"/>
  <c r="Q48" i="7"/>
  <c r="U20" i="7"/>
  <c r="U23" i="6"/>
  <c r="U23" i="7" s="1"/>
  <c r="U24" i="6"/>
  <c r="U24" i="7" s="1"/>
  <c r="U25" i="6"/>
  <c r="U22" i="6"/>
  <c r="AE20" i="7"/>
  <c r="AE24" i="6"/>
  <c r="AE24" i="7" s="1"/>
  <c r="AE25" i="6"/>
  <c r="AE22" i="6"/>
  <c r="AE23" i="6"/>
  <c r="AE23" i="7" s="1"/>
  <c r="AK33" i="7"/>
  <c r="E33" i="7"/>
  <c r="K33" i="7"/>
  <c r="AN50" i="7"/>
  <c r="AF48" i="7"/>
  <c r="AL33" i="7"/>
  <c r="F33" i="7"/>
  <c r="L20" i="7"/>
  <c r="L22" i="6"/>
  <c r="L23" i="6"/>
  <c r="L23" i="7" s="1"/>
  <c r="L24" i="6"/>
  <c r="L24" i="7" s="1"/>
  <c r="L25" i="6"/>
  <c r="AJ33" i="7"/>
  <c r="D33" i="7"/>
  <c r="J33" i="7"/>
  <c r="V50" i="7"/>
  <c r="F50" i="7"/>
  <c r="I83" i="7"/>
  <c r="E50" i="7"/>
  <c r="AB50" i="7"/>
  <c r="AD48" i="7"/>
  <c r="AN33" i="7"/>
  <c r="H33" i="7"/>
  <c r="AB48" i="7"/>
  <c r="E48" i="7"/>
  <c r="O33" i="7"/>
  <c r="Y20" i="7"/>
  <c r="Y25" i="6"/>
  <c r="Y23" i="6"/>
  <c r="Y23" i="7" s="1"/>
  <c r="Y24" i="6"/>
  <c r="Y24" i="7" s="1"/>
  <c r="Y22" i="6"/>
  <c r="Q50" i="7"/>
  <c r="AF50" i="7"/>
  <c r="C20" i="7"/>
  <c r="C25" i="6"/>
  <c r="C23" i="6"/>
  <c r="C23" i="7" s="1"/>
  <c r="C22" i="6"/>
  <c r="C24" i="6"/>
  <c r="C24" i="7" s="1"/>
  <c r="AN20" i="7"/>
  <c r="AN24" i="6"/>
  <c r="AN24" i="7" s="1"/>
  <c r="AN25" i="6"/>
  <c r="AN22" i="6"/>
  <c r="AN23" i="6"/>
  <c r="AN23" i="7" s="1"/>
  <c r="H20" i="7"/>
  <c r="H24" i="6"/>
  <c r="H24" i="7" s="1"/>
  <c r="H25" i="6"/>
  <c r="H22" i="6"/>
  <c r="H23" i="6"/>
  <c r="H23" i="7" s="1"/>
  <c r="AN83" i="7"/>
  <c r="H83" i="7"/>
  <c r="AJ48" i="7"/>
  <c r="G48" i="7"/>
  <c r="Q33" i="7"/>
  <c r="S20" i="7"/>
  <c r="S22" i="6"/>
  <c r="S24" i="6"/>
  <c r="S24" i="7" s="1"/>
  <c r="S23" i="6"/>
  <c r="S23" i="7" s="1"/>
  <c r="S25" i="6"/>
  <c r="T50" i="7"/>
  <c r="T48" i="7"/>
  <c r="J48" i="7"/>
  <c r="I50" i="7"/>
  <c r="AO48" i="7"/>
  <c r="I48" i="7"/>
  <c r="M20" i="7"/>
  <c r="M23" i="6"/>
  <c r="M23" i="7" s="1"/>
  <c r="M25" i="6"/>
  <c r="M24" i="6"/>
  <c r="M24" i="7" s="1"/>
  <c r="M22" i="6"/>
  <c r="W20" i="7"/>
  <c r="W24" i="6"/>
  <c r="W24" i="7" s="1"/>
  <c r="W25" i="6"/>
  <c r="W22" i="6"/>
  <c r="W23" i="6"/>
  <c r="W23" i="7" s="1"/>
  <c r="AC33" i="7"/>
  <c r="AI33" i="7"/>
  <c r="X50" i="7"/>
  <c r="X48" i="7"/>
  <c r="AD33" i="7"/>
  <c r="AJ20" i="7"/>
  <c r="AJ22" i="6"/>
  <c r="AJ23" i="6"/>
  <c r="AJ23" i="7" s="1"/>
  <c r="AJ24" i="6"/>
  <c r="AJ24" i="7" s="1"/>
  <c r="AJ25" i="6"/>
  <c r="D20" i="7"/>
  <c r="D22" i="6"/>
  <c r="D23" i="6"/>
  <c r="D23" i="7" s="1"/>
  <c r="D24" i="6"/>
  <c r="D24" i="7" s="1"/>
  <c r="D25" i="6"/>
  <c r="AB33" i="7"/>
  <c r="AH33" i="7"/>
  <c r="AE50" i="7"/>
  <c r="AO83" i="7"/>
  <c r="W50" i="7"/>
  <c r="O50" i="7"/>
  <c r="AG83" i="7"/>
  <c r="L50" i="7"/>
  <c r="V48" i="7"/>
  <c r="AF33" i="7"/>
  <c r="AC48" i="7"/>
  <c r="AM33" i="7"/>
  <c r="G33" i="7"/>
  <c r="Q20" i="7"/>
  <c r="Q25" i="6"/>
  <c r="Q23" i="6"/>
  <c r="Q23" i="7" s="1"/>
  <c r="Q24" i="6"/>
  <c r="Q24" i="7" s="1"/>
  <c r="Q22" i="6"/>
  <c r="P50" i="7"/>
  <c r="AL20" i="7"/>
  <c r="AL23" i="6"/>
  <c r="AL23" i="7" s="1"/>
  <c r="AL24" i="6"/>
  <c r="AL24" i="7" s="1"/>
  <c r="AL25" i="6"/>
  <c r="AL22" i="6"/>
  <c r="C48" i="7"/>
  <c r="Z20" i="7"/>
  <c r="Z25" i="6"/>
  <c r="Z22" i="6"/>
  <c r="Z23" i="6"/>
  <c r="Z23" i="7" s="1"/>
  <c r="Z24" i="6"/>
  <c r="Z24" i="7" s="1"/>
  <c r="AF20" i="7"/>
  <c r="AF24" i="6"/>
  <c r="AF24" i="7" s="1"/>
  <c r="AF25" i="6"/>
  <c r="AF22" i="6"/>
  <c r="AF23" i="6"/>
  <c r="AF23" i="7" s="1"/>
  <c r="AH20" i="7"/>
  <c r="AH25" i="6"/>
  <c r="AH22" i="6"/>
  <c r="AH23" i="6"/>
  <c r="AH23" i="7" s="1"/>
  <c r="AH24" i="6"/>
  <c r="AH24" i="7" s="1"/>
  <c r="T37" i="5"/>
  <c r="T47" i="5"/>
  <c r="T48" i="5" s="1"/>
  <c r="M24" i="5"/>
  <c r="AD21" i="4"/>
  <c r="AO13" i="5"/>
  <c r="AM20" i="4"/>
  <c r="C21" i="4"/>
  <c r="P41" i="5"/>
  <c r="P14" i="5"/>
  <c r="AA18" i="5"/>
  <c r="AD47" i="5"/>
  <c r="AD48" i="5" s="1"/>
  <c r="AC24" i="5"/>
  <c r="J24" i="5"/>
  <c r="AK41" i="5"/>
  <c r="AK14" i="5"/>
  <c r="U24" i="5"/>
  <c r="E24" i="5"/>
  <c r="V30" i="5"/>
  <c r="G18" i="5"/>
  <c r="AP20" i="5"/>
  <c r="AB24" i="5"/>
  <c r="N30" i="5"/>
  <c r="AA23" i="4"/>
  <c r="AA22" i="4"/>
  <c r="T30" i="5"/>
  <c r="P24" i="5"/>
  <c r="AO24" i="5" s="1"/>
  <c r="AO20" i="5"/>
  <c r="D30" i="5"/>
  <c r="AN26" i="5"/>
  <c r="Q21" i="4"/>
  <c r="AI30" i="5"/>
  <c r="AA30" i="5"/>
  <c r="S30" i="5"/>
  <c r="K30" i="5"/>
  <c r="Y22" i="4"/>
  <c r="Y23" i="4"/>
  <c r="V41" i="5"/>
  <c r="AI41" i="5"/>
  <c r="AI14" i="5"/>
  <c r="I18" i="5"/>
  <c r="U41" i="5"/>
  <c r="U14" i="5"/>
  <c r="E21" i="4"/>
  <c r="Z24" i="5"/>
  <c r="AL30" i="5"/>
  <c r="F21" i="4"/>
  <c r="AH24" i="5"/>
  <c r="AD30" i="5"/>
  <c r="AD37" i="5" s="1"/>
  <c r="AH41" i="5"/>
  <c r="L41" i="5"/>
  <c r="J22" i="4"/>
  <c r="J23" i="4" s="1"/>
  <c r="V24" i="5"/>
  <c r="AE41" i="5"/>
  <c r="AE14" i="5"/>
  <c r="AE18" i="5" s="1"/>
  <c r="AA14" i="5"/>
  <c r="AA41" i="5"/>
  <c r="AE21" i="4"/>
  <c r="F30" i="5"/>
  <c r="AO15" i="5"/>
  <c r="AP17" i="5"/>
  <c r="AN20" i="5"/>
  <c r="D24" i="5"/>
  <c r="AM41" i="5"/>
  <c r="AM14" i="5"/>
  <c r="K23" i="4"/>
  <c r="K22" i="4"/>
  <c r="AF24" i="5"/>
  <c r="N24" i="5"/>
  <c r="AC30" i="5"/>
  <c r="AP30" i="5" s="1"/>
  <c r="X24" i="5"/>
  <c r="H24" i="5"/>
  <c r="K41" i="5"/>
  <c r="O24" i="5"/>
  <c r="I22" i="4"/>
  <c r="I23" i="4"/>
  <c r="I41" i="5"/>
  <c r="T21" i="4"/>
  <c r="E41" i="5"/>
  <c r="E14" i="5"/>
  <c r="E18" i="5" s="1"/>
  <c r="D21" i="4"/>
  <c r="AP35" i="5"/>
  <c r="AP28" i="5"/>
  <c r="AG24" i="5"/>
  <c r="Y24" i="5"/>
  <c r="L18" i="5"/>
  <c r="AN12" i="5"/>
  <c r="AO28" i="5"/>
  <c r="AN16" i="5"/>
  <c r="AK24" i="5"/>
  <c r="M41" i="5"/>
  <c r="M14" i="5"/>
  <c r="W21" i="4"/>
  <c r="AO16" i="5"/>
  <c r="AJ41" i="5"/>
  <c r="AJ14" i="5"/>
  <c r="AJ18" i="5" s="1"/>
  <c r="AO12" i="5"/>
  <c r="P18" i="5"/>
  <c r="AN17" i="5"/>
  <c r="AN28" i="5"/>
  <c r="AK21" i="4"/>
  <c r="AN35" i="5"/>
  <c r="AI21" i="4"/>
  <c r="AH21" i="4"/>
  <c r="AO23" i="5"/>
  <c r="AH18" i="5"/>
  <c r="R18" i="5"/>
  <c r="U30" i="5"/>
  <c r="Z30" i="5"/>
  <c r="J30" i="5"/>
  <c r="K18" i="5"/>
  <c r="AF21" i="4"/>
  <c r="O21" i="4"/>
  <c r="AN20" i="4"/>
  <c r="Z41" i="5"/>
  <c r="Z14" i="5"/>
  <c r="Z18" i="5" s="1"/>
  <c r="AJ21" i="4"/>
  <c r="AC21" i="4"/>
  <c r="V37" i="5"/>
  <c r="V47" i="5"/>
  <c r="V48" i="5" s="1"/>
  <c r="S21" i="4"/>
  <c r="R21" i="4"/>
  <c r="AL41" i="5"/>
  <c r="AL14" i="5"/>
  <c r="AL18" i="5" s="1"/>
  <c r="J41" i="5"/>
  <c r="F41" i="5"/>
  <c r="F14" i="5"/>
  <c r="F18" i="5" s="1"/>
  <c r="P21" i="4"/>
  <c r="AL22" i="4"/>
  <c r="AL23" i="4"/>
  <c r="F6" i="3"/>
  <c r="G6" i="3" s="1"/>
  <c r="AC41" i="5"/>
  <c r="AC14" i="5"/>
  <c r="AP16" i="5"/>
  <c r="G21" i="4"/>
  <c r="D41" i="5"/>
  <c r="D14" i="5"/>
  <c r="D18" i="5" s="1"/>
  <c r="AB21" i="4"/>
  <c r="AO20" i="4"/>
  <c r="U21" i="4"/>
  <c r="X14" i="5"/>
  <c r="X18" i="5" s="1"/>
  <c r="X41" i="5"/>
  <c r="H41" i="5"/>
  <c r="H14" i="5"/>
  <c r="H18" i="5" s="1"/>
  <c r="AI18" i="5"/>
  <c r="S18" i="5"/>
  <c r="AE24" i="5"/>
  <c r="T41" i="5"/>
  <c r="V21" i="4"/>
  <c r="M21" i="4"/>
  <c r="AO35" i="5"/>
  <c r="AF41" i="5"/>
  <c r="AP41" i="5" s="1"/>
  <c r="AF14" i="5"/>
  <c r="AP14" i="5" s="1"/>
  <c r="AO21" i="5"/>
  <c r="J18" i="5"/>
  <c r="AK18" i="5"/>
  <c r="AC18" i="5"/>
  <c r="AP12" i="5"/>
  <c r="U18" i="5"/>
  <c r="AN29" i="5"/>
  <c r="L30" i="5"/>
  <c r="O41" i="5"/>
  <c r="O14" i="5"/>
  <c r="O18" i="5" s="1"/>
  <c r="H22" i="4"/>
  <c r="H23" i="4"/>
  <c r="X22" i="4"/>
  <c r="X23" i="4"/>
  <c r="AM18" i="5"/>
  <c r="L24" i="5"/>
  <c r="N21" i="4"/>
  <c r="L21" i="4"/>
  <c r="AO26" i="5"/>
  <c r="M18" i="5"/>
  <c r="AG21" i="4"/>
  <c r="AH30" i="5"/>
  <c r="R30" i="5"/>
  <c r="AO30" i="5" s="1"/>
  <c r="AL24" i="5"/>
  <c r="N41" i="5"/>
  <c r="N14" i="5"/>
  <c r="N18" i="5" s="1"/>
  <c r="AP29" i="5"/>
  <c r="AN27" i="5"/>
  <c r="Y14" i="5"/>
  <c r="Y18" i="5" s="1"/>
  <c r="Y41" i="5"/>
  <c r="Q41" i="5"/>
  <c r="Q14" i="5"/>
  <c r="Q18" i="5" s="1"/>
  <c r="AN15" i="5"/>
  <c r="Z23" i="4"/>
  <c r="Z22" i="4"/>
  <c r="F24" i="5"/>
  <c r="AM24" i="5"/>
  <c r="W41" i="5"/>
  <c r="W14" i="5"/>
  <c r="W18" i="5" s="1"/>
  <c r="G24" i="5"/>
  <c r="AD41" i="5"/>
  <c r="U25" i="7" l="1"/>
  <c r="U53" i="6"/>
  <c r="P26" i="6"/>
  <c r="P22" i="7"/>
  <c r="T25" i="7"/>
  <c r="T53" i="6"/>
  <c r="G26" i="6"/>
  <c r="G22" i="7"/>
  <c r="X26" i="6"/>
  <c r="X22" i="7"/>
  <c r="I26" i="6"/>
  <c r="I22" i="7"/>
  <c r="AO25" i="7"/>
  <c r="AO53" i="6"/>
  <c r="O25" i="7"/>
  <c r="O53" i="6"/>
  <c r="AK26" i="6"/>
  <c r="AK22" i="7"/>
  <c r="Q26" i="6"/>
  <c r="Q22" i="7"/>
  <c r="M26" i="6"/>
  <c r="M22" i="7"/>
  <c r="AF26" i="6"/>
  <c r="AF22" i="7"/>
  <c r="AN26" i="6"/>
  <c r="AN22" i="7"/>
  <c r="AF25" i="7"/>
  <c r="AF53" i="6"/>
  <c r="D25" i="7"/>
  <c r="D53" i="6"/>
  <c r="AJ26" i="6"/>
  <c r="AJ22" i="7"/>
  <c r="AN25" i="7"/>
  <c r="AN53" i="6"/>
  <c r="Y25" i="7"/>
  <c r="Y53" i="6"/>
  <c r="P25" i="7"/>
  <c r="P53" i="6"/>
  <c r="F26" i="6"/>
  <c r="F22" i="7"/>
  <c r="G25" i="7"/>
  <c r="G53" i="6"/>
  <c r="AC26" i="6"/>
  <c r="AC22" i="7"/>
  <c r="X25" i="7"/>
  <c r="X53" i="6"/>
  <c r="V26" i="6"/>
  <c r="V22" i="7"/>
  <c r="AK25" i="7"/>
  <c r="AK53" i="6"/>
  <c r="L26" i="6"/>
  <c r="L22" i="7"/>
  <c r="AA25" i="7"/>
  <c r="AA53" i="6"/>
  <c r="F25" i="7"/>
  <c r="F53" i="6"/>
  <c r="AC25" i="7"/>
  <c r="AC53" i="6"/>
  <c r="V25" i="7"/>
  <c r="V53" i="6"/>
  <c r="AD26" i="6"/>
  <c r="AD22" i="7"/>
  <c r="AB26" i="6"/>
  <c r="AB22" i="7"/>
  <c r="K26" i="6"/>
  <c r="K22" i="7"/>
  <c r="AL22" i="7"/>
  <c r="AL26" i="6"/>
  <c r="S25" i="7"/>
  <c r="S53" i="6"/>
  <c r="H26" i="6"/>
  <c r="H22" i="7"/>
  <c r="AE26" i="6"/>
  <c r="AE22" i="7"/>
  <c r="AG26" i="6"/>
  <c r="AG22" i="7"/>
  <c r="N26" i="6"/>
  <c r="N22" i="7"/>
  <c r="T26" i="6"/>
  <c r="T22" i="7"/>
  <c r="I25" i="7"/>
  <c r="I53" i="6"/>
  <c r="AD25" i="7"/>
  <c r="AD53" i="6"/>
  <c r="E26" i="6"/>
  <c r="E22" i="7"/>
  <c r="AH26" i="6"/>
  <c r="AH22" i="7"/>
  <c r="AL25" i="7"/>
  <c r="AL53" i="6"/>
  <c r="H25" i="7"/>
  <c r="H53" i="6"/>
  <c r="N25" i="7"/>
  <c r="N53" i="6"/>
  <c r="C22" i="7"/>
  <c r="C26" i="6"/>
  <c r="AA26" i="6"/>
  <c r="AA22" i="7"/>
  <c r="AG25" i="7"/>
  <c r="AG53" i="6"/>
  <c r="AM26" i="6"/>
  <c r="AM22" i="7"/>
  <c r="AI25" i="7"/>
  <c r="AI53" i="6"/>
  <c r="AO26" i="6"/>
  <c r="AO22" i="7"/>
  <c r="E25" i="7"/>
  <c r="E53" i="6"/>
  <c r="AH25" i="7"/>
  <c r="AH53" i="6"/>
  <c r="Z26" i="6"/>
  <c r="Z22" i="7"/>
  <c r="J26" i="6"/>
  <c r="J22" i="7"/>
  <c r="AM25" i="7"/>
  <c r="AM53" i="6"/>
  <c r="R26" i="6"/>
  <c r="R22" i="7"/>
  <c r="D26" i="6"/>
  <c r="D22" i="7"/>
  <c r="M25" i="7"/>
  <c r="M53" i="6"/>
  <c r="AE25" i="7"/>
  <c r="AE53" i="6"/>
  <c r="Q25" i="7"/>
  <c r="Q53" i="6"/>
  <c r="AJ25" i="7"/>
  <c r="AJ53" i="6"/>
  <c r="W26" i="6"/>
  <c r="W22" i="7"/>
  <c r="S26" i="6"/>
  <c r="S22" i="7"/>
  <c r="Y26" i="6"/>
  <c r="Y22" i="7"/>
  <c r="Z25" i="7"/>
  <c r="Z53" i="6"/>
  <c r="W25" i="7"/>
  <c r="W53" i="6"/>
  <c r="C53" i="6"/>
  <c r="C25" i="7"/>
  <c r="L25" i="7"/>
  <c r="L53" i="6"/>
  <c r="U26" i="6"/>
  <c r="U22" i="7"/>
  <c r="J25" i="7"/>
  <c r="J53" i="6"/>
  <c r="AI22" i="7"/>
  <c r="AI26" i="6"/>
  <c r="R25" i="7"/>
  <c r="R53" i="6"/>
  <c r="AB25" i="7"/>
  <c r="AB53" i="6"/>
  <c r="O26" i="6"/>
  <c r="O22" i="7"/>
  <c r="K25" i="7"/>
  <c r="K53" i="6"/>
  <c r="H47" i="5"/>
  <c r="H48" i="5" s="1"/>
  <c r="H37" i="5"/>
  <c r="H6" i="3"/>
  <c r="D7" i="3" s="1"/>
  <c r="W37" i="5"/>
  <c r="W47" i="5"/>
  <c r="W48" i="5" s="1"/>
  <c r="X47" i="5"/>
  <c r="X48" i="5" s="1"/>
  <c r="X37" i="5"/>
  <c r="J39" i="4"/>
  <c r="AD40" i="5"/>
  <c r="AD38" i="5"/>
  <c r="AD39" i="5"/>
  <c r="N37" i="5"/>
  <c r="N47" i="5"/>
  <c r="N48" i="5" s="1"/>
  <c r="F47" i="5"/>
  <c r="F48" i="5" s="1"/>
  <c r="F37" i="5"/>
  <c r="Q47" i="5"/>
  <c r="Q48" i="5" s="1"/>
  <c r="Q37" i="5"/>
  <c r="AL47" i="5"/>
  <c r="AL48" i="5" s="1"/>
  <c r="AL37" i="5"/>
  <c r="Z47" i="5"/>
  <c r="Z48" i="5" s="1"/>
  <c r="Z37" i="5"/>
  <c r="E47" i="5"/>
  <c r="E48" i="5" s="1"/>
  <c r="E37" i="5"/>
  <c r="D47" i="5"/>
  <c r="D48" i="5" s="1"/>
  <c r="D37" i="5"/>
  <c r="AN18" i="5"/>
  <c r="Z39" i="4"/>
  <c r="AB40" i="4" s="1"/>
  <c r="AM47" i="5"/>
  <c r="AM48" i="5" s="1"/>
  <c r="AM37" i="5"/>
  <c r="G22" i="4"/>
  <c r="G23" i="4" s="1"/>
  <c r="S47" i="5"/>
  <c r="S48" i="5" s="1"/>
  <c r="S37" i="5"/>
  <c r="AF18" i="5"/>
  <c r="O37" i="5"/>
  <c r="O47" i="5"/>
  <c r="O48" i="5" s="1"/>
  <c r="J47" i="5"/>
  <c r="J48" i="5" s="1"/>
  <c r="J37" i="5"/>
  <c r="K47" i="5"/>
  <c r="K48" i="5" s="1"/>
  <c r="K37" i="5"/>
  <c r="T22" i="4"/>
  <c r="T23" i="4"/>
  <c r="K39" i="4"/>
  <c r="I47" i="5"/>
  <c r="I48" i="5" s="1"/>
  <c r="I37" i="5"/>
  <c r="AA39" i="4"/>
  <c r="AA47" i="5"/>
  <c r="AA48" i="5" s="1"/>
  <c r="AA37" i="5"/>
  <c r="AG37" i="5"/>
  <c r="P47" i="5"/>
  <c r="P48" i="5" s="1"/>
  <c r="P37" i="5"/>
  <c r="AO18" i="5"/>
  <c r="D22" i="4"/>
  <c r="D23" i="4" s="1"/>
  <c r="AE22" i="4"/>
  <c r="AE23" i="4" s="1"/>
  <c r="AE37" i="5"/>
  <c r="AE47" i="5"/>
  <c r="AE48" i="5" s="1"/>
  <c r="E22" i="4"/>
  <c r="E23" i="4" s="1"/>
  <c r="AG47" i="5"/>
  <c r="AG48" i="5" s="1"/>
  <c r="R22" i="4"/>
  <c r="R23" i="4" s="1"/>
  <c r="L37" i="5"/>
  <c r="L47" i="5"/>
  <c r="L48" i="5" s="1"/>
  <c r="AN30" i="5"/>
  <c r="AP24" i="5"/>
  <c r="X39" i="4"/>
  <c r="Z40" i="4" s="1"/>
  <c r="V22" i="4"/>
  <c r="V23" i="4"/>
  <c r="M37" i="5"/>
  <c r="M47" i="5"/>
  <c r="M48" i="5" s="1"/>
  <c r="N22" i="4"/>
  <c r="N23" i="4" s="1"/>
  <c r="U22" i="4"/>
  <c r="U23" i="4"/>
  <c r="AL39" i="4"/>
  <c r="AF22" i="4"/>
  <c r="AF23" i="4" s="1"/>
  <c r="AJ47" i="5"/>
  <c r="AJ48" i="5" s="1"/>
  <c r="AJ37" i="5"/>
  <c r="AN24" i="5"/>
  <c r="F22" i="4"/>
  <c r="F23" i="4" s="1"/>
  <c r="AO14" i="5"/>
  <c r="AJ22" i="4"/>
  <c r="AJ23" i="4"/>
  <c r="AN21" i="4"/>
  <c r="D33" i="4" s="1"/>
  <c r="O23" i="4"/>
  <c r="O22" i="4"/>
  <c r="R47" i="5"/>
  <c r="R48" i="5" s="1"/>
  <c r="R37" i="5"/>
  <c r="AI22" i="4"/>
  <c r="AI23" i="4"/>
  <c r="AK22" i="4"/>
  <c r="AK23" i="4" s="1"/>
  <c r="Q22" i="4"/>
  <c r="Q23" i="4" s="1"/>
  <c r="AO41" i="5"/>
  <c r="AD22" i="4"/>
  <c r="AD23" i="4"/>
  <c r="T38" i="5"/>
  <c r="T39" i="5"/>
  <c r="T40" i="5"/>
  <c r="AH47" i="5"/>
  <c r="AH48" i="5" s="1"/>
  <c r="AH37" i="5"/>
  <c r="Y39" i="4"/>
  <c r="AA40" i="4" s="1"/>
  <c r="G47" i="5"/>
  <c r="G48" i="5" s="1"/>
  <c r="G37" i="5"/>
  <c r="AM21" i="4"/>
  <c r="D32" i="4" s="1"/>
  <c r="C22" i="4"/>
  <c r="C23" i="4"/>
  <c r="AB37" i="5"/>
  <c r="AB22" i="4"/>
  <c r="AB23" i="4" s="1"/>
  <c r="H39" i="4"/>
  <c r="H13" i="8" s="1"/>
  <c r="M22" i="4"/>
  <c r="M23" i="4" s="1"/>
  <c r="AN14" i="5"/>
  <c r="S22" i="4"/>
  <c r="S23" i="4" s="1"/>
  <c r="W22" i="4"/>
  <c r="W23" i="4" s="1"/>
  <c r="I39" i="4"/>
  <c r="AO22" i="4"/>
  <c r="AB47" i="5"/>
  <c r="AB48" i="5" s="1"/>
  <c r="U37" i="5"/>
  <c r="U47" i="5"/>
  <c r="U48" i="5" s="1"/>
  <c r="L22" i="4"/>
  <c r="L23" i="4" s="1"/>
  <c r="AI47" i="5"/>
  <c r="AI48" i="5" s="1"/>
  <c r="AI37" i="5"/>
  <c r="V40" i="5"/>
  <c r="V39" i="5"/>
  <c r="V38" i="5"/>
  <c r="V42" i="5" s="1"/>
  <c r="V44" i="5" s="1"/>
  <c r="Y47" i="5"/>
  <c r="Y48" i="5" s="1"/>
  <c r="Y37" i="5"/>
  <c r="AG22" i="4"/>
  <c r="AG23" i="4"/>
  <c r="AC47" i="5"/>
  <c r="AC48" i="5" s="1"/>
  <c r="AC37" i="5"/>
  <c r="AK47" i="5"/>
  <c r="AK48" i="5" s="1"/>
  <c r="AK37" i="5"/>
  <c r="AN41" i="5"/>
  <c r="P22" i="4"/>
  <c r="P23" i="4"/>
  <c r="AC22" i="4"/>
  <c r="AC23" i="4" s="1"/>
  <c r="AH23" i="4"/>
  <c r="AH22" i="4"/>
  <c r="AO21" i="4"/>
  <c r="D34" i="4" s="1"/>
  <c r="X53" i="7" l="1"/>
  <c r="X54" i="6"/>
  <c r="AI26" i="7"/>
  <c r="AI35" i="6"/>
  <c r="AM53" i="7"/>
  <c r="AM54" i="6"/>
  <c r="AG53" i="7"/>
  <c r="AG54" i="6"/>
  <c r="H53" i="7"/>
  <c r="H54" i="6"/>
  <c r="AD53" i="7"/>
  <c r="AD54" i="6"/>
  <c r="AB53" i="7"/>
  <c r="AB54" i="6"/>
  <c r="Z53" i="7"/>
  <c r="Z54" i="6"/>
  <c r="AJ53" i="7"/>
  <c r="AJ54" i="6"/>
  <c r="AI53" i="7"/>
  <c r="AI54" i="6"/>
  <c r="C26" i="7"/>
  <c r="C35" i="6"/>
  <c r="F53" i="7"/>
  <c r="F54" i="6"/>
  <c r="O53" i="7"/>
  <c r="O54" i="6"/>
  <c r="U26" i="7"/>
  <c r="U35" i="6"/>
  <c r="D26" i="7"/>
  <c r="D35" i="6"/>
  <c r="Z26" i="7"/>
  <c r="Z35" i="6"/>
  <c r="T26" i="7"/>
  <c r="T35" i="6"/>
  <c r="H26" i="7"/>
  <c r="H35" i="6"/>
  <c r="V26" i="7"/>
  <c r="V35" i="6"/>
  <c r="F26" i="7"/>
  <c r="F35" i="6"/>
  <c r="AF26" i="7"/>
  <c r="AF35" i="6"/>
  <c r="G26" i="7"/>
  <c r="G35" i="6"/>
  <c r="S53" i="7"/>
  <c r="S54" i="6"/>
  <c r="P53" i="7"/>
  <c r="P54" i="6"/>
  <c r="D53" i="7"/>
  <c r="D54" i="6"/>
  <c r="AO53" i="7"/>
  <c r="AO54" i="6"/>
  <c r="T53" i="7"/>
  <c r="T54" i="6"/>
  <c r="AA53" i="7"/>
  <c r="AA54" i="6"/>
  <c r="Y26" i="7"/>
  <c r="Y35" i="6"/>
  <c r="R26" i="7"/>
  <c r="R35" i="6"/>
  <c r="AM26" i="7"/>
  <c r="AM35" i="6"/>
  <c r="E26" i="7"/>
  <c r="E35" i="6"/>
  <c r="N26" i="7"/>
  <c r="N35" i="6"/>
  <c r="AD26" i="7"/>
  <c r="AD35" i="6"/>
  <c r="M26" i="7"/>
  <c r="M35" i="6"/>
  <c r="N53" i="7"/>
  <c r="N54" i="6"/>
  <c r="Y53" i="7"/>
  <c r="Y54" i="6"/>
  <c r="AF53" i="7"/>
  <c r="AF54" i="6"/>
  <c r="AH26" i="7"/>
  <c r="AH35" i="6"/>
  <c r="AB26" i="7"/>
  <c r="AB35" i="6"/>
  <c r="AJ26" i="7"/>
  <c r="AJ35" i="6"/>
  <c r="R53" i="7"/>
  <c r="R54" i="6"/>
  <c r="L53" i="7"/>
  <c r="L54" i="6"/>
  <c r="Q53" i="7"/>
  <c r="Q54" i="6"/>
  <c r="AH53" i="7"/>
  <c r="AH54" i="6"/>
  <c r="V53" i="7"/>
  <c r="V54" i="6"/>
  <c r="S26" i="7"/>
  <c r="S35" i="6"/>
  <c r="AG26" i="7"/>
  <c r="AG35" i="6"/>
  <c r="L26" i="7"/>
  <c r="L35" i="6"/>
  <c r="AC26" i="7"/>
  <c r="AC35" i="6"/>
  <c r="Q26" i="7"/>
  <c r="Q35" i="6"/>
  <c r="I26" i="7"/>
  <c r="I35" i="6"/>
  <c r="P26" i="7"/>
  <c r="P35" i="6"/>
  <c r="E53" i="7"/>
  <c r="E54" i="6"/>
  <c r="AL53" i="7"/>
  <c r="AL54" i="6"/>
  <c r="I53" i="7"/>
  <c r="I54" i="6"/>
  <c r="AC53" i="7"/>
  <c r="AC54" i="6"/>
  <c r="AK53" i="7"/>
  <c r="AK54" i="6"/>
  <c r="G53" i="7"/>
  <c r="G54" i="6"/>
  <c r="AN53" i="7"/>
  <c r="AN54" i="6"/>
  <c r="U53" i="7"/>
  <c r="U54" i="6"/>
  <c r="K53" i="7"/>
  <c r="K54" i="6"/>
  <c r="AE53" i="7"/>
  <c r="AE54" i="6"/>
  <c r="AL26" i="7"/>
  <c r="AL35" i="6"/>
  <c r="C53" i="7"/>
  <c r="C54" i="6"/>
  <c r="J53" i="7"/>
  <c r="J54" i="6"/>
  <c r="W53" i="7"/>
  <c r="W54" i="6"/>
  <c r="M53" i="7"/>
  <c r="M54" i="6"/>
  <c r="O26" i="7"/>
  <c r="O35" i="6"/>
  <c r="W26" i="7"/>
  <c r="W35" i="6"/>
  <c r="J26" i="7"/>
  <c r="J35" i="6"/>
  <c r="AO26" i="7"/>
  <c r="AO35" i="6"/>
  <c r="AA26" i="7"/>
  <c r="AA35" i="6"/>
  <c r="AE26" i="7"/>
  <c r="AE35" i="6"/>
  <c r="K26" i="7"/>
  <c r="K35" i="6"/>
  <c r="AN26" i="7"/>
  <c r="AN35" i="6"/>
  <c r="AK26" i="7"/>
  <c r="AK35" i="6"/>
  <c r="X26" i="7"/>
  <c r="X35" i="6"/>
  <c r="S39" i="4"/>
  <c r="G39" i="4"/>
  <c r="G13" i="8" s="1"/>
  <c r="AE39" i="4"/>
  <c r="AG40" i="4" s="1"/>
  <c r="M39" i="4"/>
  <c r="F39" i="4"/>
  <c r="F13" i="8" s="1"/>
  <c r="E39" i="4"/>
  <c r="N39" i="4"/>
  <c r="AC39" i="4"/>
  <c r="AE40" i="4" s="1"/>
  <c r="AO40" i="4" s="1"/>
  <c r="AB39" i="4"/>
  <c r="AD40" i="4" s="1"/>
  <c r="AO23" i="4"/>
  <c r="L39" i="4"/>
  <c r="W39" i="4"/>
  <c r="Y40" i="4" s="1"/>
  <c r="Q39" i="4"/>
  <c r="AF39" i="4"/>
  <c r="AH40" i="4" s="1"/>
  <c r="D39" i="4"/>
  <c r="AK39" i="4"/>
  <c r="R39" i="4"/>
  <c r="AA39" i="5"/>
  <c r="AA38" i="5"/>
  <c r="AA42" i="5" s="1"/>
  <c r="AA44" i="5" s="1"/>
  <c r="AA40" i="5"/>
  <c r="I13" i="8"/>
  <c r="K40" i="4"/>
  <c r="K14" i="8" s="1"/>
  <c r="T42" i="5"/>
  <c r="T44" i="5" s="1"/>
  <c r="AN22" i="4"/>
  <c r="K13" i="8"/>
  <c r="M40" i="4"/>
  <c r="M14" i="8" s="1"/>
  <c r="AF37" i="5"/>
  <c r="AF47" i="5"/>
  <c r="AF48" i="5" s="1"/>
  <c r="AM38" i="5"/>
  <c r="AM42" i="5" s="1"/>
  <c r="AM44" i="5" s="1"/>
  <c r="AM40" i="5"/>
  <c r="AM39" i="5"/>
  <c r="AL38" i="5"/>
  <c r="AL42" i="5" s="1"/>
  <c r="AL44" i="5" s="1"/>
  <c r="AL39" i="5"/>
  <c r="AL40" i="5"/>
  <c r="F40" i="5"/>
  <c r="F39" i="5"/>
  <c r="F38" i="5"/>
  <c r="F42" i="5" s="1"/>
  <c r="F44" i="5" s="1"/>
  <c r="J13" i="8"/>
  <c r="L40" i="4"/>
  <c r="L14" i="8" s="1"/>
  <c r="C39" i="4"/>
  <c r="AM23" i="4"/>
  <c r="P39" i="5"/>
  <c r="P40" i="5"/>
  <c r="AO40" i="5" s="1"/>
  <c r="P38" i="5"/>
  <c r="W38" i="5"/>
  <c r="W40" i="5"/>
  <c r="W39" i="5"/>
  <c r="P39" i="4"/>
  <c r="AB38" i="5"/>
  <c r="AB39" i="5"/>
  <c r="AB40" i="5"/>
  <c r="AD39" i="4"/>
  <c r="AF40" i="4" s="1"/>
  <c r="AN23" i="4"/>
  <c r="O39" i="4"/>
  <c r="AE38" i="5"/>
  <c r="AE40" i="5"/>
  <c r="AE39" i="5"/>
  <c r="AC40" i="4"/>
  <c r="T39" i="4"/>
  <c r="J38" i="5"/>
  <c r="J39" i="5"/>
  <c r="J40" i="5"/>
  <c r="S38" i="5"/>
  <c r="S42" i="5" s="1"/>
  <c r="S44" i="5" s="1"/>
  <c r="S39" i="5"/>
  <c r="S40" i="5"/>
  <c r="G7" i="3"/>
  <c r="H7" i="3" s="1"/>
  <c r="D8" i="3" s="1"/>
  <c r="F7" i="3"/>
  <c r="E40" i="5"/>
  <c r="E39" i="5"/>
  <c r="E38" i="5"/>
  <c r="E42" i="5" s="1"/>
  <c r="E44" i="5" s="1"/>
  <c r="AI39" i="4"/>
  <c r="AK40" i="4" s="1"/>
  <c r="AK38" i="5"/>
  <c r="AK42" i="5" s="1"/>
  <c r="AK44" i="5" s="1"/>
  <c r="AK39" i="5"/>
  <c r="AK40" i="5"/>
  <c r="Y40" i="5"/>
  <c r="Y39" i="5"/>
  <c r="Y38" i="5"/>
  <c r="Y42" i="5" s="1"/>
  <c r="Y44" i="5" s="1"/>
  <c r="AH40" i="5"/>
  <c r="AH39" i="5"/>
  <c r="AH38" i="5"/>
  <c r="M40" i="5"/>
  <c r="M38" i="5"/>
  <c r="M39" i="5"/>
  <c r="N40" i="5"/>
  <c r="N39" i="5"/>
  <c r="N38" i="5"/>
  <c r="N42" i="5" s="1"/>
  <c r="N44" i="5" s="1"/>
  <c r="AG39" i="4"/>
  <c r="AI40" i="4" s="1"/>
  <c r="AM22" i="4"/>
  <c r="U40" i="5"/>
  <c r="U38" i="5"/>
  <c r="U42" i="5" s="1"/>
  <c r="U44" i="5" s="1"/>
  <c r="U39" i="5"/>
  <c r="AJ39" i="4"/>
  <c r="AL40" i="4" s="1"/>
  <c r="AP18" i="5"/>
  <c r="X39" i="5"/>
  <c r="X40" i="5"/>
  <c r="X38" i="5"/>
  <c r="X42" i="5" s="1"/>
  <c r="X44" i="5" s="1"/>
  <c r="AI39" i="5"/>
  <c r="AI38" i="5"/>
  <c r="AI40" i="5"/>
  <c r="R39" i="5"/>
  <c r="R38" i="5"/>
  <c r="R40" i="5"/>
  <c r="AJ39" i="5"/>
  <c r="AJ38" i="5"/>
  <c r="AJ42" i="5" s="1"/>
  <c r="AJ44" i="5" s="1"/>
  <c r="AJ40" i="5"/>
  <c r="AG40" i="5"/>
  <c r="AG39" i="5"/>
  <c r="AG38" i="5"/>
  <c r="K38" i="5"/>
  <c r="K39" i="5"/>
  <c r="K40" i="5"/>
  <c r="Q40" i="5"/>
  <c r="Q39" i="5"/>
  <c r="Q38" i="5"/>
  <c r="Z39" i="5"/>
  <c r="Z38" i="5"/>
  <c r="Z40" i="5"/>
  <c r="H39" i="5"/>
  <c r="H38" i="5"/>
  <c r="H40" i="5"/>
  <c r="AH39" i="4"/>
  <c r="AJ40" i="4" s="1"/>
  <c r="U39" i="4"/>
  <c r="W40" i="4" s="1"/>
  <c r="V39" i="4"/>
  <c r="X40" i="4" s="1"/>
  <c r="I40" i="5"/>
  <c r="I39" i="5"/>
  <c r="I38" i="5"/>
  <c r="I42" i="5" s="1"/>
  <c r="I44" i="5" s="1"/>
  <c r="AC38" i="5"/>
  <c r="AC40" i="5"/>
  <c r="AC39" i="5"/>
  <c r="G39" i="5"/>
  <c r="G40" i="5"/>
  <c r="G38" i="5"/>
  <c r="G42" i="5" s="1"/>
  <c r="G44" i="5" s="1"/>
  <c r="L40" i="5"/>
  <c r="L38" i="5"/>
  <c r="L39" i="5"/>
  <c r="O38" i="5"/>
  <c r="O40" i="5"/>
  <c r="O39" i="5"/>
  <c r="D40" i="5"/>
  <c r="D38" i="5"/>
  <c r="D39" i="5"/>
  <c r="AD42" i="5"/>
  <c r="AD44" i="5" s="1"/>
  <c r="Q36" i="6" l="1"/>
  <c r="Q35" i="7"/>
  <c r="AB54" i="7"/>
  <c r="AB72" i="6"/>
  <c r="AB72" i="7" s="1"/>
  <c r="AN36" i="6"/>
  <c r="AN35" i="7"/>
  <c r="AO36" i="6"/>
  <c r="AO35" i="7"/>
  <c r="M54" i="7"/>
  <c r="M72" i="6"/>
  <c r="M72" i="7" s="1"/>
  <c r="AL36" i="6"/>
  <c r="AL35" i="7"/>
  <c r="AN54" i="7"/>
  <c r="AN72" i="6"/>
  <c r="AN72" i="7" s="1"/>
  <c r="I54" i="7"/>
  <c r="I72" i="6"/>
  <c r="I72" i="7" s="1"/>
  <c r="I36" i="6"/>
  <c r="I35" i="7"/>
  <c r="AG36" i="6"/>
  <c r="AG35" i="7"/>
  <c r="Q54" i="7"/>
  <c r="Q72" i="6"/>
  <c r="Q72" i="7" s="1"/>
  <c r="AB36" i="6"/>
  <c r="AB35" i="7"/>
  <c r="N54" i="7"/>
  <c r="N72" i="6"/>
  <c r="N72" i="7" s="1"/>
  <c r="E36" i="6"/>
  <c r="E35" i="7"/>
  <c r="AA54" i="7"/>
  <c r="AA72" i="6"/>
  <c r="AA72" i="7" s="1"/>
  <c r="P54" i="7"/>
  <c r="P72" i="6"/>
  <c r="P72" i="7" s="1"/>
  <c r="F36" i="6"/>
  <c r="F35" i="7"/>
  <c r="Z36" i="6"/>
  <c r="Z35" i="7"/>
  <c r="F54" i="7"/>
  <c r="F72" i="6"/>
  <c r="F72" i="7" s="1"/>
  <c r="Z54" i="7"/>
  <c r="Z72" i="6"/>
  <c r="Z72" i="7" s="1"/>
  <c r="AG54" i="7"/>
  <c r="AG72" i="6"/>
  <c r="AG72" i="7" s="1"/>
  <c r="W54" i="7"/>
  <c r="W72" i="6"/>
  <c r="W72" i="7" s="1"/>
  <c r="AL54" i="7"/>
  <c r="AL72" i="6"/>
  <c r="AL72" i="7" s="1"/>
  <c r="AM36" i="6"/>
  <c r="AM35" i="7"/>
  <c r="X36" i="6"/>
  <c r="X35" i="7"/>
  <c r="J54" i="7"/>
  <c r="J72" i="6"/>
  <c r="J72" i="7" s="1"/>
  <c r="AC36" i="6"/>
  <c r="AC35" i="7"/>
  <c r="AF54" i="7"/>
  <c r="AF72" i="6"/>
  <c r="AF72" i="7" s="1"/>
  <c r="AD54" i="7"/>
  <c r="AD72" i="6"/>
  <c r="AD72" i="7" s="1"/>
  <c r="K36" i="6"/>
  <c r="K35" i="7"/>
  <c r="AE54" i="7"/>
  <c r="AE72" i="6"/>
  <c r="AE72" i="7" s="1"/>
  <c r="L54" i="7"/>
  <c r="L72" i="6"/>
  <c r="L72" i="7" s="1"/>
  <c r="C35" i="7"/>
  <c r="C36" i="6"/>
  <c r="AE36" i="6"/>
  <c r="AE35" i="7"/>
  <c r="K54" i="7"/>
  <c r="K72" i="6"/>
  <c r="K72" i="7" s="1"/>
  <c r="AK54" i="7"/>
  <c r="AK72" i="6"/>
  <c r="AK72" i="7" s="1"/>
  <c r="V54" i="7"/>
  <c r="V72" i="6"/>
  <c r="V72" i="7" s="1"/>
  <c r="R54" i="7"/>
  <c r="R72" i="6"/>
  <c r="R72" i="7" s="1"/>
  <c r="R36" i="6"/>
  <c r="R35" i="7"/>
  <c r="AO54" i="7"/>
  <c r="AO72" i="6"/>
  <c r="AO72" i="7" s="1"/>
  <c r="G36" i="6"/>
  <c r="G35" i="7"/>
  <c r="H36" i="6"/>
  <c r="H35" i="7"/>
  <c r="U36" i="6"/>
  <c r="U35" i="7"/>
  <c r="AI54" i="7"/>
  <c r="AI72" i="6"/>
  <c r="AI72" i="7" s="1"/>
  <c r="AK36" i="6"/>
  <c r="AK35" i="7"/>
  <c r="AA36" i="6"/>
  <c r="AA35" i="7"/>
  <c r="O36" i="6"/>
  <c r="O35" i="7"/>
  <c r="C54" i="7"/>
  <c r="C72" i="6"/>
  <c r="C72" i="7" s="1"/>
  <c r="U54" i="7"/>
  <c r="U72" i="6"/>
  <c r="U72" i="7" s="1"/>
  <c r="AC54" i="7"/>
  <c r="AC72" i="6"/>
  <c r="AC72" i="7" s="1"/>
  <c r="P36" i="6"/>
  <c r="P35" i="7"/>
  <c r="L36" i="6"/>
  <c r="L35" i="7"/>
  <c r="AH54" i="7"/>
  <c r="AH72" i="6"/>
  <c r="AH72" i="7" s="1"/>
  <c r="AJ36" i="6"/>
  <c r="AJ35" i="7"/>
  <c r="Y54" i="7"/>
  <c r="Y72" i="6"/>
  <c r="Y72" i="7" s="1"/>
  <c r="N36" i="6"/>
  <c r="N35" i="7"/>
  <c r="Y36" i="6"/>
  <c r="Y35" i="7"/>
  <c r="D54" i="7"/>
  <c r="D72" i="6"/>
  <c r="D72" i="7" s="1"/>
  <c r="AF36" i="6"/>
  <c r="AF35" i="7"/>
  <c r="T36" i="6"/>
  <c r="T35" i="7"/>
  <c r="O54" i="7"/>
  <c r="O72" i="6"/>
  <c r="O72" i="7" s="1"/>
  <c r="AJ54" i="7"/>
  <c r="AJ72" i="6"/>
  <c r="AJ72" i="7" s="1"/>
  <c r="H54" i="7"/>
  <c r="H72" i="6"/>
  <c r="H72" i="7" s="1"/>
  <c r="X54" i="7"/>
  <c r="X72" i="6"/>
  <c r="X72" i="7" s="1"/>
  <c r="J36" i="6"/>
  <c r="J35" i="7"/>
  <c r="G54" i="7"/>
  <c r="G72" i="6"/>
  <c r="G72" i="7" s="1"/>
  <c r="S36" i="6"/>
  <c r="S35" i="7"/>
  <c r="AH36" i="6"/>
  <c r="AH35" i="7"/>
  <c r="M36" i="6"/>
  <c r="M35" i="7"/>
  <c r="T54" i="7"/>
  <c r="T72" i="6"/>
  <c r="T72" i="7" s="1"/>
  <c r="S54" i="7"/>
  <c r="S72" i="6"/>
  <c r="S72" i="7" s="1"/>
  <c r="V36" i="6"/>
  <c r="V35" i="7"/>
  <c r="D36" i="6"/>
  <c r="D35" i="7"/>
  <c r="AM54" i="7"/>
  <c r="AM72" i="6"/>
  <c r="AM72" i="7" s="1"/>
  <c r="W36" i="6"/>
  <c r="W35" i="7"/>
  <c r="E54" i="7"/>
  <c r="E72" i="6"/>
  <c r="E72" i="7" s="1"/>
  <c r="AD36" i="6"/>
  <c r="AD35" i="7"/>
  <c r="AI36" i="6"/>
  <c r="AI35" i="7"/>
  <c r="G8" i="3"/>
  <c r="H8" i="3" s="1"/>
  <c r="D9" i="3" s="1"/>
  <c r="F8" i="3"/>
  <c r="M13" i="8"/>
  <c r="O40" i="4"/>
  <c r="AO38" i="5"/>
  <c r="P42" i="5"/>
  <c r="K42" i="5"/>
  <c r="K44" i="5" s="1"/>
  <c r="N13" i="8"/>
  <c r="P40" i="4"/>
  <c r="P14" i="8" s="1"/>
  <c r="J42" i="5"/>
  <c r="J44" i="5" s="1"/>
  <c r="D13" i="8"/>
  <c r="F40" i="4"/>
  <c r="F14" i="8" s="1"/>
  <c r="AN40" i="5"/>
  <c r="H42" i="5"/>
  <c r="H44" i="5" s="1"/>
  <c r="AI42" i="5"/>
  <c r="AI44" i="5" s="1"/>
  <c r="O42" i="5"/>
  <c r="O44" i="5" s="1"/>
  <c r="Z42" i="5"/>
  <c r="Z44" i="5" s="1"/>
  <c r="AC42" i="5"/>
  <c r="AC44" i="5" s="1"/>
  <c r="M42" i="5"/>
  <c r="M44" i="5" s="1"/>
  <c r="AE42" i="5"/>
  <c r="AE44" i="5" s="1"/>
  <c r="AB42" i="5"/>
  <c r="AO39" i="5"/>
  <c r="AF39" i="5"/>
  <c r="AP39" i="5" s="1"/>
  <c r="AF40" i="5"/>
  <c r="AP40" i="5" s="1"/>
  <c r="AF38" i="5"/>
  <c r="AF42" i="5" s="1"/>
  <c r="AF44" i="5" s="1"/>
  <c r="L42" i="5"/>
  <c r="L44" i="5" s="1"/>
  <c r="R42" i="5"/>
  <c r="R44" i="5" s="1"/>
  <c r="O13" i="8"/>
  <c r="Q16" i="8"/>
  <c r="Q40" i="4"/>
  <c r="Q14" i="8" s="1"/>
  <c r="AN39" i="4"/>
  <c r="P13" i="8"/>
  <c r="R16" i="8"/>
  <c r="R40" i="4"/>
  <c r="R14" i="8" s="1"/>
  <c r="C27" i="4"/>
  <c r="E27" i="4" s="1"/>
  <c r="L13" i="8"/>
  <c r="N40" i="4"/>
  <c r="N14" i="8" s="1"/>
  <c r="AN39" i="5"/>
  <c r="Q42" i="5"/>
  <c r="Q44" i="5" s="1"/>
  <c r="AG42" i="5"/>
  <c r="AG44" i="5" s="1"/>
  <c r="AH42" i="5"/>
  <c r="AH44" i="5" s="1"/>
  <c r="C28" i="4"/>
  <c r="E28" i="4" s="1"/>
  <c r="P16" i="8"/>
  <c r="C13" i="8"/>
  <c r="C17" i="8" s="1"/>
  <c r="E40" i="4"/>
  <c r="AM39" i="4"/>
  <c r="C41" i="4"/>
  <c r="E13" i="8"/>
  <c r="G40" i="4"/>
  <c r="G14" i="8" s="1"/>
  <c r="C29" i="4"/>
  <c r="E29" i="4" s="1"/>
  <c r="T13" i="8"/>
  <c r="V40" i="4"/>
  <c r="U40" i="4"/>
  <c r="S13" i="8"/>
  <c r="D42" i="5"/>
  <c r="AN38" i="5"/>
  <c r="AO39" i="4"/>
  <c r="W42" i="5"/>
  <c r="W44" i="5" s="1"/>
  <c r="R13" i="8"/>
  <c r="T16" i="8"/>
  <c r="T40" i="4"/>
  <c r="T14" i="8" s="1"/>
  <c r="S16" i="8"/>
  <c r="Q13" i="8"/>
  <c r="S40" i="4"/>
  <c r="S14" i="8" s="1"/>
  <c r="AD37" i="6" l="1"/>
  <c r="AD37" i="7" s="1"/>
  <c r="AD36" i="7"/>
  <c r="AD74" i="6"/>
  <c r="D37" i="6"/>
  <c r="D37" i="7" s="1"/>
  <c r="D36" i="7"/>
  <c r="D74" i="6"/>
  <c r="M37" i="6"/>
  <c r="M37" i="7" s="1"/>
  <c r="M36" i="7"/>
  <c r="M74" i="6"/>
  <c r="J37" i="6"/>
  <c r="J37" i="7" s="1"/>
  <c r="J36" i="7"/>
  <c r="J74" i="6"/>
  <c r="Y37" i="6"/>
  <c r="Y37" i="7" s="1"/>
  <c r="Y36" i="7"/>
  <c r="Y74" i="6"/>
  <c r="G37" i="6"/>
  <c r="G37" i="7" s="1"/>
  <c r="G36" i="7"/>
  <c r="G74" i="6"/>
  <c r="V37" i="6"/>
  <c r="V37" i="7" s="1"/>
  <c r="V36" i="7"/>
  <c r="V74" i="6"/>
  <c r="AH37" i="6"/>
  <c r="AH37" i="7" s="1"/>
  <c r="AH36" i="7"/>
  <c r="AH74" i="6"/>
  <c r="T37" i="6"/>
  <c r="T37" i="7" s="1"/>
  <c r="T36" i="7"/>
  <c r="T74" i="6"/>
  <c r="N37" i="6"/>
  <c r="N37" i="7" s="1"/>
  <c r="N36" i="7"/>
  <c r="N74" i="6"/>
  <c r="L37" i="6"/>
  <c r="L37" i="7" s="1"/>
  <c r="L36" i="7"/>
  <c r="L74" i="6"/>
  <c r="AM37" i="6"/>
  <c r="AM37" i="7" s="1"/>
  <c r="AM36" i="7"/>
  <c r="AM74" i="6"/>
  <c r="AB37" i="6"/>
  <c r="AB37" i="7" s="1"/>
  <c r="AB36" i="7"/>
  <c r="AB74" i="6"/>
  <c r="AO37" i="6"/>
  <c r="AO37" i="7" s="1"/>
  <c r="AO36" i="7"/>
  <c r="AO74" i="6"/>
  <c r="AF37" i="6"/>
  <c r="AF37" i="7" s="1"/>
  <c r="AF36" i="7"/>
  <c r="AF74" i="6"/>
  <c r="P37" i="6"/>
  <c r="P37" i="7" s="1"/>
  <c r="P36" i="7"/>
  <c r="P74" i="6"/>
  <c r="O37" i="6"/>
  <c r="O37" i="7" s="1"/>
  <c r="O36" i="7"/>
  <c r="O74" i="6"/>
  <c r="U37" i="6"/>
  <c r="U37" i="7" s="1"/>
  <c r="U36" i="7"/>
  <c r="U74" i="6"/>
  <c r="R37" i="6"/>
  <c r="R37" i="7" s="1"/>
  <c r="R36" i="7"/>
  <c r="R74" i="6"/>
  <c r="AC37" i="6"/>
  <c r="AC37" i="7" s="1"/>
  <c r="AC36" i="7"/>
  <c r="AC74" i="6"/>
  <c r="AN37" i="6"/>
  <c r="AN37" i="7" s="1"/>
  <c r="AN36" i="7"/>
  <c r="AN74" i="6"/>
  <c r="W37" i="6"/>
  <c r="W37" i="7" s="1"/>
  <c r="W36" i="7"/>
  <c r="W74" i="6"/>
  <c r="S37" i="6"/>
  <c r="S37" i="7" s="1"/>
  <c r="S36" i="7"/>
  <c r="S74" i="6"/>
  <c r="AI37" i="6"/>
  <c r="AI37" i="7" s="1"/>
  <c r="AI36" i="7"/>
  <c r="AI74" i="6"/>
  <c r="AJ37" i="6"/>
  <c r="AJ37" i="7" s="1"/>
  <c r="AJ36" i="7"/>
  <c r="AJ74" i="6"/>
  <c r="AA37" i="6"/>
  <c r="AA37" i="7" s="1"/>
  <c r="AA36" i="7"/>
  <c r="AA74" i="6"/>
  <c r="H37" i="6"/>
  <c r="H37" i="7" s="1"/>
  <c r="H36" i="7"/>
  <c r="H74" i="6"/>
  <c r="AE37" i="6"/>
  <c r="AE37" i="7" s="1"/>
  <c r="AE36" i="7"/>
  <c r="AE74" i="6"/>
  <c r="K37" i="6"/>
  <c r="K37" i="7" s="1"/>
  <c r="K36" i="7"/>
  <c r="K74" i="6"/>
  <c r="Z37" i="6"/>
  <c r="Z37" i="7" s="1"/>
  <c r="Z36" i="7"/>
  <c r="Z74" i="6"/>
  <c r="E37" i="6"/>
  <c r="E37" i="7" s="1"/>
  <c r="E36" i="7"/>
  <c r="E74" i="6"/>
  <c r="AG37" i="6"/>
  <c r="AG37" i="7" s="1"/>
  <c r="AG36" i="7"/>
  <c r="AG74" i="6"/>
  <c r="AL37" i="6"/>
  <c r="AL37" i="7" s="1"/>
  <c r="AL36" i="7"/>
  <c r="AL74" i="6"/>
  <c r="C36" i="7"/>
  <c r="C74" i="6"/>
  <c r="C37" i="6"/>
  <c r="C37" i="7" s="1"/>
  <c r="AK37" i="6"/>
  <c r="AK37" i="7" s="1"/>
  <c r="AK36" i="7"/>
  <c r="AK74" i="6"/>
  <c r="X37" i="6"/>
  <c r="X37" i="7" s="1"/>
  <c r="X36" i="7"/>
  <c r="X74" i="6"/>
  <c r="F37" i="6"/>
  <c r="F37" i="7" s="1"/>
  <c r="F36" i="7"/>
  <c r="F74" i="6"/>
  <c r="I37" i="6"/>
  <c r="I37" i="7" s="1"/>
  <c r="I36" i="7"/>
  <c r="I74" i="6"/>
  <c r="Q37" i="6"/>
  <c r="Q37" i="7" s="1"/>
  <c r="Q36" i="7"/>
  <c r="Q74" i="6"/>
  <c r="F9" i="3"/>
  <c r="G9" i="3" s="1"/>
  <c r="AP38" i="5"/>
  <c r="AP42" i="5"/>
  <c r="AB44" i="5"/>
  <c r="AP44" i="5" s="1"/>
  <c r="O14" i="8"/>
  <c r="AN40" i="4"/>
  <c r="AO42" i="5"/>
  <c r="P44" i="5"/>
  <c r="AO44" i="5" s="1"/>
  <c r="AN42" i="5"/>
  <c r="D44" i="5"/>
  <c r="AN44" i="5" s="1"/>
  <c r="C15" i="8"/>
  <c r="D41" i="4"/>
  <c r="E14" i="8"/>
  <c r="AM40" i="4"/>
  <c r="D17" i="8"/>
  <c r="E17" i="8" s="1"/>
  <c r="F17" i="8" s="1"/>
  <c r="G17" i="8" s="1"/>
  <c r="H17" i="8" s="1"/>
  <c r="I17" i="8" s="1"/>
  <c r="J17" i="8" s="1"/>
  <c r="K17" i="8" s="1"/>
  <c r="L17" i="8" s="1"/>
  <c r="M17" i="8" s="1"/>
  <c r="N17" i="8" s="1"/>
  <c r="O17" i="8" s="1"/>
  <c r="P17" i="8" s="1"/>
  <c r="Q17" i="8" s="1"/>
  <c r="R17" i="8" s="1"/>
  <c r="S17" i="8" s="1"/>
  <c r="T17" i="8" s="1"/>
  <c r="AK85" i="6" l="1"/>
  <c r="AK74" i="7"/>
  <c r="AK75" i="6"/>
  <c r="AK75" i="7" s="1"/>
  <c r="H74" i="7"/>
  <c r="H75" i="6"/>
  <c r="H75" i="7" s="1"/>
  <c r="H85" i="6"/>
  <c r="AG74" i="7"/>
  <c r="AG75" i="6"/>
  <c r="AG75" i="7" s="1"/>
  <c r="AG85" i="6"/>
  <c r="AI75" i="6"/>
  <c r="AI75" i="7" s="1"/>
  <c r="AI74" i="7"/>
  <c r="AI85" i="6"/>
  <c r="P74" i="7"/>
  <c r="P75" i="6"/>
  <c r="P75" i="7" s="1"/>
  <c r="P85" i="6"/>
  <c r="AH75" i="6"/>
  <c r="AH75" i="7" s="1"/>
  <c r="AH74" i="7"/>
  <c r="AH85" i="6"/>
  <c r="AB85" i="6"/>
  <c r="AB74" i="7"/>
  <c r="AB75" i="6"/>
  <c r="AB75" i="7" s="1"/>
  <c r="Y74" i="7"/>
  <c r="Y75" i="6"/>
  <c r="Y75" i="7" s="1"/>
  <c r="Y85" i="6"/>
  <c r="D85" i="6"/>
  <c r="D74" i="7"/>
  <c r="D75" i="6"/>
  <c r="D75" i="7" s="1"/>
  <c r="AA75" i="6"/>
  <c r="AA75" i="7" s="1"/>
  <c r="AA74" i="7"/>
  <c r="AA85" i="6"/>
  <c r="U85" i="6"/>
  <c r="U74" i="7"/>
  <c r="U75" i="6"/>
  <c r="U75" i="7" s="1"/>
  <c r="N85" i="6"/>
  <c r="N74" i="7"/>
  <c r="N75" i="6"/>
  <c r="N75" i="7" s="1"/>
  <c r="Q74" i="7"/>
  <c r="Q75" i="6"/>
  <c r="Q75" i="7" s="1"/>
  <c r="Q85" i="6"/>
  <c r="S75" i="6"/>
  <c r="S75" i="7" s="1"/>
  <c r="S74" i="7"/>
  <c r="S85" i="6"/>
  <c r="AF74" i="7"/>
  <c r="AF75" i="6"/>
  <c r="AF75" i="7" s="1"/>
  <c r="AF85" i="6"/>
  <c r="V85" i="6"/>
  <c r="V74" i="7"/>
  <c r="V75" i="6"/>
  <c r="V75" i="7" s="1"/>
  <c r="F85" i="6"/>
  <c r="F74" i="7"/>
  <c r="F75" i="6"/>
  <c r="F75" i="7" s="1"/>
  <c r="K75" i="6"/>
  <c r="K75" i="7" s="1"/>
  <c r="K74" i="7"/>
  <c r="K85" i="6"/>
  <c r="AN74" i="7"/>
  <c r="AN75" i="6"/>
  <c r="AN75" i="7" s="1"/>
  <c r="AN85" i="6"/>
  <c r="C85" i="6"/>
  <c r="C74" i="7"/>
  <c r="C75" i="6"/>
  <c r="C75" i="7" s="1"/>
  <c r="E85" i="6"/>
  <c r="E74" i="7"/>
  <c r="E75" i="6"/>
  <c r="E75" i="7" s="1"/>
  <c r="X74" i="7"/>
  <c r="X75" i="6"/>
  <c r="X75" i="7" s="1"/>
  <c r="X85" i="6"/>
  <c r="J75" i="6"/>
  <c r="J75" i="7" s="1"/>
  <c r="J74" i="7"/>
  <c r="J85" i="6"/>
  <c r="AE85" i="6"/>
  <c r="AE74" i="7"/>
  <c r="AE75" i="6"/>
  <c r="AE75" i="7" s="1"/>
  <c r="AL85" i="6"/>
  <c r="AL74" i="7"/>
  <c r="AL75" i="6"/>
  <c r="AL75" i="7" s="1"/>
  <c r="AJ85" i="6"/>
  <c r="AJ74" i="7"/>
  <c r="AJ75" i="6"/>
  <c r="AJ75" i="7" s="1"/>
  <c r="O85" i="6"/>
  <c r="O74" i="7"/>
  <c r="O75" i="6"/>
  <c r="O75" i="7" s="1"/>
  <c r="T85" i="6"/>
  <c r="T74" i="7"/>
  <c r="T75" i="6"/>
  <c r="T75" i="7" s="1"/>
  <c r="AD85" i="6"/>
  <c r="AD74" i="7"/>
  <c r="AD75" i="6"/>
  <c r="AD75" i="7" s="1"/>
  <c r="AC85" i="6"/>
  <c r="AC74" i="7"/>
  <c r="AC75" i="6"/>
  <c r="AC75" i="7" s="1"/>
  <c r="AM85" i="6"/>
  <c r="AM74" i="7"/>
  <c r="AM75" i="6"/>
  <c r="AM75" i="7" s="1"/>
  <c r="I74" i="7"/>
  <c r="I75" i="6"/>
  <c r="I75" i="7" s="1"/>
  <c r="I85" i="6"/>
  <c r="Z75" i="6"/>
  <c r="Z75" i="7" s="1"/>
  <c r="Z74" i="7"/>
  <c r="Z85" i="6"/>
  <c r="W85" i="6"/>
  <c r="W74" i="7"/>
  <c r="W75" i="6"/>
  <c r="W75" i="7" s="1"/>
  <c r="AO74" i="7"/>
  <c r="AO75" i="6"/>
  <c r="AO75" i="7" s="1"/>
  <c r="AO85" i="6"/>
  <c r="G85" i="6"/>
  <c r="G74" i="7"/>
  <c r="G75" i="6"/>
  <c r="G75" i="7" s="1"/>
  <c r="R75" i="6"/>
  <c r="R75" i="7" s="1"/>
  <c r="R74" i="7"/>
  <c r="R85" i="6"/>
  <c r="L85" i="6"/>
  <c r="L74" i="7"/>
  <c r="L75" i="6"/>
  <c r="L75" i="7" s="1"/>
  <c r="M85" i="6"/>
  <c r="M74" i="7"/>
  <c r="M75" i="6"/>
  <c r="M75" i="7" s="1"/>
  <c r="H9" i="3"/>
  <c r="D10" i="3" s="1"/>
  <c r="B23" i="8"/>
  <c r="D15" i="8"/>
  <c r="E41" i="4"/>
  <c r="U17" i="8"/>
  <c r="I85" i="7" l="1"/>
  <c r="I86" i="6"/>
  <c r="I86" i="7" s="1"/>
  <c r="AC85" i="7"/>
  <c r="AC86" i="6"/>
  <c r="AC86" i="7" s="1"/>
  <c r="Y85" i="7"/>
  <c r="Y86" i="6"/>
  <c r="U85" i="7"/>
  <c r="U86" i="6"/>
  <c r="U86" i="7" s="1"/>
  <c r="P85" i="7"/>
  <c r="P86" i="6"/>
  <c r="P86" i="7" s="1"/>
  <c r="Q85" i="7"/>
  <c r="Q86" i="6"/>
  <c r="AE85" i="7"/>
  <c r="AE86" i="6"/>
  <c r="AE86" i="7" s="1"/>
  <c r="K85" i="7"/>
  <c r="K86" i="6"/>
  <c r="K86" i="7" s="1"/>
  <c r="V85" i="7"/>
  <c r="V86" i="6"/>
  <c r="V86" i="7" s="1"/>
  <c r="AA85" i="7"/>
  <c r="AA86" i="6"/>
  <c r="H85" i="7"/>
  <c r="H86" i="6"/>
  <c r="L85" i="7"/>
  <c r="L86" i="6"/>
  <c r="L86" i="7" s="1"/>
  <c r="R85" i="7"/>
  <c r="R86" i="6"/>
  <c r="R86" i="7" s="1"/>
  <c r="O85" i="7"/>
  <c r="O86" i="6"/>
  <c r="O86" i="7" s="1"/>
  <c r="AD85" i="7"/>
  <c r="AD86" i="6"/>
  <c r="AD86" i="7" s="1"/>
  <c r="J85" i="7"/>
  <c r="J86" i="6"/>
  <c r="J86" i="7" s="1"/>
  <c r="E85" i="7"/>
  <c r="E86" i="6"/>
  <c r="AF85" i="7"/>
  <c r="AF86" i="6"/>
  <c r="AJ85" i="7"/>
  <c r="AJ86" i="6"/>
  <c r="AJ86" i="7" s="1"/>
  <c r="AI85" i="7"/>
  <c r="AI86" i="6"/>
  <c r="AI86" i="7" s="1"/>
  <c r="M85" i="7"/>
  <c r="M86" i="6"/>
  <c r="M86" i="7" s="1"/>
  <c r="AB85" i="7"/>
  <c r="AB86" i="6"/>
  <c r="Z85" i="7"/>
  <c r="Z86" i="6"/>
  <c r="N85" i="7"/>
  <c r="N86" i="6"/>
  <c r="AH85" i="7"/>
  <c r="AH86" i="6"/>
  <c r="AH86" i="7" s="1"/>
  <c r="W85" i="7"/>
  <c r="W86" i="6"/>
  <c r="W86" i="7" s="1"/>
  <c r="AM85" i="7"/>
  <c r="AM86" i="6"/>
  <c r="G85" i="7"/>
  <c r="G86" i="6"/>
  <c r="T85" i="7"/>
  <c r="T86" i="6"/>
  <c r="T86" i="7" s="1"/>
  <c r="X85" i="7"/>
  <c r="X86" i="6"/>
  <c r="C85" i="7"/>
  <c r="C86" i="6"/>
  <c r="C86" i="7" s="1"/>
  <c r="S85" i="7"/>
  <c r="S86" i="6"/>
  <c r="S86" i="7" s="1"/>
  <c r="AO85" i="7"/>
  <c r="AO86" i="6"/>
  <c r="AO86" i="7" s="1"/>
  <c r="AL85" i="7"/>
  <c r="AL86" i="6"/>
  <c r="AL86" i="7" s="1"/>
  <c r="AN85" i="7"/>
  <c r="AN86" i="6"/>
  <c r="F85" i="7"/>
  <c r="F86" i="6"/>
  <c r="F86" i="7" s="1"/>
  <c r="D85" i="7"/>
  <c r="D86" i="6"/>
  <c r="D86" i="7" s="1"/>
  <c r="AG85" i="7"/>
  <c r="AG86" i="6"/>
  <c r="AK85" i="7"/>
  <c r="AK86" i="6"/>
  <c r="AK86" i="7" s="1"/>
  <c r="E15" i="8"/>
  <c r="F41" i="4"/>
  <c r="F10" i="3"/>
  <c r="G10" i="3" s="1"/>
  <c r="H10" i="3" s="1"/>
  <c r="D11" i="3" s="1"/>
  <c r="K87" i="6" l="1"/>
  <c r="K87" i="7" s="1"/>
  <c r="U87" i="6"/>
  <c r="U87" i="7" s="1"/>
  <c r="S87" i="6"/>
  <c r="S87" i="7" s="1"/>
  <c r="AC87" i="6"/>
  <c r="AC87" i="7" s="1"/>
  <c r="AJ87" i="6"/>
  <c r="AJ87" i="7" s="1"/>
  <c r="C87" i="6"/>
  <c r="C87" i="7" s="1"/>
  <c r="AO87" i="6"/>
  <c r="AO87" i="7" s="1"/>
  <c r="AI87" i="6"/>
  <c r="AI87" i="7" s="1"/>
  <c r="R87" i="6"/>
  <c r="R87" i="7" s="1"/>
  <c r="T87" i="6"/>
  <c r="T87" i="7" s="1"/>
  <c r="P87" i="6"/>
  <c r="P87" i="7" s="1"/>
  <c r="AK87" i="6"/>
  <c r="AK87" i="7" s="1"/>
  <c r="AH87" i="6"/>
  <c r="AH87" i="7" s="1"/>
  <c r="AF87" i="6"/>
  <c r="AF87" i="7" s="1"/>
  <c r="AF86" i="7"/>
  <c r="L87" i="6"/>
  <c r="L87" i="7" s="1"/>
  <c r="Q87" i="6"/>
  <c r="Q87" i="7" s="1"/>
  <c r="Q86" i="7"/>
  <c r="Y87" i="6"/>
  <c r="Y87" i="7" s="1"/>
  <c r="Y86" i="7"/>
  <c r="N87" i="6"/>
  <c r="N87" i="7" s="1"/>
  <c r="N86" i="7"/>
  <c r="W87" i="6"/>
  <c r="W87" i="7" s="1"/>
  <c r="Z87" i="6"/>
  <c r="Z87" i="7" s="1"/>
  <c r="Z86" i="7"/>
  <c r="O87" i="6"/>
  <c r="O87" i="7" s="1"/>
  <c r="H87" i="6"/>
  <c r="H87" i="7" s="1"/>
  <c r="H86" i="7"/>
  <c r="AN87" i="6"/>
  <c r="AN87" i="7" s="1"/>
  <c r="AN86" i="7"/>
  <c r="AB87" i="6"/>
  <c r="AB87" i="7" s="1"/>
  <c r="AB86" i="7"/>
  <c r="AM87" i="6"/>
  <c r="AM87" i="7" s="1"/>
  <c r="AM86" i="7"/>
  <c r="F87" i="6"/>
  <c r="F87" i="7" s="1"/>
  <c r="X87" i="6"/>
  <c r="X87" i="7" s="1"/>
  <c r="X86" i="7"/>
  <c r="E87" i="6"/>
  <c r="E87" i="7" s="1"/>
  <c r="E86" i="7"/>
  <c r="AG87" i="6"/>
  <c r="AG87" i="7" s="1"/>
  <c r="AG86" i="7"/>
  <c r="J87" i="6"/>
  <c r="J87" i="7" s="1"/>
  <c r="AA87" i="6"/>
  <c r="AA87" i="7" s="1"/>
  <c r="AA86" i="7"/>
  <c r="D87" i="6"/>
  <c r="D87" i="7" s="1"/>
  <c r="AL87" i="6"/>
  <c r="AL87" i="7" s="1"/>
  <c r="AE87" i="6"/>
  <c r="AE87" i="7" s="1"/>
  <c r="I87" i="6"/>
  <c r="I87" i="7" s="1"/>
  <c r="G87" i="6"/>
  <c r="G87" i="7" s="1"/>
  <c r="G86" i="7"/>
  <c r="M87" i="6"/>
  <c r="M87" i="7" s="1"/>
  <c r="AD87" i="6"/>
  <c r="AD87" i="7" s="1"/>
  <c r="V87" i="6"/>
  <c r="V87" i="7" s="1"/>
  <c r="F11" i="3"/>
  <c r="G11" i="3"/>
  <c r="H11" i="3" s="1"/>
  <c r="D12" i="3" s="1"/>
  <c r="F15" i="8"/>
  <c r="G41" i="4"/>
  <c r="F12" i="3" l="1"/>
  <c r="G12" i="3" s="1"/>
  <c r="H12" i="3" s="1"/>
  <c r="D13" i="3" s="1"/>
  <c r="G15" i="8"/>
  <c r="H41" i="4"/>
  <c r="F13" i="3" l="1"/>
  <c r="G13" i="3" s="1"/>
  <c r="H13" i="3" s="1"/>
  <c r="D14" i="3" s="1"/>
  <c r="H15" i="8"/>
  <c r="I41" i="4"/>
  <c r="F14" i="3" l="1"/>
  <c r="G14" i="3"/>
  <c r="H14" i="3" s="1"/>
  <c r="D15" i="3" s="1"/>
  <c r="I15" i="8"/>
  <c r="J41" i="4"/>
  <c r="F15" i="3" l="1"/>
  <c r="G15" i="3" s="1"/>
  <c r="H15" i="3" s="1"/>
  <c r="D16" i="3" s="1"/>
  <c r="J15" i="8"/>
  <c r="K41" i="4"/>
  <c r="G16" i="3" l="1"/>
  <c r="B32" i="4" s="1"/>
  <c r="F16" i="3"/>
  <c r="K15" i="8"/>
  <c r="L41" i="4"/>
  <c r="L15" i="8" l="1"/>
  <c r="M41" i="4"/>
  <c r="C32" i="4"/>
  <c r="E32" i="4" s="1"/>
  <c r="F32" i="4"/>
  <c r="H16" i="3"/>
  <c r="D17" i="3" s="1"/>
  <c r="F17" i="3" l="1"/>
  <c r="G17" i="3" s="1"/>
  <c r="M15" i="8"/>
  <c r="N41" i="4"/>
  <c r="H17" i="3" l="1"/>
  <c r="D18" i="3" s="1"/>
  <c r="N15" i="8"/>
  <c r="O41" i="4"/>
  <c r="O15" i="8" l="1"/>
  <c r="P41" i="4"/>
  <c r="F18" i="3"/>
  <c r="G18" i="3" s="1"/>
  <c r="H18" i="3" l="1"/>
  <c r="D19" i="3" s="1"/>
  <c r="P15" i="8"/>
  <c r="Q41" i="4"/>
  <c r="Q15" i="8" l="1"/>
  <c r="R41" i="4"/>
  <c r="F19" i="3"/>
  <c r="G19" i="3" s="1"/>
  <c r="H19" i="3" l="1"/>
  <c r="D20" i="3" s="1"/>
  <c r="R15" i="8"/>
  <c r="S41" i="4"/>
  <c r="S15" i="8" l="1"/>
  <c r="T41" i="4"/>
  <c r="F20" i="3"/>
  <c r="G20" i="3"/>
  <c r="H20" i="3"/>
  <c r="D21" i="3" s="1"/>
  <c r="F21" i="3" l="1"/>
  <c r="G21" i="3" s="1"/>
  <c r="H21" i="3" s="1"/>
  <c r="D22" i="3" s="1"/>
  <c r="U41" i="4"/>
  <c r="V41" i="4" s="1"/>
  <c r="W41" i="4" s="1"/>
  <c r="X41" i="4" s="1"/>
  <c r="Y41" i="4" s="1"/>
  <c r="Z41" i="4" s="1"/>
  <c r="AA41" i="4" s="1"/>
  <c r="AB41" i="4" s="1"/>
  <c r="AC41" i="4" s="1"/>
  <c r="AD41" i="4" s="1"/>
  <c r="AE41" i="4" s="1"/>
  <c r="AF41" i="4" s="1"/>
  <c r="AG41" i="4" s="1"/>
  <c r="AH41" i="4" s="1"/>
  <c r="AI41" i="4" s="1"/>
  <c r="AJ41" i="4" s="1"/>
  <c r="AK41" i="4" s="1"/>
  <c r="AL41" i="4" s="1"/>
  <c r="T15" i="8"/>
  <c r="F22" i="3" l="1"/>
  <c r="G22" i="3" s="1"/>
  <c r="H22" i="3" s="1"/>
  <c r="D23" i="3" s="1"/>
  <c r="B22" i="8"/>
  <c r="U15" i="8"/>
  <c r="F23" i="3" l="1"/>
  <c r="G23" i="3" s="1"/>
  <c r="H23" i="3" s="1"/>
  <c r="D24" i="3" s="1"/>
  <c r="F24" i="3" l="1"/>
  <c r="G24" i="3" s="1"/>
  <c r="H24" i="3" s="1"/>
  <c r="D25" i="3" s="1"/>
  <c r="F25" i="3" l="1"/>
  <c r="G25" i="3" s="1"/>
  <c r="H25" i="3" s="1"/>
  <c r="D26" i="3" s="1"/>
  <c r="F26" i="3" l="1"/>
  <c r="G26" i="3" s="1"/>
  <c r="H26" i="3" s="1"/>
  <c r="D27" i="3" s="1"/>
  <c r="F27" i="3" l="1"/>
  <c r="G27" i="3"/>
  <c r="H27" i="3"/>
  <c r="D28" i="3" s="1"/>
  <c r="F28" i="3" l="1"/>
  <c r="G28" i="3"/>
  <c r="B33" i="4" s="1"/>
  <c r="C33" i="4" l="1"/>
  <c r="E33" i="4" s="1"/>
  <c r="F33" i="4"/>
  <c r="H28" i="3"/>
  <c r="D29" i="3" s="1"/>
  <c r="F29" i="3" l="1"/>
  <c r="G29" i="3" s="1"/>
  <c r="H29" i="3" l="1"/>
  <c r="D30" i="3" s="1"/>
  <c r="F30" i="3" l="1"/>
  <c r="G30" i="3" s="1"/>
  <c r="H30" i="3" l="1"/>
  <c r="D31" i="3" s="1"/>
  <c r="F31" i="3" l="1"/>
  <c r="G31" i="3" s="1"/>
  <c r="H31" i="3" l="1"/>
  <c r="D32" i="3" s="1"/>
  <c r="F32" i="3" l="1"/>
  <c r="G32" i="3" s="1"/>
  <c r="H32" i="3" l="1"/>
  <c r="D33" i="3" s="1"/>
  <c r="F33" i="3" l="1"/>
  <c r="G33" i="3" s="1"/>
  <c r="H33" i="3" s="1"/>
  <c r="D34" i="3" s="1"/>
  <c r="F34" i="3" l="1"/>
  <c r="G34" i="3" s="1"/>
  <c r="H34" i="3" s="1"/>
  <c r="D35" i="3" s="1"/>
  <c r="F35" i="3" l="1"/>
  <c r="G35" i="3" s="1"/>
  <c r="H35" i="3" s="1"/>
  <c r="D36" i="3" s="1"/>
  <c r="F36" i="3" l="1"/>
  <c r="G36" i="3"/>
  <c r="H36" i="3"/>
  <c r="D37" i="3" s="1"/>
  <c r="F37" i="3" l="1"/>
  <c r="G37" i="3" s="1"/>
  <c r="H37" i="3" s="1"/>
  <c r="D38" i="3" s="1"/>
  <c r="F38" i="3" l="1"/>
  <c r="G38" i="3" s="1"/>
  <c r="H38" i="3" s="1"/>
  <c r="D39" i="3" s="1"/>
  <c r="F39" i="3" l="1"/>
  <c r="G39" i="3" s="1"/>
  <c r="H39" i="3" s="1"/>
  <c r="D40" i="3" s="1"/>
  <c r="F40" i="3" l="1"/>
  <c r="G40" i="3" s="1"/>
  <c r="B34" i="4" l="1"/>
  <c r="H40" i="3"/>
  <c r="C34" i="4" l="1"/>
  <c r="E34" i="4" s="1"/>
  <c r="F3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Geoff Schackmann</author>
  </authors>
  <commentList>
    <comment ref="C25" authorId="0" shapeId="0" xr:uid="{19F792D7-A50C-B240-9C58-59CCB96A79F1}">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D25" authorId="0" shapeId="0" xr:uid="{4AEFE28E-4035-1A48-99D5-19EAE9F8BC0B}">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E25" authorId="0" shapeId="0" xr:uid="{6E0D6BDE-B959-8B4F-8B1D-C7066C26B329}">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F25" authorId="0" shapeId="0" xr:uid="{01328A09-37BC-D146-8D59-3B7029AB23C6}">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G25" authorId="0" shapeId="0" xr:uid="{6DC156F2-AF14-0B46-942B-9C6205C05284}">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H25" authorId="0" shapeId="0" xr:uid="{4B0971B1-4928-9F4C-BF2B-F3D25E1F9A91}">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I25" authorId="0" shapeId="0" xr:uid="{92EBC96D-369A-7546-A0D2-843881C60B35}">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J25" authorId="0" shapeId="0" xr:uid="{CD00D57D-92CD-6748-A645-E23373BF57EF}">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K25" authorId="0" shapeId="0" xr:uid="{40AF9C24-FC9D-F84A-B471-7DE3F41E3291}">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L25" authorId="0" shapeId="0" xr:uid="{B2992E7D-8756-544F-BE25-514E851A4452}">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M25" authorId="0" shapeId="0" xr:uid="{3146FB0A-A0BD-6F4D-961E-6DC37F46F4A5}">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N25" authorId="0" shapeId="0" xr:uid="{FB0122C9-9784-5A4A-89E5-F326D4494243}">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O25" authorId="0" shapeId="0" xr:uid="{6BF6CF7E-9DF7-2F4F-9009-519374E21790}">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P25" authorId="0" shapeId="0" xr:uid="{F69AC2C6-2C50-AC4B-8536-A8AFDE6D41A0}">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Q25" authorId="0" shapeId="0" xr:uid="{A5D40DFE-7114-494F-A814-556515C57D06}">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R25" authorId="0" shapeId="0" xr:uid="{3F16C09E-2C8C-5E45-93B7-192ED23811FF}">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S25" authorId="0" shapeId="0" xr:uid="{9DCB12F3-71CC-5D4F-817B-DA92129CF776}">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T25" authorId="0" shapeId="0" xr:uid="{6836E080-2DAE-FD4A-B930-EFA7E593ACF5}">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U25" authorId="0" shapeId="0" xr:uid="{258EDE49-95E7-134A-8E5B-9C8CC00E4E26}">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V25" authorId="0" shapeId="0" xr:uid="{C4C9A154-FCC0-4F45-82F7-7EC206D97ADA}">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W25" authorId="0" shapeId="0" xr:uid="{8E69B34A-DF8C-2E45-8CE2-26E0BD0D1D0A}">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X25" authorId="0" shapeId="0" xr:uid="{C962C2C8-6429-CA43-9BB8-7A8484A507C4}">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Y25" authorId="0" shapeId="0" xr:uid="{5057B9D4-B545-1644-918C-6531B42796E3}">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Z25" authorId="0" shapeId="0" xr:uid="{553C16B9-89B2-0441-85BC-EC104367E9E7}">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AA25" authorId="0" shapeId="0" xr:uid="{02B291F4-EC53-7B4D-99C1-F97891159B60}">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AB25" authorId="0" shapeId="0" xr:uid="{AD0A613B-2A60-EF47-BFBA-1D9D74EE64DF}">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AC25" authorId="0" shapeId="0" xr:uid="{16C869B8-9483-D94D-AFF4-33CC5E6DE0D0}">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AD25" authorId="0" shapeId="0" xr:uid="{4FDBA9C8-5A9E-4E4A-AB56-5F0AE263C7C1}">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AE25" authorId="0" shapeId="0" xr:uid="{259C02FA-31C5-B446-82C9-6A7ACE050753}">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AF25" authorId="0" shapeId="0" xr:uid="{71E47EFC-6803-9246-B6C7-D2F4987FBE70}">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AG25" authorId="0" shapeId="0" xr:uid="{D39794B6-14A0-B24E-A6C0-08B2D9DB1AF5}">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AH25" authorId="0" shapeId="0" xr:uid="{9F6541AA-0CC3-EA4F-9D0E-4884590EDEF7}">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AI25" authorId="0" shapeId="0" xr:uid="{87920DB7-A6B8-914D-989D-1D4F20FA4EF5}">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AJ25" authorId="0" shapeId="0" xr:uid="{F1766EEB-59C4-9D41-8D0A-71C79F6CBA9A}">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AK25" authorId="0" shapeId="0" xr:uid="{750179B7-579D-E74F-9A4F-7A3B23B0B40E}">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AL25" authorId="0" shapeId="0" xr:uid="{DE97D1A9-FDA0-4D49-AC8A-F7A824A7067F}">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AM25" authorId="0" shapeId="0" xr:uid="{C478D3F6-5C83-A742-8E5E-D40049316DA0}">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AN25" authorId="0" shapeId="0" xr:uid="{C7897E7C-7F2D-4A4A-AC76-2B73A475B00C}">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AO25" authorId="0" shapeId="0" xr:uid="{BD96EA5C-D080-C848-A939-9DD9BEA51452}">
      <text>
        <r>
          <rPr>
            <b/>
            <sz val="10"/>
            <color rgb="FF000000"/>
            <rFont val="Tahoma"/>
            <family val="2"/>
          </rPr>
          <t>Geoff Schackmann:</t>
        </r>
        <r>
          <rPr>
            <sz val="10"/>
            <color rgb="FF000000"/>
            <rFont val="Tahoma"/>
            <family val="2"/>
          </rPr>
          <t xml:space="preserve">
Health insurance allocated to COGS proportionally based on direct vs total W-2 wages</t>
        </r>
      </text>
    </comment>
    <comment ref="C31" authorId="0" shapeId="0" xr:uid="{DC8F2136-85BD-C044-8934-FFA761E4111E}">
      <text>
        <r>
          <rPr>
            <b/>
            <sz val="10"/>
            <color rgb="FF000000"/>
            <rFont val="Tahoma"/>
            <family val="2"/>
          </rPr>
          <t>Geoff Schackmann:</t>
        </r>
        <r>
          <rPr>
            <sz val="10"/>
            <color rgb="FF000000"/>
            <rFont val="Tahoma"/>
            <family val="2"/>
          </rPr>
          <t xml:space="preserve">
Patient transportation estimated at 50% of ContEd rate × patient-days</t>
        </r>
      </text>
    </comment>
    <comment ref="D31" authorId="0" shapeId="0" xr:uid="{D0BA2AD8-DF02-D647-AAE9-FDECE434A67D}">
      <text>
        <r>
          <rPr>
            <b/>
            <sz val="10"/>
            <color rgb="FF000000"/>
            <rFont val="Tahoma"/>
            <family val="2"/>
          </rPr>
          <t>Geoff Schackmann:</t>
        </r>
        <r>
          <rPr>
            <sz val="10"/>
            <color rgb="FF000000"/>
            <rFont val="Tahoma"/>
            <family val="2"/>
          </rPr>
          <t xml:space="preserve">
Patient transportation estimated at 50% of ContEd rate × patient-days</t>
        </r>
      </text>
    </comment>
    <comment ref="E31" authorId="0" shapeId="0" xr:uid="{A94D67BA-A46C-EA41-9535-760C65967DE2}">
      <text>
        <r>
          <rPr>
            <b/>
            <sz val="10"/>
            <color rgb="FF000000"/>
            <rFont val="Tahoma"/>
            <family val="2"/>
          </rPr>
          <t>Geoff Schackmann:</t>
        </r>
        <r>
          <rPr>
            <sz val="10"/>
            <color rgb="FF000000"/>
            <rFont val="Tahoma"/>
            <family val="2"/>
          </rPr>
          <t xml:space="preserve">
Patient transportation estimated at 50% of ContEd rate × patient-days</t>
        </r>
      </text>
    </comment>
    <comment ref="F31" authorId="0" shapeId="0" xr:uid="{25096198-CAD6-5E44-B51F-A24E8ED5AD5D}">
      <text>
        <r>
          <rPr>
            <b/>
            <sz val="10"/>
            <color rgb="FF000000"/>
            <rFont val="Tahoma"/>
            <family val="2"/>
          </rPr>
          <t>Geoff Schackmann:</t>
        </r>
        <r>
          <rPr>
            <sz val="10"/>
            <color rgb="FF000000"/>
            <rFont val="Tahoma"/>
            <family val="2"/>
          </rPr>
          <t xml:space="preserve">
Patient transportation estimated at 50% of ContEd rate × patient-days</t>
        </r>
      </text>
    </comment>
    <comment ref="G31" authorId="0" shapeId="0" xr:uid="{8E832E3D-7E6E-8C4F-B723-7EE7FC78553F}">
      <text>
        <r>
          <rPr>
            <b/>
            <sz val="10"/>
            <color rgb="FF000000"/>
            <rFont val="Tahoma"/>
            <family val="2"/>
          </rPr>
          <t>Geoff Schackmann:</t>
        </r>
        <r>
          <rPr>
            <sz val="10"/>
            <color rgb="FF000000"/>
            <rFont val="Tahoma"/>
            <family val="2"/>
          </rPr>
          <t xml:space="preserve">
Patient transportation estimated at 50% of ContEd rate × patient-days</t>
        </r>
      </text>
    </comment>
    <comment ref="H31" authorId="0" shapeId="0" xr:uid="{939BC4EC-9AA3-8F43-B2C4-D76D0D2EF9F8}">
      <text>
        <r>
          <rPr>
            <b/>
            <sz val="10"/>
            <color rgb="FF000000"/>
            <rFont val="Tahoma"/>
            <family val="2"/>
          </rPr>
          <t>Geoff Schackmann:</t>
        </r>
        <r>
          <rPr>
            <sz val="10"/>
            <color rgb="FF000000"/>
            <rFont val="Tahoma"/>
            <family val="2"/>
          </rPr>
          <t xml:space="preserve">
Patient transportation estimated at 50% of ContEd rate × patient-days</t>
        </r>
      </text>
    </comment>
    <comment ref="I31" authorId="0" shapeId="0" xr:uid="{1211A0A6-7971-BB4A-BDAF-4766A07E781B}">
      <text>
        <r>
          <rPr>
            <b/>
            <sz val="10"/>
            <color rgb="FF000000"/>
            <rFont val="Tahoma"/>
            <family val="2"/>
          </rPr>
          <t>Geoff Schackmann:</t>
        </r>
        <r>
          <rPr>
            <sz val="10"/>
            <color rgb="FF000000"/>
            <rFont val="Tahoma"/>
            <family val="2"/>
          </rPr>
          <t xml:space="preserve">
Patient transportation estimated at 50% of ContEd rate × patient-days</t>
        </r>
      </text>
    </comment>
    <comment ref="J31" authorId="0" shapeId="0" xr:uid="{F51B28CC-CFA2-6249-894F-A66870AC0654}">
      <text>
        <r>
          <rPr>
            <b/>
            <sz val="10"/>
            <color rgb="FF000000"/>
            <rFont val="Tahoma"/>
            <family val="2"/>
          </rPr>
          <t>Geoff Schackmann:</t>
        </r>
        <r>
          <rPr>
            <sz val="10"/>
            <color rgb="FF000000"/>
            <rFont val="Tahoma"/>
            <family val="2"/>
          </rPr>
          <t xml:space="preserve">
Patient transportation estimated at 50% of ContEd rate × patient-days</t>
        </r>
      </text>
    </comment>
    <comment ref="K31" authorId="0" shapeId="0" xr:uid="{2971E104-D8E4-F340-8BE4-22C0D6B6B484}">
      <text>
        <r>
          <rPr>
            <b/>
            <sz val="10"/>
            <color rgb="FF000000"/>
            <rFont val="Tahoma"/>
            <family val="2"/>
          </rPr>
          <t>Geoff Schackmann:</t>
        </r>
        <r>
          <rPr>
            <sz val="10"/>
            <color rgb="FF000000"/>
            <rFont val="Tahoma"/>
            <family val="2"/>
          </rPr>
          <t xml:space="preserve">
Patient transportation estimated at 50% of ContEd rate × patient-days</t>
        </r>
      </text>
    </comment>
    <comment ref="L31" authorId="0" shapeId="0" xr:uid="{325DE2A9-47EB-8944-A57E-1F0D12BA4839}">
      <text>
        <r>
          <rPr>
            <b/>
            <sz val="10"/>
            <color rgb="FF000000"/>
            <rFont val="Tahoma"/>
            <family val="2"/>
          </rPr>
          <t>Geoff Schackmann:</t>
        </r>
        <r>
          <rPr>
            <sz val="10"/>
            <color rgb="FF000000"/>
            <rFont val="Tahoma"/>
            <family val="2"/>
          </rPr>
          <t xml:space="preserve">
Patient transportation estimated at 50% of ContEd rate × patient-days</t>
        </r>
      </text>
    </comment>
    <comment ref="M31" authorId="0" shapeId="0" xr:uid="{3FC0FA7C-B467-8047-B974-5BCCEF358E8B}">
      <text>
        <r>
          <rPr>
            <b/>
            <sz val="10"/>
            <color rgb="FF000000"/>
            <rFont val="Tahoma"/>
            <family val="2"/>
          </rPr>
          <t>Geoff Schackmann:</t>
        </r>
        <r>
          <rPr>
            <sz val="10"/>
            <color rgb="FF000000"/>
            <rFont val="Tahoma"/>
            <family val="2"/>
          </rPr>
          <t xml:space="preserve">
Patient transportation estimated at 50% of ContEd rate × patient-days</t>
        </r>
      </text>
    </comment>
    <comment ref="N31" authorId="0" shapeId="0" xr:uid="{162229E1-FF94-8944-8C52-055D8BC63219}">
      <text>
        <r>
          <rPr>
            <b/>
            <sz val="10"/>
            <color rgb="FF000000"/>
            <rFont val="Tahoma"/>
            <family val="2"/>
          </rPr>
          <t>Geoff Schackmann:</t>
        </r>
        <r>
          <rPr>
            <sz val="10"/>
            <color rgb="FF000000"/>
            <rFont val="Tahoma"/>
            <family val="2"/>
          </rPr>
          <t xml:space="preserve">
Patient transportation estimated at 50% of ContEd rate × patient-days</t>
        </r>
      </text>
    </comment>
    <comment ref="O31" authorId="0" shapeId="0" xr:uid="{F3C4FBD3-385C-D149-A0F0-590CBEF4D7CB}">
      <text>
        <r>
          <rPr>
            <b/>
            <sz val="10"/>
            <color rgb="FF000000"/>
            <rFont val="Tahoma"/>
            <family val="2"/>
          </rPr>
          <t>Geoff Schackmann:</t>
        </r>
        <r>
          <rPr>
            <sz val="10"/>
            <color rgb="FF000000"/>
            <rFont val="Tahoma"/>
            <family val="2"/>
          </rPr>
          <t xml:space="preserve">
Patient transportation estimated at 50% of ContEd rate × patient-days</t>
        </r>
      </text>
    </comment>
    <comment ref="P31" authorId="0" shapeId="0" xr:uid="{BF3F8391-B66A-0843-80B7-ED4E79273F6E}">
      <text>
        <r>
          <rPr>
            <b/>
            <sz val="10"/>
            <color rgb="FF000000"/>
            <rFont val="Tahoma"/>
            <family val="2"/>
          </rPr>
          <t>Geoff Schackmann:</t>
        </r>
        <r>
          <rPr>
            <sz val="10"/>
            <color rgb="FF000000"/>
            <rFont val="Tahoma"/>
            <family val="2"/>
          </rPr>
          <t xml:space="preserve">
Patient transportation estimated at 50% of ContEd rate × patient-days</t>
        </r>
      </text>
    </comment>
    <comment ref="Q31" authorId="0" shapeId="0" xr:uid="{AD95B9BA-A885-0046-BC37-8F6F4B80E1D7}">
      <text>
        <r>
          <rPr>
            <b/>
            <sz val="10"/>
            <color rgb="FF000000"/>
            <rFont val="Tahoma"/>
            <family val="2"/>
          </rPr>
          <t>Geoff Schackmann:</t>
        </r>
        <r>
          <rPr>
            <sz val="10"/>
            <color rgb="FF000000"/>
            <rFont val="Tahoma"/>
            <family val="2"/>
          </rPr>
          <t xml:space="preserve">
Patient transportation estimated at 50% of ContEd rate × patient-days</t>
        </r>
      </text>
    </comment>
    <comment ref="R31" authorId="0" shapeId="0" xr:uid="{5F0EFB5D-65D0-E64D-9CB1-1E90D4AA9A54}">
      <text>
        <r>
          <rPr>
            <b/>
            <sz val="10"/>
            <color rgb="FF000000"/>
            <rFont val="Tahoma"/>
            <family val="2"/>
          </rPr>
          <t>Geoff Schackmann:</t>
        </r>
        <r>
          <rPr>
            <sz val="10"/>
            <color rgb="FF000000"/>
            <rFont val="Tahoma"/>
            <family val="2"/>
          </rPr>
          <t xml:space="preserve">
Patient transportation estimated at 50% of ContEd rate × patient-days</t>
        </r>
      </text>
    </comment>
    <comment ref="S31" authorId="0" shapeId="0" xr:uid="{4F9297D0-8ADF-CF46-A1A7-3905C290AB15}">
      <text>
        <r>
          <rPr>
            <b/>
            <sz val="10"/>
            <color rgb="FF000000"/>
            <rFont val="Tahoma"/>
            <family val="2"/>
          </rPr>
          <t>Geoff Schackmann:</t>
        </r>
        <r>
          <rPr>
            <sz val="10"/>
            <color rgb="FF000000"/>
            <rFont val="Tahoma"/>
            <family val="2"/>
          </rPr>
          <t xml:space="preserve">
Patient transportation estimated at 50% of ContEd rate × patient-days</t>
        </r>
      </text>
    </comment>
    <comment ref="T31" authorId="0" shapeId="0" xr:uid="{A89DA7E4-0005-874B-AF98-66EAD9FCABA7}">
      <text>
        <r>
          <rPr>
            <b/>
            <sz val="10"/>
            <color rgb="FF000000"/>
            <rFont val="Tahoma"/>
            <family val="2"/>
          </rPr>
          <t>Geoff Schackmann:</t>
        </r>
        <r>
          <rPr>
            <sz val="10"/>
            <color rgb="FF000000"/>
            <rFont val="Tahoma"/>
            <family val="2"/>
          </rPr>
          <t xml:space="preserve">
Patient transportation estimated at 50% of ContEd rate × patient-days</t>
        </r>
      </text>
    </comment>
    <comment ref="U31" authorId="0" shapeId="0" xr:uid="{DF5BD27C-9DE2-2B42-9167-F69FAA59067C}">
      <text>
        <r>
          <rPr>
            <b/>
            <sz val="10"/>
            <color rgb="FF000000"/>
            <rFont val="Tahoma"/>
            <family val="2"/>
          </rPr>
          <t>Geoff Schackmann:</t>
        </r>
        <r>
          <rPr>
            <sz val="10"/>
            <color rgb="FF000000"/>
            <rFont val="Tahoma"/>
            <family val="2"/>
          </rPr>
          <t xml:space="preserve">
Patient transportation estimated at 50% of ContEd rate × patient-days</t>
        </r>
      </text>
    </comment>
    <comment ref="V31" authorId="0" shapeId="0" xr:uid="{4D42D81F-05AA-814C-882E-A795A5FD3CC3}">
      <text>
        <r>
          <rPr>
            <b/>
            <sz val="10"/>
            <color rgb="FF000000"/>
            <rFont val="Tahoma"/>
            <family val="2"/>
          </rPr>
          <t>Geoff Schackmann:</t>
        </r>
        <r>
          <rPr>
            <sz val="10"/>
            <color rgb="FF000000"/>
            <rFont val="Tahoma"/>
            <family val="2"/>
          </rPr>
          <t xml:space="preserve">
Patient transportation estimated at 50% of ContEd rate × patient-days</t>
        </r>
      </text>
    </comment>
    <comment ref="W31" authorId="0" shapeId="0" xr:uid="{2932CBBE-57D5-DA41-88E6-6BF86CA8B520}">
      <text>
        <r>
          <rPr>
            <b/>
            <sz val="10"/>
            <color rgb="FF000000"/>
            <rFont val="Tahoma"/>
            <family val="2"/>
          </rPr>
          <t>Geoff Schackmann:</t>
        </r>
        <r>
          <rPr>
            <sz val="10"/>
            <color rgb="FF000000"/>
            <rFont val="Tahoma"/>
            <family val="2"/>
          </rPr>
          <t xml:space="preserve">
Patient transportation estimated at 50% of ContEd rate × patient-days</t>
        </r>
      </text>
    </comment>
    <comment ref="X31" authorId="0" shapeId="0" xr:uid="{2E5A272C-DE91-7C48-A2CF-0EA93580C01A}">
      <text>
        <r>
          <rPr>
            <b/>
            <sz val="10"/>
            <color rgb="FF000000"/>
            <rFont val="Tahoma"/>
            <family val="2"/>
          </rPr>
          <t>Geoff Schackmann:</t>
        </r>
        <r>
          <rPr>
            <sz val="10"/>
            <color rgb="FF000000"/>
            <rFont val="Tahoma"/>
            <family val="2"/>
          </rPr>
          <t xml:space="preserve">
Patient transportation estimated at 50% of ContEd rate × patient-days</t>
        </r>
      </text>
    </comment>
    <comment ref="Y31" authorId="0" shapeId="0" xr:uid="{F467570A-1BC4-BA42-A78E-26E3F71B9C46}">
      <text>
        <r>
          <rPr>
            <b/>
            <sz val="10"/>
            <color rgb="FF000000"/>
            <rFont val="Tahoma"/>
            <family val="2"/>
          </rPr>
          <t>Geoff Schackmann:</t>
        </r>
        <r>
          <rPr>
            <sz val="10"/>
            <color rgb="FF000000"/>
            <rFont val="Tahoma"/>
            <family val="2"/>
          </rPr>
          <t xml:space="preserve">
Patient transportation estimated at 50% of ContEd rate × patient-days</t>
        </r>
      </text>
    </comment>
    <comment ref="Z31" authorId="0" shapeId="0" xr:uid="{AE475F4C-D885-1246-8063-45D544F52475}">
      <text>
        <r>
          <rPr>
            <b/>
            <sz val="10"/>
            <color rgb="FF000000"/>
            <rFont val="Tahoma"/>
            <family val="2"/>
          </rPr>
          <t>Geoff Schackmann:</t>
        </r>
        <r>
          <rPr>
            <sz val="10"/>
            <color rgb="FF000000"/>
            <rFont val="Tahoma"/>
            <family val="2"/>
          </rPr>
          <t xml:space="preserve">
Patient transportation estimated at 50% of ContEd rate × patient-days</t>
        </r>
      </text>
    </comment>
    <comment ref="AA31" authorId="0" shapeId="0" xr:uid="{1AE4C013-BC59-9C4B-9530-2FF34182BE50}">
      <text>
        <r>
          <rPr>
            <b/>
            <sz val="10"/>
            <color rgb="FF000000"/>
            <rFont val="Tahoma"/>
            <family val="2"/>
          </rPr>
          <t>Geoff Schackmann:</t>
        </r>
        <r>
          <rPr>
            <sz val="10"/>
            <color rgb="FF000000"/>
            <rFont val="Tahoma"/>
            <family val="2"/>
          </rPr>
          <t xml:space="preserve">
Patient transportation estimated at 50% of ContEd rate × patient-days</t>
        </r>
      </text>
    </comment>
    <comment ref="AB31" authorId="0" shapeId="0" xr:uid="{1643C5F6-BD86-F142-8F0A-887CABB6A943}">
      <text>
        <r>
          <rPr>
            <b/>
            <sz val="10"/>
            <color rgb="FF000000"/>
            <rFont val="Tahoma"/>
            <family val="2"/>
          </rPr>
          <t>Geoff Schackmann:</t>
        </r>
        <r>
          <rPr>
            <sz val="10"/>
            <color rgb="FF000000"/>
            <rFont val="Tahoma"/>
            <family val="2"/>
          </rPr>
          <t xml:space="preserve">
Patient transportation estimated at 50% of ContEd rate × patient-days</t>
        </r>
      </text>
    </comment>
    <comment ref="AC31" authorId="0" shapeId="0" xr:uid="{5A3D6634-ADF4-3949-9677-D3BF78075031}">
      <text>
        <r>
          <rPr>
            <b/>
            <sz val="10"/>
            <color rgb="FF000000"/>
            <rFont val="Tahoma"/>
            <family val="2"/>
          </rPr>
          <t>Geoff Schackmann:</t>
        </r>
        <r>
          <rPr>
            <sz val="10"/>
            <color rgb="FF000000"/>
            <rFont val="Tahoma"/>
            <family val="2"/>
          </rPr>
          <t xml:space="preserve">
Patient transportation estimated at 50% of ContEd rate × patient-days</t>
        </r>
      </text>
    </comment>
    <comment ref="AD31" authorId="0" shapeId="0" xr:uid="{A4F3DBEB-4AB9-D848-BB25-6A2584CDDDED}">
      <text>
        <r>
          <rPr>
            <b/>
            <sz val="10"/>
            <color rgb="FF000000"/>
            <rFont val="Tahoma"/>
            <family val="2"/>
          </rPr>
          <t>Geoff Schackmann:</t>
        </r>
        <r>
          <rPr>
            <sz val="10"/>
            <color rgb="FF000000"/>
            <rFont val="Tahoma"/>
            <family val="2"/>
          </rPr>
          <t xml:space="preserve">
Patient transportation estimated at 50% of ContEd rate × patient-days</t>
        </r>
      </text>
    </comment>
    <comment ref="AE31" authorId="0" shapeId="0" xr:uid="{E7F8F5EB-B7AD-D14B-AAEC-3C199BF848F3}">
      <text>
        <r>
          <rPr>
            <b/>
            <sz val="10"/>
            <color rgb="FF000000"/>
            <rFont val="Tahoma"/>
            <family val="2"/>
          </rPr>
          <t>Geoff Schackmann:</t>
        </r>
        <r>
          <rPr>
            <sz val="10"/>
            <color rgb="FF000000"/>
            <rFont val="Tahoma"/>
            <family val="2"/>
          </rPr>
          <t xml:space="preserve">
Patient transportation estimated at 50% of ContEd rate × patient-days</t>
        </r>
      </text>
    </comment>
    <comment ref="AF31" authorId="0" shapeId="0" xr:uid="{FC2791BD-AB64-4641-9712-5B797ABC13D8}">
      <text>
        <r>
          <rPr>
            <b/>
            <sz val="10"/>
            <color rgb="FF000000"/>
            <rFont val="Tahoma"/>
            <family val="2"/>
          </rPr>
          <t>Geoff Schackmann:</t>
        </r>
        <r>
          <rPr>
            <sz val="10"/>
            <color rgb="FF000000"/>
            <rFont val="Tahoma"/>
            <family val="2"/>
          </rPr>
          <t xml:space="preserve">
Patient transportation estimated at 50% of ContEd rate × patient-days</t>
        </r>
      </text>
    </comment>
    <comment ref="AG31" authorId="0" shapeId="0" xr:uid="{C40D30A3-DABD-9F40-A6E0-D451877983BC}">
      <text>
        <r>
          <rPr>
            <b/>
            <sz val="10"/>
            <color rgb="FF000000"/>
            <rFont val="Tahoma"/>
            <family val="2"/>
          </rPr>
          <t>Geoff Schackmann:</t>
        </r>
        <r>
          <rPr>
            <sz val="10"/>
            <color rgb="FF000000"/>
            <rFont val="Tahoma"/>
            <family val="2"/>
          </rPr>
          <t xml:space="preserve">
Patient transportation estimated at 50% of ContEd rate × patient-days</t>
        </r>
      </text>
    </comment>
    <comment ref="AH31" authorId="0" shapeId="0" xr:uid="{4026E06A-E950-3444-A60A-D74C92C3E7F6}">
      <text>
        <r>
          <rPr>
            <b/>
            <sz val="10"/>
            <color rgb="FF000000"/>
            <rFont val="Tahoma"/>
            <family val="2"/>
          </rPr>
          <t>Geoff Schackmann:</t>
        </r>
        <r>
          <rPr>
            <sz val="10"/>
            <color rgb="FF000000"/>
            <rFont val="Tahoma"/>
            <family val="2"/>
          </rPr>
          <t xml:space="preserve">
Patient transportation estimated at 50% of ContEd rate × patient-days</t>
        </r>
      </text>
    </comment>
    <comment ref="AI31" authorId="0" shapeId="0" xr:uid="{AAE33F87-51DA-A740-8383-8C9F939F2C8E}">
      <text>
        <r>
          <rPr>
            <b/>
            <sz val="10"/>
            <color rgb="FF000000"/>
            <rFont val="Tahoma"/>
            <family val="2"/>
          </rPr>
          <t>Geoff Schackmann:</t>
        </r>
        <r>
          <rPr>
            <sz val="10"/>
            <color rgb="FF000000"/>
            <rFont val="Tahoma"/>
            <family val="2"/>
          </rPr>
          <t xml:space="preserve">
Patient transportation estimated at 50% of ContEd rate × patient-days</t>
        </r>
      </text>
    </comment>
    <comment ref="AJ31" authorId="0" shapeId="0" xr:uid="{BE399835-E0FE-5F4D-A673-56E10A178CBB}">
      <text>
        <r>
          <rPr>
            <b/>
            <sz val="10"/>
            <color rgb="FF000000"/>
            <rFont val="Tahoma"/>
            <family val="2"/>
          </rPr>
          <t>Geoff Schackmann:</t>
        </r>
        <r>
          <rPr>
            <sz val="10"/>
            <color rgb="FF000000"/>
            <rFont val="Tahoma"/>
            <family val="2"/>
          </rPr>
          <t xml:space="preserve">
Patient transportation estimated at 50% of ContEd rate × patient-days</t>
        </r>
      </text>
    </comment>
    <comment ref="AK31" authorId="0" shapeId="0" xr:uid="{B400A900-BD46-E943-8371-170C29D62D08}">
      <text>
        <r>
          <rPr>
            <b/>
            <sz val="10"/>
            <color rgb="FF000000"/>
            <rFont val="Tahoma"/>
            <family val="2"/>
          </rPr>
          <t>Geoff Schackmann:</t>
        </r>
        <r>
          <rPr>
            <sz val="10"/>
            <color rgb="FF000000"/>
            <rFont val="Tahoma"/>
            <family val="2"/>
          </rPr>
          <t xml:space="preserve">
Patient transportation estimated at 50% of ContEd rate × patient-days</t>
        </r>
      </text>
    </comment>
    <comment ref="AL31" authorId="0" shapeId="0" xr:uid="{B8558C73-930D-EB4E-B8E7-D70B8A16B539}">
      <text>
        <r>
          <rPr>
            <b/>
            <sz val="10"/>
            <color rgb="FF000000"/>
            <rFont val="Tahoma"/>
            <family val="2"/>
          </rPr>
          <t>Geoff Schackmann:</t>
        </r>
        <r>
          <rPr>
            <sz val="10"/>
            <color rgb="FF000000"/>
            <rFont val="Tahoma"/>
            <family val="2"/>
          </rPr>
          <t xml:space="preserve">
Patient transportation estimated at 50% of ContEd rate × patient-days</t>
        </r>
      </text>
    </comment>
    <comment ref="AM31" authorId="0" shapeId="0" xr:uid="{4CEFE81E-031C-364D-8CCF-545F11E7C5BE}">
      <text>
        <r>
          <rPr>
            <b/>
            <sz val="10"/>
            <color rgb="FF000000"/>
            <rFont val="Tahoma"/>
            <family val="2"/>
          </rPr>
          <t>Geoff Schackmann:</t>
        </r>
        <r>
          <rPr>
            <sz val="10"/>
            <color rgb="FF000000"/>
            <rFont val="Tahoma"/>
            <family val="2"/>
          </rPr>
          <t xml:space="preserve">
Patient transportation estimated at 50% of ContEd rate × patient-days</t>
        </r>
      </text>
    </comment>
    <comment ref="AN31" authorId="0" shapeId="0" xr:uid="{55FEBAC5-D885-5A44-9E2C-465084A90E49}">
      <text>
        <r>
          <rPr>
            <b/>
            <sz val="10"/>
            <color rgb="FF000000"/>
            <rFont val="Tahoma"/>
            <family val="2"/>
          </rPr>
          <t>Geoff Schackmann:</t>
        </r>
        <r>
          <rPr>
            <sz val="10"/>
            <color rgb="FF000000"/>
            <rFont val="Tahoma"/>
            <family val="2"/>
          </rPr>
          <t xml:space="preserve">
Patient transportation estimated at 50% of ContEd rate × patient-days</t>
        </r>
      </text>
    </comment>
    <comment ref="AO31" authorId="0" shapeId="0" xr:uid="{3AA88AFD-CB9B-7640-84D9-4B865D778C4B}">
      <text>
        <r>
          <rPr>
            <b/>
            <sz val="10"/>
            <color rgb="FF000000"/>
            <rFont val="Tahoma"/>
            <family val="2"/>
          </rPr>
          <t>Geoff Schackmann:</t>
        </r>
        <r>
          <rPr>
            <sz val="10"/>
            <color rgb="FF000000"/>
            <rFont val="Tahoma"/>
            <family val="2"/>
          </rPr>
          <t xml:space="preserve">
Patient transportation estimated at 50% of ContEd rate × patient-days</t>
        </r>
      </text>
    </comment>
    <comment ref="C33" authorId="0" shapeId="0" xr:uid="{183C2AA8-D3D1-2C47-AABC-2D37756E79E4}">
      <text>
        <r>
          <rPr>
            <b/>
            <sz val="10"/>
            <color rgb="FF000000"/>
            <rFont val="Tahoma"/>
            <family val="2"/>
          </rPr>
          <t>Geoff Schackmann:</t>
        </r>
        <r>
          <rPr>
            <sz val="10"/>
            <color rgb="FF000000"/>
            <rFont val="Tahoma"/>
            <family val="2"/>
          </rPr>
          <t xml:space="preserve">
Mobile phone estimated at $1/patient-day</t>
        </r>
      </text>
    </comment>
    <comment ref="D33" authorId="0" shapeId="0" xr:uid="{29446ED8-E7A9-4F49-B361-BB7C09F56AA7}">
      <text>
        <r>
          <rPr>
            <b/>
            <sz val="10"/>
            <color rgb="FF000000"/>
            <rFont val="Tahoma"/>
            <family val="2"/>
          </rPr>
          <t>Geoff Schackmann:</t>
        </r>
        <r>
          <rPr>
            <sz val="10"/>
            <color rgb="FF000000"/>
            <rFont val="Tahoma"/>
            <family val="2"/>
          </rPr>
          <t xml:space="preserve">
Mobile phone estimated at $1/patient-day</t>
        </r>
      </text>
    </comment>
    <comment ref="E33" authorId="0" shapeId="0" xr:uid="{2C638CE1-8EAD-3F4D-8E54-922A0046EE7D}">
      <text>
        <r>
          <rPr>
            <b/>
            <sz val="10"/>
            <color rgb="FF000000"/>
            <rFont val="Tahoma"/>
            <family val="2"/>
          </rPr>
          <t>Geoff Schackmann:</t>
        </r>
        <r>
          <rPr>
            <sz val="10"/>
            <color rgb="FF000000"/>
            <rFont val="Tahoma"/>
            <family val="2"/>
          </rPr>
          <t xml:space="preserve">
Mobile phone estimated at $1/patient-day</t>
        </r>
      </text>
    </comment>
    <comment ref="F33" authorId="0" shapeId="0" xr:uid="{CFBBF1F3-A220-5A4A-9089-4D595E69B021}">
      <text>
        <r>
          <rPr>
            <b/>
            <sz val="10"/>
            <color rgb="FF000000"/>
            <rFont val="Tahoma"/>
            <family val="2"/>
          </rPr>
          <t>Geoff Schackmann:</t>
        </r>
        <r>
          <rPr>
            <sz val="10"/>
            <color rgb="FF000000"/>
            <rFont val="Tahoma"/>
            <family val="2"/>
          </rPr>
          <t xml:space="preserve">
Mobile phone estimated at $1/patient-day</t>
        </r>
      </text>
    </comment>
    <comment ref="G33" authorId="0" shapeId="0" xr:uid="{33F0CA1A-1EF6-2F4C-8523-E568CB05D913}">
      <text>
        <r>
          <rPr>
            <b/>
            <sz val="10"/>
            <color rgb="FF000000"/>
            <rFont val="Tahoma"/>
            <family val="2"/>
          </rPr>
          <t>Geoff Schackmann:</t>
        </r>
        <r>
          <rPr>
            <sz val="10"/>
            <color rgb="FF000000"/>
            <rFont val="Tahoma"/>
            <family val="2"/>
          </rPr>
          <t xml:space="preserve">
Mobile phone estimated at $1/patient-day</t>
        </r>
      </text>
    </comment>
    <comment ref="H33" authorId="0" shapeId="0" xr:uid="{07F6F1D5-A8A7-0F48-85FC-CC0A22C05A6A}">
      <text>
        <r>
          <rPr>
            <b/>
            <sz val="10"/>
            <color rgb="FF000000"/>
            <rFont val="Tahoma"/>
            <family val="2"/>
          </rPr>
          <t>Geoff Schackmann:</t>
        </r>
        <r>
          <rPr>
            <sz val="10"/>
            <color rgb="FF000000"/>
            <rFont val="Tahoma"/>
            <family val="2"/>
          </rPr>
          <t xml:space="preserve">
Mobile phone estimated at $1/patient-day</t>
        </r>
      </text>
    </comment>
    <comment ref="I33" authorId="0" shapeId="0" xr:uid="{96AD84B2-E4FE-4C46-B241-4B25BAF26B5C}">
      <text>
        <r>
          <rPr>
            <b/>
            <sz val="10"/>
            <color rgb="FF000000"/>
            <rFont val="Tahoma"/>
            <family val="2"/>
          </rPr>
          <t>Geoff Schackmann:</t>
        </r>
        <r>
          <rPr>
            <sz val="10"/>
            <color rgb="FF000000"/>
            <rFont val="Tahoma"/>
            <family val="2"/>
          </rPr>
          <t xml:space="preserve">
Mobile phone estimated at $1/patient-day</t>
        </r>
      </text>
    </comment>
    <comment ref="J33" authorId="0" shapeId="0" xr:uid="{EB341554-7BDD-AD40-BA01-3DF550906651}">
      <text>
        <r>
          <rPr>
            <b/>
            <sz val="10"/>
            <color rgb="FF000000"/>
            <rFont val="Tahoma"/>
            <family val="2"/>
          </rPr>
          <t>Geoff Schackmann:</t>
        </r>
        <r>
          <rPr>
            <sz val="10"/>
            <color rgb="FF000000"/>
            <rFont val="Tahoma"/>
            <family val="2"/>
          </rPr>
          <t xml:space="preserve">
Mobile phone estimated at $1/patient-day</t>
        </r>
      </text>
    </comment>
    <comment ref="K33" authorId="0" shapeId="0" xr:uid="{7CA38AFC-D2AB-3B4F-8DBE-2301F1FF7CC4}">
      <text>
        <r>
          <rPr>
            <b/>
            <sz val="10"/>
            <color rgb="FF000000"/>
            <rFont val="Tahoma"/>
            <family val="2"/>
          </rPr>
          <t>Geoff Schackmann:</t>
        </r>
        <r>
          <rPr>
            <sz val="10"/>
            <color rgb="FF000000"/>
            <rFont val="Tahoma"/>
            <family val="2"/>
          </rPr>
          <t xml:space="preserve">
Mobile phone estimated at $1/patient-day</t>
        </r>
      </text>
    </comment>
    <comment ref="L33" authorId="0" shapeId="0" xr:uid="{1C63A7E8-3D34-9C43-8527-5C6B178B96D2}">
      <text>
        <r>
          <rPr>
            <b/>
            <sz val="10"/>
            <color rgb="FF000000"/>
            <rFont val="Tahoma"/>
            <family val="2"/>
          </rPr>
          <t>Geoff Schackmann:</t>
        </r>
        <r>
          <rPr>
            <sz val="10"/>
            <color rgb="FF000000"/>
            <rFont val="Tahoma"/>
            <family val="2"/>
          </rPr>
          <t xml:space="preserve">
Mobile phone estimated at $1/patient-day</t>
        </r>
      </text>
    </comment>
    <comment ref="M33" authorId="0" shapeId="0" xr:uid="{E68ED7F4-CBC0-BE47-9320-2835CC1198F2}">
      <text>
        <r>
          <rPr>
            <b/>
            <sz val="10"/>
            <color rgb="FF000000"/>
            <rFont val="Tahoma"/>
            <family val="2"/>
          </rPr>
          <t>Geoff Schackmann:</t>
        </r>
        <r>
          <rPr>
            <sz val="10"/>
            <color rgb="FF000000"/>
            <rFont val="Tahoma"/>
            <family val="2"/>
          </rPr>
          <t xml:space="preserve">
Mobile phone estimated at $1/patient-day</t>
        </r>
      </text>
    </comment>
    <comment ref="N33" authorId="0" shapeId="0" xr:uid="{4C8F3FF2-8FE1-3046-9D56-5FAB315E3188}">
      <text>
        <r>
          <rPr>
            <b/>
            <sz val="10"/>
            <color rgb="FF000000"/>
            <rFont val="Tahoma"/>
            <family val="2"/>
          </rPr>
          <t>Geoff Schackmann:</t>
        </r>
        <r>
          <rPr>
            <sz val="10"/>
            <color rgb="FF000000"/>
            <rFont val="Tahoma"/>
            <family val="2"/>
          </rPr>
          <t xml:space="preserve">
Mobile phone estimated at $1/patient-day</t>
        </r>
      </text>
    </comment>
    <comment ref="O33" authorId="0" shapeId="0" xr:uid="{C42C3EA2-6216-784A-B5DE-386DA5708310}">
      <text>
        <r>
          <rPr>
            <b/>
            <sz val="10"/>
            <color rgb="FF000000"/>
            <rFont val="Tahoma"/>
            <family val="2"/>
          </rPr>
          <t>Geoff Schackmann:</t>
        </r>
        <r>
          <rPr>
            <sz val="10"/>
            <color rgb="FF000000"/>
            <rFont val="Tahoma"/>
            <family val="2"/>
          </rPr>
          <t xml:space="preserve">
Mobile phone estimated at $1/patient-day</t>
        </r>
      </text>
    </comment>
    <comment ref="P33" authorId="0" shapeId="0" xr:uid="{8C7182B7-CDFF-E04B-9B9B-3A64002B0367}">
      <text>
        <r>
          <rPr>
            <b/>
            <sz val="10"/>
            <color rgb="FF000000"/>
            <rFont val="Tahoma"/>
            <family val="2"/>
          </rPr>
          <t>Geoff Schackmann:</t>
        </r>
        <r>
          <rPr>
            <sz val="10"/>
            <color rgb="FF000000"/>
            <rFont val="Tahoma"/>
            <family val="2"/>
          </rPr>
          <t xml:space="preserve">
Mobile phone estimated at $1/patient-day</t>
        </r>
      </text>
    </comment>
    <comment ref="Q33" authorId="0" shapeId="0" xr:uid="{04999C31-56A9-C14E-BF6B-7B08F7FCCAA0}">
      <text>
        <r>
          <rPr>
            <b/>
            <sz val="10"/>
            <color rgb="FF000000"/>
            <rFont val="Tahoma"/>
            <family val="2"/>
          </rPr>
          <t>Geoff Schackmann:</t>
        </r>
        <r>
          <rPr>
            <sz val="10"/>
            <color rgb="FF000000"/>
            <rFont val="Tahoma"/>
            <family val="2"/>
          </rPr>
          <t xml:space="preserve">
Mobile phone estimated at $1/patient-day</t>
        </r>
      </text>
    </comment>
    <comment ref="R33" authorId="0" shapeId="0" xr:uid="{C91039FE-58F8-574B-8DEF-057691A496D3}">
      <text>
        <r>
          <rPr>
            <b/>
            <sz val="10"/>
            <color rgb="FF000000"/>
            <rFont val="Tahoma"/>
            <family val="2"/>
          </rPr>
          <t>Geoff Schackmann:</t>
        </r>
        <r>
          <rPr>
            <sz val="10"/>
            <color rgb="FF000000"/>
            <rFont val="Tahoma"/>
            <family val="2"/>
          </rPr>
          <t xml:space="preserve">
Mobile phone estimated at $1/patient-day</t>
        </r>
      </text>
    </comment>
    <comment ref="S33" authorId="0" shapeId="0" xr:uid="{365691CA-4BB2-BF4D-B14B-369A9B8C2B37}">
      <text>
        <r>
          <rPr>
            <b/>
            <sz val="10"/>
            <color rgb="FF000000"/>
            <rFont val="Tahoma"/>
            <family val="2"/>
          </rPr>
          <t>Geoff Schackmann:</t>
        </r>
        <r>
          <rPr>
            <sz val="10"/>
            <color rgb="FF000000"/>
            <rFont val="Tahoma"/>
            <family val="2"/>
          </rPr>
          <t xml:space="preserve">
Mobile phone estimated at $1/patient-day</t>
        </r>
      </text>
    </comment>
    <comment ref="T33" authorId="0" shapeId="0" xr:uid="{73D7FAF5-DE4D-B548-A0BB-9F2DD3720AAC}">
      <text>
        <r>
          <rPr>
            <b/>
            <sz val="10"/>
            <color rgb="FF000000"/>
            <rFont val="Tahoma"/>
            <family val="2"/>
          </rPr>
          <t>Geoff Schackmann:</t>
        </r>
        <r>
          <rPr>
            <sz val="10"/>
            <color rgb="FF000000"/>
            <rFont val="Tahoma"/>
            <family val="2"/>
          </rPr>
          <t xml:space="preserve">
Mobile phone estimated at $1/patient-day</t>
        </r>
      </text>
    </comment>
    <comment ref="U33" authorId="0" shapeId="0" xr:uid="{B890FBF0-12ED-254C-8DEB-6161C9B2469C}">
      <text>
        <r>
          <rPr>
            <b/>
            <sz val="10"/>
            <color rgb="FF000000"/>
            <rFont val="Tahoma"/>
            <family val="2"/>
          </rPr>
          <t>Geoff Schackmann:</t>
        </r>
        <r>
          <rPr>
            <sz val="10"/>
            <color rgb="FF000000"/>
            <rFont val="Tahoma"/>
            <family val="2"/>
          </rPr>
          <t xml:space="preserve">
Mobile phone estimated at $1/patient-day</t>
        </r>
      </text>
    </comment>
    <comment ref="V33" authorId="0" shapeId="0" xr:uid="{2C0E6918-F378-9A47-AE93-17A53E42DFDD}">
      <text>
        <r>
          <rPr>
            <b/>
            <sz val="10"/>
            <color rgb="FF000000"/>
            <rFont val="Tahoma"/>
            <family val="2"/>
          </rPr>
          <t>Geoff Schackmann:</t>
        </r>
        <r>
          <rPr>
            <sz val="10"/>
            <color rgb="FF000000"/>
            <rFont val="Tahoma"/>
            <family val="2"/>
          </rPr>
          <t xml:space="preserve">
Mobile phone estimated at $1/patient-day</t>
        </r>
      </text>
    </comment>
    <comment ref="W33" authorId="0" shapeId="0" xr:uid="{09920707-00FD-3049-A077-5C21786AEE44}">
      <text>
        <r>
          <rPr>
            <b/>
            <sz val="10"/>
            <color rgb="FF000000"/>
            <rFont val="Tahoma"/>
            <family val="2"/>
          </rPr>
          <t>Geoff Schackmann:</t>
        </r>
        <r>
          <rPr>
            <sz val="10"/>
            <color rgb="FF000000"/>
            <rFont val="Tahoma"/>
            <family val="2"/>
          </rPr>
          <t xml:space="preserve">
Mobile phone estimated at $1/patient-day</t>
        </r>
      </text>
    </comment>
    <comment ref="X33" authorId="0" shapeId="0" xr:uid="{CDA5AA4C-7DC2-2D44-96A4-14D077120D3B}">
      <text>
        <r>
          <rPr>
            <b/>
            <sz val="10"/>
            <color rgb="FF000000"/>
            <rFont val="Tahoma"/>
            <family val="2"/>
          </rPr>
          <t>Geoff Schackmann:</t>
        </r>
        <r>
          <rPr>
            <sz val="10"/>
            <color rgb="FF000000"/>
            <rFont val="Tahoma"/>
            <family val="2"/>
          </rPr>
          <t xml:space="preserve">
Mobile phone estimated at $1/patient-day</t>
        </r>
      </text>
    </comment>
    <comment ref="Y33" authorId="0" shapeId="0" xr:uid="{949A1FA1-DD8C-DC4D-9134-296A84313765}">
      <text>
        <r>
          <rPr>
            <b/>
            <sz val="10"/>
            <color rgb="FF000000"/>
            <rFont val="Tahoma"/>
            <family val="2"/>
          </rPr>
          <t>Geoff Schackmann:</t>
        </r>
        <r>
          <rPr>
            <sz val="10"/>
            <color rgb="FF000000"/>
            <rFont val="Tahoma"/>
            <family val="2"/>
          </rPr>
          <t xml:space="preserve">
Mobile phone estimated at $1/patient-day</t>
        </r>
      </text>
    </comment>
    <comment ref="Z33" authorId="0" shapeId="0" xr:uid="{F2BC235F-66A2-3C4D-888A-DDEC194E91BE}">
      <text>
        <r>
          <rPr>
            <b/>
            <sz val="10"/>
            <color rgb="FF000000"/>
            <rFont val="Tahoma"/>
            <family val="2"/>
          </rPr>
          <t>Geoff Schackmann:</t>
        </r>
        <r>
          <rPr>
            <sz val="10"/>
            <color rgb="FF000000"/>
            <rFont val="Tahoma"/>
            <family val="2"/>
          </rPr>
          <t xml:space="preserve">
Mobile phone estimated at $1/patient-day</t>
        </r>
      </text>
    </comment>
    <comment ref="AA33" authorId="0" shapeId="0" xr:uid="{5EABF742-2BC8-D143-B55F-DB46F38D5159}">
      <text>
        <r>
          <rPr>
            <b/>
            <sz val="10"/>
            <color rgb="FF000000"/>
            <rFont val="Tahoma"/>
            <family val="2"/>
          </rPr>
          <t>Geoff Schackmann:</t>
        </r>
        <r>
          <rPr>
            <sz val="10"/>
            <color rgb="FF000000"/>
            <rFont val="Tahoma"/>
            <family val="2"/>
          </rPr>
          <t xml:space="preserve">
Mobile phone estimated at $1/patient-day</t>
        </r>
      </text>
    </comment>
    <comment ref="AB33" authorId="0" shapeId="0" xr:uid="{CF296E7F-B0AC-9D4B-B1E6-F5E575C70172}">
      <text>
        <r>
          <rPr>
            <b/>
            <sz val="10"/>
            <color rgb="FF000000"/>
            <rFont val="Tahoma"/>
            <family val="2"/>
          </rPr>
          <t>Geoff Schackmann:</t>
        </r>
        <r>
          <rPr>
            <sz val="10"/>
            <color rgb="FF000000"/>
            <rFont val="Tahoma"/>
            <family val="2"/>
          </rPr>
          <t xml:space="preserve">
Mobile phone estimated at $1/patient-day</t>
        </r>
      </text>
    </comment>
    <comment ref="AC33" authorId="0" shapeId="0" xr:uid="{DD704F0A-2D5F-2344-95E8-EA51147597D9}">
      <text>
        <r>
          <rPr>
            <b/>
            <sz val="10"/>
            <color rgb="FF000000"/>
            <rFont val="Tahoma"/>
            <family val="2"/>
          </rPr>
          <t>Geoff Schackmann:</t>
        </r>
        <r>
          <rPr>
            <sz val="10"/>
            <color rgb="FF000000"/>
            <rFont val="Tahoma"/>
            <family val="2"/>
          </rPr>
          <t xml:space="preserve">
Mobile phone estimated at $1/patient-day</t>
        </r>
      </text>
    </comment>
    <comment ref="AD33" authorId="0" shapeId="0" xr:uid="{E8FC3324-FEE0-7F44-9CA2-69B307AE9EC4}">
      <text>
        <r>
          <rPr>
            <b/>
            <sz val="10"/>
            <color rgb="FF000000"/>
            <rFont val="Tahoma"/>
            <family val="2"/>
          </rPr>
          <t>Geoff Schackmann:</t>
        </r>
        <r>
          <rPr>
            <sz val="10"/>
            <color rgb="FF000000"/>
            <rFont val="Tahoma"/>
            <family val="2"/>
          </rPr>
          <t xml:space="preserve">
Mobile phone estimated at $1/patient-day</t>
        </r>
      </text>
    </comment>
    <comment ref="AE33" authorId="0" shapeId="0" xr:uid="{82963A22-2AD1-4140-B556-3DEA8E3E56C9}">
      <text>
        <r>
          <rPr>
            <b/>
            <sz val="10"/>
            <color rgb="FF000000"/>
            <rFont val="Tahoma"/>
            <family val="2"/>
          </rPr>
          <t>Geoff Schackmann:</t>
        </r>
        <r>
          <rPr>
            <sz val="10"/>
            <color rgb="FF000000"/>
            <rFont val="Tahoma"/>
            <family val="2"/>
          </rPr>
          <t xml:space="preserve">
Mobile phone estimated at $1/patient-day</t>
        </r>
      </text>
    </comment>
    <comment ref="AF33" authorId="0" shapeId="0" xr:uid="{7ED6C1A8-ECE8-C749-A481-ADE4A2110FD2}">
      <text>
        <r>
          <rPr>
            <b/>
            <sz val="10"/>
            <color rgb="FF000000"/>
            <rFont val="Tahoma"/>
            <family val="2"/>
          </rPr>
          <t>Geoff Schackmann:</t>
        </r>
        <r>
          <rPr>
            <sz val="10"/>
            <color rgb="FF000000"/>
            <rFont val="Tahoma"/>
            <family val="2"/>
          </rPr>
          <t xml:space="preserve">
Mobile phone estimated at $1/patient-day</t>
        </r>
      </text>
    </comment>
    <comment ref="AG33" authorId="0" shapeId="0" xr:uid="{5C7823B6-4125-254E-A15E-531DD03746D8}">
      <text>
        <r>
          <rPr>
            <b/>
            <sz val="10"/>
            <color rgb="FF000000"/>
            <rFont val="Tahoma"/>
            <family val="2"/>
          </rPr>
          <t>Geoff Schackmann:</t>
        </r>
        <r>
          <rPr>
            <sz val="10"/>
            <color rgb="FF000000"/>
            <rFont val="Tahoma"/>
            <family val="2"/>
          </rPr>
          <t xml:space="preserve">
Mobile phone estimated at $1/patient-day</t>
        </r>
      </text>
    </comment>
    <comment ref="AH33" authorId="0" shapeId="0" xr:uid="{7D0E571E-0269-3043-9A21-EB425A07B75E}">
      <text>
        <r>
          <rPr>
            <b/>
            <sz val="10"/>
            <color rgb="FF000000"/>
            <rFont val="Tahoma"/>
            <family val="2"/>
          </rPr>
          <t>Geoff Schackmann:</t>
        </r>
        <r>
          <rPr>
            <sz val="10"/>
            <color rgb="FF000000"/>
            <rFont val="Tahoma"/>
            <family val="2"/>
          </rPr>
          <t xml:space="preserve">
Mobile phone estimated at $1/patient-day</t>
        </r>
      </text>
    </comment>
    <comment ref="AI33" authorId="0" shapeId="0" xr:uid="{EAAA96D0-79A1-044F-8CAF-4AEB0603C693}">
      <text>
        <r>
          <rPr>
            <b/>
            <sz val="10"/>
            <color rgb="FF000000"/>
            <rFont val="Tahoma"/>
            <family val="2"/>
          </rPr>
          <t>Geoff Schackmann:</t>
        </r>
        <r>
          <rPr>
            <sz val="10"/>
            <color rgb="FF000000"/>
            <rFont val="Tahoma"/>
            <family val="2"/>
          </rPr>
          <t xml:space="preserve">
Mobile phone estimated at $1/patient-day</t>
        </r>
      </text>
    </comment>
    <comment ref="AJ33" authorId="0" shapeId="0" xr:uid="{1C68F0F5-2C92-BD48-94FC-7734DD7B02E6}">
      <text>
        <r>
          <rPr>
            <b/>
            <sz val="10"/>
            <color rgb="FF000000"/>
            <rFont val="Tahoma"/>
            <family val="2"/>
          </rPr>
          <t>Geoff Schackmann:</t>
        </r>
        <r>
          <rPr>
            <sz val="10"/>
            <color rgb="FF000000"/>
            <rFont val="Tahoma"/>
            <family val="2"/>
          </rPr>
          <t xml:space="preserve">
Mobile phone estimated at $1/patient-day</t>
        </r>
      </text>
    </comment>
    <comment ref="AK33" authorId="0" shapeId="0" xr:uid="{3AAD5C3C-967E-8845-8765-9C19ABB50257}">
      <text>
        <r>
          <rPr>
            <b/>
            <sz val="10"/>
            <color rgb="FF000000"/>
            <rFont val="Tahoma"/>
            <family val="2"/>
          </rPr>
          <t>Geoff Schackmann:</t>
        </r>
        <r>
          <rPr>
            <sz val="10"/>
            <color rgb="FF000000"/>
            <rFont val="Tahoma"/>
            <family val="2"/>
          </rPr>
          <t xml:space="preserve">
Mobile phone estimated at $1/patient-day</t>
        </r>
      </text>
    </comment>
    <comment ref="AL33" authorId="0" shapeId="0" xr:uid="{B0385559-BBCE-3A41-8D56-17C0F39E7822}">
      <text>
        <r>
          <rPr>
            <b/>
            <sz val="10"/>
            <color rgb="FF000000"/>
            <rFont val="Tahoma"/>
            <family val="2"/>
          </rPr>
          <t>Geoff Schackmann:</t>
        </r>
        <r>
          <rPr>
            <sz val="10"/>
            <color rgb="FF000000"/>
            <rFont val="Tahoma"/>
            <family val="2"/>
          </rPr>
          <t xml:space="preserve">
Mobile phone estimated at $1/patient-day</t>
        </r>
      </text>
    </comment>
    <comment ref="AM33" authorId="0" shapeId="0" xr:uid="{3C21542C-C8BE-834E-89B7-A4B7F6E2B880}">
      <text>
        <r>
          <rPr>
            <b/>
            <sz val="10"/>
            <color rgb="FF000000"/>
            <rFont val="Tahoma"/>
            <family val="2"/>
          </rPr>
          <t>Geoff Schackmann:</t>
        </r>
        <r>
          <rPr>
            <sz val="10"/>
            <color rgb="FF000000"/>
            <rFont val="Tahoma"/>
            <family val="2"/>
          </rPr>
          <t xml:space="preserve">
Mobile phone estimated at $1/patient-day</t>
        </r>
      </text>
    </comment>
    <comment ref="AN33" authorId="0" shapeId="0" xr:uid="{8092075E-4410-8A46-8F95-EE9320084888}">
      <text>
        <r>
          <rPr>
            <b/>
            <sz val="10"/>
            <color rgb="FF000000"/>
            <rFont val="Tahoma"/>
            <family val="2"/>
          </rPr>
          <t>Geoff Schackmann:</t>
        </r>
        <r>
          <rPr>
            <sz val="10"/>
            <color rgb="FF000000"/>
            <rFont val="Tahoma"/>
            <family val="2"/>
          </rPr>
          <t xml:space="preserve">
Mobile phone estimated at $1/patient-day</t>
        </r>
      </text>
    </comment>
    <comment ref="AO33" authorId="0" shapeId="0" xr:uid="{23D20FE5-018C-8547-82A5-2FA0309C80F0}">
      <text>
        <r>
          <rPr>
            <b/>
            <sz val="10"/>
            <color rgb="FF000000"/>
            <rFont val="Tahoma"/>
            <family val="2"/>
          </rPr>
          <t>Geoff Schackmann:</t>
        </r>
        <r>
          <rPr>
            <sz val="10"/>
            <color rgb="FF000000"/>
            <rFont val="Tahoma"/>
            <family val="2"/>
          </rPr>
          <t xml:space="preserve">
Mobile phone estimated at $1/patient-day</t>
        </r>
      </text>
    </comment>
    <comment ref="C53" authorId="0" shapeId="0" xr:uid="{51D01842-0BD8-E843-888D-18696D9D8E91}">
      <text>
        <r>
          <rPr>
            <b/>
            <sz val="10"/>
            <color rgb="FF000000"/>
            <rFont val="Tahoma"/>
            <family val="2"/>
          </rPr>
          <t>Geoff Schackmann:</t>
        </r>
        <r>
          <rPr>
            <sz val="10"/>
            <color rgb="FF000000"/>
            <rFont val="Tahoma"/>
            <family val="2"/>
          </rPr>
          <t xml:space="preserve">
Total health insurance from Staffing less COGS allocation</t>
        </r>
      </text>
    </comment>
    <comment ref="D53" authorId="0" shapeId="0" xr:uid="{DC93A544-EA4A-9C4B-9DD9-E3EFDB17D723}">
      <text>
        <r>
          <rPr>
            <b/>
            <sz val="10"/>
            <color rgb="FF000000"/>
            <rFont val="Tahoma"/>
            <family val="2"/>
          </rPr>
          <t>Geoff Schackmann:</t>
        </r>
        <r>
          <rPr>
            <sz val="10"/>
            <color rgb="FF000000"/>
            <rFont val="Tahoma"/>
            <family val="2"/>
          </rPr>
          <t xml:space="preserve">
Total health insurance from Staffing less COGS allocation</t>
        </r>
      </text>
    </comment>
    <comment ref="E53" authorId="0" shapeId="0" xr:uid="{2420729D-B636-144D-BD32-910D8EA3B97D}">
      <text>
        <r>
          <rPr>
            <b/>
            <sz val="10"/>
            <color rgb="FF000000"/>
            <rFont val="Tahoma"/>
            <family val="2"/>
          </rPr>
          <t>Geoff Schackmann:</t>
        </r>
        <r>
          <rPr>
            <sz val="10"/>
            <color rgb="FF000000"/>
            <rFont val="Tahoma"/>
            <family val="2"/>
          </rPr>
          <t xml:space="preserve">
Total health insurance from Staffing less COGS allocation</t>
        </r>
      </text>
    </comment>
    <comment ref="F53" authorId="0" shapeId="0" xr:uid="{003F5895-258B-9549-9C77-CD73015BF29C}">
      <text>
        <r>
          <rPr>
            <b/>
            <sz val="10"/>
            <color rgb="FF000000"/>
            <rFont val="Tahoma"/>
            <family val="2"/>
          </rPr>
          <t>Geoff Schackmann:</t>
        </r>
        <r>
          <rPr>
            <sz val="10"/>
            <color rgb="FF000000"/>
            <rFont val="Tahoma"/>
            <family val="2"/>
          </rPr>
          <t xml:space="preserve">
Total health insurance from Staffing less COGS allocation</t>
        </r>
      </text>
    </comment>
    <comment ref="G53" authorId="0" shapeId="0" xr:uid="{FAD5087F-683C-1643-B82C-E3811F47A124}">
      <text>
        <r>
          <rPr>
            <b/>
            <sz val="10"/>
            <color rgb="FF000000"/>
            <rFont val="Tahoma"/>
            <family val="2"/>
          </rPr>
          <t>Geoff Schackmann:</t>
        </r>
        <r>
          <rPr>
            <sz val="10"/>
            <color rgb="FF000000"/>
            <rFont val="Tahoma"/>
            <family val="2"/>
          </rPr>
          <t xml:space="preserve">
Total health insurance from Staffing less COGS allocation</t>
        </r>
      </text>
    </comment>
    <comment ref="H53" authorId="0" shapeId="0" xr:uid="{C2981270-0C4F-0B49-BDBB-A632837CD084}">
      <text>
        <r>
          <rPr>
            <b/>
            <sz val="10"/>
            <color rgb="FF000000"/>
            <rFont val="Tahoma"/>
            <family val="2"/>
          </rPr>
          <t>Geoff Schackmann:</t>
        </r>
        <r>
          <rPr>
            <sz val="10"/>
            <color rgb="FF000000"/>
            <rFont val="Tahoma"/>
            <family val="2"/>
          </rPr>
          <t xml:space="preserve">
Total health insurance from Staffing less COGS allocation</t>
        </r>
      </text>
    </comment>
    <comment ref="I53" authorId="0" shapeId="0" xr:uid="{73013329-5BAB-A140-A903-06D51B4B0A7F}">
      <text>
        <r>
          <rPr>
            <b/>
            <sz val="10"/>
            <color rgb="FF000000"/>
            <rFont val="Tahoma"/>
            <family val="2"/>
          </rPr>
          <t>Geoff Schackmann:</t>
        </r>
        <r>
          <rPr>
            <sz val="10"/>
            <color rgb="FF000000"/>
            <rFont val="Tahoma"/>
            <family val="2"/>
          </rPr>
          <t xml:space="preserve">
Total health insurance from Staffing less COGS allocation</t>
        </r>
      </text>
    </comment>
    <comment ref="J53" authorId="0" shapeId="0" xr:uid="{055518EB-6649-4440-988F-D9221343B19D}">
      <text>
        <r>
          <rPr>
            <b/>
            <sz val="10"/>
            <color rgb="FF000000"/>
            <rFont val="Tahoma"/>
            <family val="2"/>
          </rPr>
          <t>Geoff Schackmann:</t>
        </r>
        <r>
          <rPr>
            <sz val="10"/>
            <color rgb="FF000000"/>
            <rFont val="Tahoma"/>
            <family val="2"/>
          </rPr>
          <t xml:space="preserve">
Total health insurance from Staffing less COGS allocation</t>
        </r>
      </text>
    </comment>
    <comment ref="K53" authorId="0" shapeId="0" xr:uid="{DB41A78F-EE0D-B849-87D5-5F1D4980552A}">
      <text>
        <r>
          <rPr>
            <b/>
            <sz val="10"/>
            <color rgb="FF000000"/>
            <rFont val="Tahoma"/>
            <family val="2"/>
          </rPr>
          <t>Geoff Schackmann:</t>
        </r>
        <r>
          <rPr>
            <sz val="10"/>
            <color rgb="FF000000"/>
            <rFont val="Tahoma"/>
            <family val="2"/>
          </rPr>
          <t xml:space="preserve">
Total health insurance from Staffing less COGS allocation</t>
        </r>
      </text>
    </comment>
    <comment ref="L53" authorId="0" shapeId="0" xr:uid="{E94BF292-BFAB-6E46-8944-FA2D5EC868A1}">
      <text>
        <r>
          <rPr>
            <b/>
            <sz val="10"/>
            <color rgb="FF000000"/>
            <rFont val="Tahoma"/>
            <family val="2"/>
          </rPr>
          <t>Geoff Schackmann:</t>
        </r>
        <r>
          <rPr>
            <sz val="10"/>
            <color rgb="FF000000"/>
            <rFont val="Tahoma"/>
            <family val="2"/>
          </rPr>
          <t xml:space="preserve">
Total health insurance from Staffing less COGS allocation</t>
        </r>
      </text>
    </comment>
    <comment ref="M53" authorId="0" shapeId="0" xr:uid="{B2EA9E1F-D0D0-CE4A-B106-018120E11779}">
      <text>
        <r>
          <rPr>
            <b/>
            <sz val="10"/>
            <color rgb="FF000000"/>
            <rFont val="Tahoma"/>
            <family val="2"/>
          </rPr>
          <t>Geoff Schackmann:</t>
        </r>
        <r>
          <rPr>
            <sz val="10"/>
            <color rgb="FF000000"/>
            <rFont val="Tahoma"/>
            <family val="2"/>
          </rPr>
          <t xml:space="preserve">
Total health insurance from Staffing less COGS allocation</t>
        </r>
      </text>
    </comment>
    <comment ref="N53" authorId="0" shapeId="0" xr:uid="{B1CBF208-6FEA-F747-A9A3-7E04BD570444}">
      <text>
        <r>
          <rPr>
            <b/>
            <sz val="10"/>
            <color rgb="FF000000"/>
            <rFont val="Tahoma"/>
            <family val="2"/>
          </rPr>
          <t>Geoff Schackmann:</t>
        </r>
        <r>
          <rPr>
            <sz val="10"/>
            <color rgb="FF000000"/>
            <rFont val="Tahoma"/>
            <family val="2"/>
          </rPr>
          <t xml:space="preserve">
Total health insurance from Staffing less COGS allocation</t>
        </r>
      </text>
    </comment>
    <comment ref="O53" authorId="0" shapeId="0" xr:uid="{D262029A-A92C-4A43-A41C-6189C3B66AB4}">
      <text>
        <r>
          <rPr>
            <b/>
            <sz val="10"/>
            <color rgb="FF000000"/>
            <rFont val="Tahoma"/>
            <family val="2"/>
          </rPr>
          <t>Geoff Schackmann:</t>
        </r>
        <r>
          <rPr>
            <sz val="10"/>
            <color rgb="FF000000"/>
            <rFont val="Tahoma"/>
            <family val="2"/>
          </rPr>
          <t xml:space="preserve">
Total health insurance from Staffing less COGS allocation</t>
        </r>
      </text>
    </comment>
    <comment ref="P53" authorId="0" shapeId="0" xr:uid="{F18DBBCB-25AC-7C4B-AD1B-395F6FD95E1F}">
      <text>
        <r>
          <rPr>
            <b/>
            <sz val="10"/>
            <color rgb="FF000000"/>
            <rFont val="Tahoma"/>
            <family val="2"/>
          </rPr>
          <t>Geoff Schackmann:</t>
        </r>
        <r>
          <rPr>
            <sz val="10"/>
            <color rgb="FF000000"/>
            <rFont val="Tahoma"/>
            <family val="2"/>
          </rPr>
          <t xml:space="preserve">
Total health insurance from Staffing less COGS allocation</t>
        </r>
      </text>
    </comment>
    <comment ref="Q53" authorId="0" shapeId="0" xr:uid="{CD8117ED-CB0D-EB42-A2EE-5015DE039093}">
      <text>
        <r>
          <rPr>
            <b/>
            <sz val="10"/>
            <color rgb="FF000000"/>
            <rFont val="Tahoma"/>
            <family val="2"/>
          </rPr>
          <t>Geoff Schackmann:</t>
        </r>
        <r>
          <rPr>
            <sz val="10"/>
            <color rgb="FF000000"/>
            <rFont val="Tahoma"/>
            <family val="2"/>
          </rPr>
          <t xml:space="preserve">
Total health insurance from Staffing less COGS allocation</t>
        </r>
      </text>
    </comment>
    <comment ref="R53" authorId="0" shapeId="0" xr:uid="{FD0198CA-181A-1C4D-AE94-B776D04D4CC2}">
      <text>
        <r>
          <rPr>
            <b/>
            <sz val="10"/>
            <color rgb="FF000000"/>
            <rFont val="Tahoma"/>
            <family val="2"/>
          </rPr>
          <t>Geoff Schackmann:</t>
        </r>
        <r>
          <rPr>
            <sz val="10"/>
            <color rgb="FF000000"/>
            <rFont val="Tahoma"/>
            <family val="2"/>
          </rPr>
          <t xml:space="preserve">
Total health insurance from Staffing less COGS allocation</t>
        </r>
      </text>
    </comment>
    <comment ref="S53" authorId="0" shapeId="0" xr:uid="{1A0C5B7D-DC31-4148-875A-7EC3E9FBD301}">
      <text>
        <r>
          <rPr>
            <b/>
            <sz val="10"/>
            <color rgb="FF000000"/>
            <rFont val="Tahoma"/>
            <family val="2"/>
          </rPr>
          <t>Geoff Schackmann:</t>
        </r>
        <r>
          <rPr>
            <sz val="10"/>
            <color rgb="FF000000"/>
            <rFont val="Tahoma"/>
            <family val="2"/>
          </rPr>
          <t xml:space="preserve">
Total health insurance from Staffing less COGS allocation</t>
        </r>
      </text>
    </comment>
    <comment ref="T53" authorId="0" shapeId="0" xr:uid="{564A42ED-F23C-0545-AF99-05192E366C96}">
      <text>
        <r>
          <rPr>
            <b/>
            <sz val="10"/>
            <color rgb="FF000000"/>
            <rFont val="Tahoma"/>
            <family val="2"/>
          </rPr>
          <t>Geoff Schackmann:</t>
        </r>
        <r>
          <rPr>
            <sz val="10"/>
            <color rgb="FF000000"/>
            <rFont val="Tahoma"/>
            <family val="2"/>
          </rPr>
          <t xml:space="preserve">
Total health insurance from Staffing less COGS allocation</t>
        </r>
      </text>
    </comment>
    <comment ref="U53" authorId="0" shapeId="0" xr:uid="{C470ED03-E046-F44D-8889-930983CB1F84}">
      <text>
        <r>
          <rPr>
            <b/>
            <sz val="10"/>
            <color rgb="FF000000"/>
            <rFont val="Tahoma"/>
            <family val="2"/>
          </rPr>
          <t>Geoff Schackmann:</t>
        </r>
        <r>
          <rPr>
            <sz val="10"/>
            <color rgb="FF000000"/>
            <rFont val="Tahoma"/>
            <family val="2"/>
          </rPr>
          <t xml:space="preserve">
Total health insurance from Staffing less COGS allocation</t>
        </r>
      </text>
    </comment>
    <comment ref="V53" authorId="0" shapeId="0" xr:uid="{98C7EE59-3618-374A-BD91-A4D5A0534E7E}">
      <text>
        <r>
          <rPr>
            <b/>
            <sz val="10"/>
            <color rgb="FF000000"/>
            <rFont val="Tahoma"/>
            <family val="2"/>
          </rPr>
          <t>Geoff Schackmann:</t>
        </r>
        <r>
          <rPr>
            <sz val="10"/>
            <color rgb="FF000000"/>
            <rFont val="Tahoma"/>
            <family val="2"/>
          </rPr>
          <t xml:space="preserve">
Total health insurance from Staffing less COGS allocation</t>
        </r>
      </text>
    </comment>
    <comment ref="W53" authorId="0" shapeId="0" xr:uid="{A486D1EA-95BB-0A4C-B263-050FB8A9349F}">
      <text>
        <r>
          <rPr>
            <b/>
            <sz val="10"/>
            <color rgb="FF000000"/>
            <rFont val="Tahoma"/>
            <family val="2"/>
          </rPr>
          <t>Geoff Schackmann:</t>
        </r>
        <r>
          <rPr>
            <sz val="10"/>
            <color rgb="FF000000"/>
            <rFont val="Tahoma"/>
            <family val="2"/>
          </rPr>
          <t xml:space="preserve">
Total health insurance from Staffing less COGS allocation</t>
        </r>
      </text>
    </comment>
    <comment ref="X53" authorId="0" shapeId="0" xr:uid="{DF8ECAA8-92E1-3549-8C3F-FDA60B9CB595}">
      <text>
        <r>
          <rPr>
            <b/>
            <sz val="10"/>
            <color rgb="FF000000"/>
            <rFont val="Tahoma"/>
            <family val="2"/>
          </rPr>
          <t>Geoff Schackmann:</t>
        </r>
        <r>
          <rPr>
            <sz val="10"/>
            <color rgb="FF000000"/>
            <rFont val="Tahoma"/>
            <family val="2"/>
          </rPr>
          <t xml:space="preserve">
Total health insurance from Staffing less COGS allocation</t>
        </r>
      </text>
    </comment>
    <comment ref="Y53" authorId="0" shapeId="0" xr:uid="{A46CCA47-F221-B94C-A37C-B61F626242D8}">
      <text>
        <r>
          <rPr>
            <b/>
            <sz val="10"/>
            <color rgb="FF000000"/>
            <rFont val="Tahoma"/>
            <family val="2"/>
          </rPr>
          <t>Geoff Schackmann:</t>
        </r>
        <r>
          <rPr>
            <sz val="10"/>
            <color rgb="FF000000"/>
            <rFont val="Tahoma"/>
            <family val="2"/>
          </rPr>
          <t xml:space="preserve">
Total health insurance from Staffing less COGS allocation</t>
        </r>
      </text>
    </comment>
    <comment ref="Z53" authorId="0" shapeId="0" xr:uid="{44D03CFD-8BA9-9143-A5FA-5D2A31648860}">
      <text>
        <r>
          <rPr>
            <b/>
            <sz val="10"/>
            <color rgb="FF000000"/>
            <rFont val="Tahoma"/>
            <family val="2"/>
          </rPr>
          <t>Geoff Schackmann:</t>
        </r>
        <r>
          <rPr>
            <sz val="10"/>
            <color rgb="FF000000"/>
            <rFont val="Tahoma"/>
            <family val="2"/>
          </rPr>
          <t xml:space="preserve">
Total health insurance from Staffing less COGS allocation</t>
        </r>
      </text>
    </comment>
    <comment ref="AA53" authorId="0" shapeId="0" xr:uid="{970AA96B-6870-0D4B-9CD7-4E9D1C99EEE8}">
      <text>
        <r>
          <rPr>
            <b/>
            <sz val="10"/>
            <color rgb="FF000000"/>
            <rFont val="Tahoma"/>
            <family val="2"/>
          </rPr>
          <t>Geoff Schackmann:</t>
        </r>
        <r>
          <rPr>
            <sz val="10"/>
            <color rgb="FF000000"/>
            <rFont val="Tahoma"/>
            <family val="2"/>
          </rPr>
          <t xml:space="preserve">
Total health insurance from Staffing less COGS allocation</t>
        </r>
      </text>
    </comment>
    <comment ref="AB53" authorId="0" shapeId="0" xr:uid="{8C138A74-A76E-E242-9D2E-E65AD969A2B9}">
      <text>
        <r>
          <rPr>
            <b/>
            <sz val="10"/>
            <color rgb="FF000000"/>
            <rFont val="Tahoma"/>
            <family val="2"/>
          </rPr>
          <t>Geoff Schackmann:</t>
        </r>
        <r>
          <rPr>
            <sz val="10"/>
            <color rgb="FF000000"/>
            <rFont val="Tahoma"/>
            <family val="2"/>
          </rPr>
          <t xml:space="preserve">
Total health insurance from Staffing less COGS allocation</t>
        </r>
      </text>
    </comment>
    <comment ref="AC53" authorId="0" shapeId="0" xr:uid="{6A5A0591-E8C3-CD4D-B84D-6F82019CD338}">
      <text>
        <r>
          <rPr>
            <b/>
            <sz val="10"/>
            <color rgb="FF000000"/>
            <rFont val="Tahoma"/>
            <family val="2"/>
          </rPr>
          <t>Geoff Schackmann:</t>
        </r>
        <r>
          <rPr>
            <sz val="10"/>
            <color rgb="FF000000"/>
            <rFont val="Tahoma"/>
            <family val="2"/>
          </rPr>
          <t xml:space="preserve">
Total health insurance from Staffing less COGS allocation</t>
        </r>
      </text>
    </comment>
    <comment ref="AD53" authorId="0" shapeId="0" xr:uid="{0159AAB3-2BD5-F04E-9AF9-5F09BEF75A93}">
      <text>
        <r>
          <rPr>
            <b/>
            <sz val="10"/>
            <color rgb="FF000000"/>
            <rFont val="Tahoma"/>
            <family val="2"/>
          </rPr>
          <t>Geoff Schackmann:</t>
        </r>
        <r>
          <rPr>
            <sz val="10"/>
            <color rgb="FF000000"/>
            <rFont val="Tahoma"/>
            <family val="2"/>
          </rPr>
          <t xml:space="preserve">
Total health insurance from Staffing less COGS allocation</t>
        </r>
      </text>
    </comment>
    <comment ref="AE53" authorId="0" shapeId="0" xr:uid="{C39ECCBF-FBE9-6042-A646-28774652D040}">
      <text>
        <r>
          <rPr>
            <b/>
            <sz val="10"/>
            <color rgb="FF000000"/>
            <rFont val="Tahoma"/>
            <family val="2"/>
          </rPr>
          <t>Geoff Schackmann:</t>
        </r>
        <r>
          <rPr>
            <sz val="10"/>
            <color rgb="FF000000"/>
            <rFont val="Tahoma"/>
            <family val="2"/>
          </rPr>
          <t xml:space="preserve">
Total health insurance from Staffing less COGS allocation</t>
        </r>
      </text>
    </comment>
    <comment ref="AF53" authorId="0" shapeId="0" xr:uid="{03BF099A-99A1-0948-8558-6CE2435858D1}">
      <text>
        <r>
          <rPr>
            <b/>
            <sz val="10"/>
            <color rgb="FF000000"/>
            <rFont val="Tahoma"/>
            <family val="2"/>
          </rPr>
          <t>Geoff Schackmann:</t>
        </r>
        <r>
          <rPr>
            <sz val="10"/>
            <color rgb="FF000000"/>
            <rFont val="Tahoma"/>
            <family val="2"/>
          </rPr>
          <t xml:space="preserve">
Total health insurance from Staffing less COGS allocation</t>
        </r>
      </text>
    </comment>
    <comment ref="AG53" authorId="0" shapeId="0" xr:uid="{B285D649-E7B4-C341-8597-43398FC13596}">
      <text>
        <r>
          <rPr>
            <b/>
            <sz val="10"/>
            <color rgb="FF000000"/>
            <rFont val="Tahoma"/>
            <family val="2"/>
          </rPr>
          <t>Geoff Schackmann:</t>
        </r>
        <r>
          <rPr>
            <sz val="10"/>
            <color rgb="FF000000"/>
            <rFont val="Tahoma"/>
            <family val="2"/>
          </rPr>
          <t xml:space="preserve">
Total health insurance from Staffing less COGS allocation</t>
        </r>
      </text>
    </comment>
    <comment ref="AH53" authorId="0" shapeId="0" xr:uid="{6AAD1EC1-7AD8-0249-AB3F-86DF21378A45}">
      <text>
        <r>
          <rPr>
            <b/>
            <sz val="10"/>
            <color rgb="FF000000"/>
            <rFont val="Tahoma"/>
            <family val="2"/>
          </rPr>
          <t>Geoff Schackmann:</t>
        </r>
        <r>
          <rPr>
            <sz val="10"/>
            <color rgb="FF000000"/>
            <rFont val="Tahoma"/>
            <family val="2"/>
          </rPr>
          <t xml:space="preserve">
Total health insurance from Staffing less COGS allocation</t>
        </r>
      </text>
    </comment>
    <comment ref="AI53" authorId="0" shapeId="0" xr:uid="{8FA60B81-AF3D-074D-93F8-A84BE7BC1B90}">
      <text>
        <r>
          <rPr>
            <b/>
            <sz val="10"/>
            <color rgb="FF000000"/>
            <rFont val="Tahoma"/>
            <family val="2"/>
          </rPr>
          <t>Geoff Schackmann:</t>
        </r>
        <r>
          <rPr>
            <sz val="10"/>
            <color rgb="FF000000"/>
            <rFont val="Tahoma"/>
            <family val="2"/>
          </rPr>
          <t xml:space="preserve">
Total health insurance from Staffing less COGS allocation</t>
        </r>
      </text>
    </comment>
    <comment ref="AJ53" authorId="0" shapeId="0" xr:uid="{4C19A261-6694-6245-BB94-FCFAD0A5F98E}">
      <text>
        <r>
          <rPr>
            <b/>
            <sz val="10"/>
            <color rgb="FF000000"/>
            <rFont val="Tahoma"/>
            <family val="2"/>
          </rPr>
          <t>Geoff Schackmann:</t>
        </r>
        <r>
          <rPr>
            <sz val="10"/>
            <color rgb="FF000000"/>
            <rFont val="Tahoma"/>
            <family val="2"/>
          </rPr>
          <t xml:space="preserve">
Total health insurance from Staffing less COGS allocation</t>
        </r>
      </text>
    </comment>
    <comment ref="AK53" authorId="0" shapeId="0" xr:uid="{9F09DF0D-39A8-1849-8C24-BE1D38E7005A}">
      <text>
        <r>
          <rPr>
            <b/>
            <sz val="10"/>
            <color rgb="FF000000"/>
            <rFont val="Tahoma"/>
            <family val="2"/>
          </rPr>
          <t>Geoff Schackmann:</t>
        </r>
        <r>
          <rPr>
            <sz val="10"/>
            <color rgb="FF000000"/>
            <rFont val="Tahoma"/>
            <family val="2"/>
          </rPr>
          <t xml:space="preserve">
Total health insurance from Staffing less COGS allocation</t>
        </r>
      </text>
    </comment>
    <comment ref="AL53" authorId="0" shapeId="0" xr:uid="{01319DE9-B9E8-744C-A6C4-25C27517B635}">
      <text>
        <r>
          <rPr>
            <b/>
            <sz val="10"/>
            <color rgb="FF000000"/>
            <rFont val="Tahoma"/>
            <family val="2"/>
          </rPr>
          <t>Geoff Schackmann:</t>
        </r>
        <r>
          <rPr>
            <sz val="10"/>
            <color rgb="FF000000"/>
            <rFont val="Tahoma"/>
            <family val="2"/>
          </rPr>
          <t xml:space="preserve">
Total health insurance from Staffing less COGS allocation</t>
        </r>
      </text>
    </comment>
    <comment ref="AM53" authorId="0" shapeId="0" xr:uid="{86672166-040E-3F4C-AB1E-87848ED16115}">
      <text>
        <r>
          <rPr>
            <b/>
            <sz val="10"/>
            <color rgb="FF000000"/>
            <rFont val="Tahoma"/>
            <family val="2"/>
          </rPr>
          <t>Geoff Schackmann:</t>
        </r>
        <r>
          <rPr>
            <sz val="10"/>
            <color rgb="FF000000"/>
            <rFont val="Tahoma"/>
            <family val="2"/>
          </rPr>
          <t xml:space="preserve">
Total health insurance from Staffing less COGS allocation</t>
        </r>
      </text>
    </comment>
    <comment ref="AN53" authorId="0" shapeId="0" xr:uid="{7687AB06-8653-DE47-84EB-619C63AF3408}">
      <text>
        <r>
          <rPr>
            <b/>
            <sz val="10"/>
            <color rgb="FF000000"/>
            <rFont val="Tahoma"/>
            <family val="2"/>
          </rPr>
          <t>Geoff Schackmann:</t>
        </r>
        <r>
          <rPr>
            <sz val="10"/>
            <color rgb="FF000000"/>
            <rFont val="Tahoma"/>
            <family val="2"/>
          </rPr>
          <t xml:space="preserve">
Total health insurance from Staffing less COGS allocation</t>
        </r>
      </text>
    </comment>
    <comment ref="AO53" authorId="0" shapeId="0" xr:uid="{2D563700-3F93-AD4E-9139-0AD3450974D4}">
      <text>
        <r>
          <rPr>
            <b/>
            <sz val="10"/>
            <color rgb="FF000000"/>
            <rFont val="Tahoma"/>
            <family val="2"/>
          </rPr>
          <t>Geoff Schackmann:</t>
        </r>
        <r>
          <rPr>
            <sz val="10"/>
            <color rgb="FF000000"/>
            <rFont val="Tahoma"/>
            <family val="2"/>
          </rPr>
          <t xml:space="preserve">
Total health insurance from Staffing less COGS allocation</t>
        </r>
      </text>
    </comment>
  </commentList>
</comments>
</file>

<file path=xl/sharedStrings.xml><?xml version="1.0" encoding="utf-8"?>
<sst xmlns="http://schemas.openxmlformats.org/spreadsheetml/2006/main" count="1058" uniqueCount="613">
  <si>
    <t>AZALEA HOSPICE &amp; PALLIATIVE CARE — CONTROL TOWER (Assumptions Engine)</t>
  </si>
  <si>
    <t>Tyler Hospice OpCo, LLC · Lindale, TX · Go-Live June 2026 · All model values flow from this tab</t>
  </si>
  <si>
    <t>A.  PAYROLL BURDEN (each maps to a GL account)</t>
  </si>
  <si>
    <t>Employer FICA / SS / Medicare</t>
  </si>
  <si>
    <t>4130-0-Z-0</t>
  </si>
  <si>
    <t>7.65% statutory; on all W-2 wages</t>
  </si>
  <si>
    <t>FUTA + TX SUTA (unemployment)</t>
  </si>
  <si>
    <t>4131-0-Z-0 ADD</t>
  </si>
  <si>
    <t>~1.85% blended; on W-2 wages</t>
  </si>
  <si>
    <t>Workers' Compensation</t>
  </si>
  <si>
    <t>4135-0-Z-0 ADD</t>
  </si>
  <si>
    <t>3% of W-2 wages; broken out per request</t>
  </si>
  <si>
    <t>Health Insurance ($/mo per FT employee)</t>
  </si>
  <si>
    <t>4110-0-Z-0</t>
  </si>
  <si>
    <t>FT benefits-eligible only; PRN excluded</t>
  </si>
  <si>
    <t>B.  TRAVEL / MILEAGE (replaces flat vehicle allowance)</t>
  </si>
  <si>
    <t>IRS Mileage Rate ($/mile)</t>
  </si>
  <si>
    <t>5110-R-6-X</t>
  </si>
  <si>
    <t>Per payroll records</t>
  </si>
  <si>
    <t>Visits per day (FT field clinician)</t>
  </si>
  <si>
    <t>RN &amp; CNA route productivity</t>
  </si>
  <si>
    <t>Round-trip miles per visit</t>
  </si>
  <si>
    <t>Calibrated -&gt; mileage = 2% of revenue</t>
  </si>
  <si>
    <t>Working days per month</t>
  </si>
  <si>
    <t>Standard</t>
  </si>
  <si>
    <t>C.  CASELOAD &amp; GROWTH</t>
  </si>
  <si>
    <t>RN Case Manager caseload (1 : N)</t>
  </si>
  <si>
    <t>Drives RN FTE requirement</t>
  </si>
  <si>
    <t>CNA / Aide caseload (1 : N)</t>
  </si>
  <si>
    <t>Drives Aide FTE requirement</t>
  </si>
  <si>
    <t>Annual Merit / COL increase</t>
  </si>
  <si>
    <t>Applied start of Y2 and Y3</t>
  </si>
  <si>
    <t>Monthly Discharge Rate</t>
  </si>
  <si>
    <t>Industry standard</t>
  </si>
  <si>
    <t>Avg Days per Month</t>
  </si>
  <si>
    <t>For per-patient-day metrics</t>
  </si>
  <si>
    <t>D.  PRN VISIT ASSUMPTIONS (visits per patient per month x rate)</t>
  </si>
  <si>
    <t>On-Call LVN - visits/pt/mo</t>
  </si>
  <si>
    <t>4000-R-6-4</t>
  </si>
  <si>
    <t>After-hours coverage</t>
  </si>
  <si>
    <t>On-Call LVN - rate per visit</t>
  </si>
  <si>
    <t>Confirm: payroll showed $75</t>
  </si>
  <si>
    <t>Chaplain (SC) - visits/pt/mo</t>
  </si>
  <si>
    <t>4000-R-6-7</t>
  </si>
  <si>
    <t>NHPCO 1-2/mo; conservative</t>
  </si>
  <si>
    <t>Chaplain - rate per visit</t>
  </si>
  <si>
    <t>Per payroll</t>
  </si>
  <si>
    <t>Social Worker (MSW) - visits/pt/mo</t>
  </si>
  <si>
    <t>4000-R-6-6</t>
  </si>
  <si>
    <t>Required assessments</t>
  </si>
  <si>
    <t>Social Worker - rate per visit</t>
  </si>
  <si>
    <t>Nurse Practitioner - visits/pt/mo</t>
  </si>
  <si>
    <t>4000-R-6-N</t>
  </si>
  <si>
    <t>F2F recert visits</t>
  </si>
  <si>
    <t>Nurse Practitioner - rate per visit</t>
  </si>
  <si>
    <t>E.  CONTRACTED &amp; PRN-RETAINER ROLES</t>
  </si>
  <si>
    <t>Medical Director ($/mo)</t>
  </si>
  <si>
    <t>4020-R-6-M</t>
  </si>
  <si>
    <t>CoP req Day 1; contracted, no burden</t>
  </si>
  <si>
    <t>Silas - PRN Admin retainer ($/mo, M1-M2)</t>
  </si>
  <si>
    <t>4020-0-A-0</t>
  </si>
  <si>
    <t>Administrator of record; PRN</t>
  </si>
  <si>
    <t>Dana - PRN Clinical contract ($/mo, M1)</t>
  </si>
  <si>
    <t>4020-0-C-0</t>
  </si>
  <si>
    <t>DON oversight; PRN month 1</t>
  </si>
  <si>
    <t>F.  ANNUAL BASE SALARIES - FT (Year 1) · Source: Payroll Jan-Mar 2026</t>
  </si>
  <si>
    <t>Brad Woodard - Marketing (M1)</t>
  </si>
  <si>
    <t>4000-0-M-0</t>
  </si>
  <si>
    <t>Director of Sales / Marketer</t>
  </si>
  <si>
    <t>Jodi McCollum - RN-CM (M1)</t>
  </si>
  <si>
    <t>4000-R-6-1</t>
  </si>
  <si>
    <t>Tanisha Robison - Aide (M1)</t>
  </si>
  <si>
    <t>4000-R-6-5</t>
  </si>
  <si>
    <t>Angie Frost - RN-CM (M2)</t>
  </si>
  <si>
    <t>Rhonda Smith - Intake/Office (M2)</t>
  </si>
  <si>
    <t>4000-0-I-0</t>
  </si>
  <si>
    <t>PT; intake+admissions+office</t>
  </si>
  <si>
    <t>Dana Davenport - FT Clinical Admin (M2)</t>
  </si>
  <si>
    <t>4000-0-C-0</t>
  </si>
  <si>
    <t>Converts from PRN</t>
  </si>
  <si>
    <t>Clarenca Wooten - Aide (M3)</t>
  </si>
  <si>
    <t>Silas Shelton - FT Administrator (M3)</t>
  </si>
  <si>
    <t>4000-0-A-0</t>
  </si>
  <si>
    <t>Converts from PRN retainer</t>
  </si>
  <si>
    <t>Generic RN hire (avg, ratio-driven)</t>
  </si>
  <si>
    <t>Auto-added when ADC&gt;30</t>
  </si>
  <si>
    <t>Generic Aide hire (avg, ratio-driven)</t>
  </si>
  <si>
    <t>Auto-added when ADC&gt;24</t>
  </si>
  <si>
    <t>LEGEND</t>
  </si>
  <si>
    <t>BLUE = input you can change</t>
  </si>
  <si>
    <t>BLACK = formula</t>
  </si>
  <si>
    <t>GREEN = cross-sheet link / GL account</t>
  </si>
  <si>
    <t>YELLOW = flagged: confirm or add to QBO</t>
  </si>
  <si>
    <t>G.  REVENUE - MEDICARE RHC (FY2026 published rates)</t>
  </si>
  <si>
    <t>RHC rate days 1-60 ($/day, national)</t>
  </si>
  <si>
    <t>3000-R-6-0</t>
  </si>
  <si>
    <t>FY2026 final rule; pre-wage-index</t>
  </si>
  <si>
    <t>RHC rate days 61+ ($/day, national)</t>
  </si>
  <si>
    <t>~FY2025 x2.6%; confirm vs rate table</t>
  </si>
  <si>
    <t>Tyler CBSA 46340 wage index</t>
  </si>
  <si>
    <t>Confirm FY2026 hospice WI addendum</t>
  </si>
  <si>
    <t>RHC labor share</t>
  </si>
  <si>
    <t>FY2026; non-labor 34%</t>
  </si>
  <si>
    <t>% patient-days in tier 1 (days 1-60)</t>
  </si>
  <si>
    <t>LOS mix; tune to validate</t>
  </si>
  <si>
    <t>Sequestration reduction</t>
  </si>
  <si>
    <t>2% Medicare reduction (applied)</t>
  </si>
  <si>
    <t>Service Intensity Add-On (SIA)</t>
  </si>
  <si>
    <t>Excluded (conservative)</t>
  </si>
  <si>
    <t>Billing fee (% of gross)</t>
  </si>
  <si>
    <t>Deducted to net revenue</t>
  </si>
  <si>
    <t>Medicare aggregate cap / beneficiary</t>
  </si>
  <si>
    <t>FY2026 cap amount</t>
  </si>
  <si>
    <t>H.  OPERATING BUDGET — DIRECT PATIENT CARE (per patient-day) &amp; OVERHEAD</t>
  </si>
  <si>
    <t>DME rental ($/patient-day)</t>
  </si>
  <si>
    <t>5050-R-6-0</t>
  </si>
  <si>
    <t>Beds, O2, lift equip</t>
  </si>
  <si>
    <t>Medications ($/patient-day)</t>
  </si>
  <si>
    <t>5100-R-6-0</t>
  </si>
  <si>
    <t>Contracted Rx formulary</t>
  </si>
  <si>
    <t>Medical supplies ($/patient-day)</t>
  </si>
  <si>
    <t>5090-R-6-0</t>
  </si>
  <si>
    <t>Dressings, gloves, PPE</t>
  </si>
  <si>
    <t>Continuing ed + credentialing ($/PD)</t>
  </si>
  <si>
    <t>6560-R-6-X</t>
  </si>
  <si>
    <t>Estimate — confirm</t>
  </si>
  <si>
    <t>Mileage (% of net revenue)</t>
  </si>
  <si>
    <t>5110-R-6-0</t>
  </si>
  <si>
    <t>Blended clinical travel</t>
  </si>
  <si>
    <t>EMR ($/patient/month)</t>
  </si>
  <si>
    <t>6530-0-Z-0</t>
  </si>
  <si>
    <t>Above ~14 census</t>
  </si>
  <si>
    <t>EMR monthly floor ($)</t>
  </si>
  <si>
    <t>Until census ~14</t>
  </si>
  <si>
    <t>Facility rent ($/mo) Y1 / Y2 / Y3</t>
  </si>
  <si>
    <t>Y2 5000 / Y3 7000</t>
  </si>
  <si>
    <t>Insurance stack ($/mo) Y1 / Y2 / Y3</t>
  </si>
  <si>
    <t>Y2 3833 / Y3 4333</t>
  </si>
  <si>
    <t>Legal ($/mo)</t>
  </si>
  <si>
    <t>6600-0-Z-0</t>
  </si>
  <si>
    <t>Heavier in startup</t>
  </si>
  <si>
    <t>Accounting / payroll fees ($/mo)</t>
  </si>
  <si>
    <t>6510-0-Z-0</t>
  </si>
  <si>
    <t>Incl Gusto</t>
  </si>
  <si>
    <t>Regulatory consulting ($/mo)</t>
  </si>
  <si>
    <t>6550-0-Z-0</t>
  </si>
  <si>
    <t>Lee / Harris — CHOW/PPEO</t>
  </si>
  <si>
    <t>Marketing — advertising ($/mo)</t>
  </si>
  <si>
    <t>6800-1-M-0</t>
  </si>
  <si>
    <t>Marketing — brochures/materials ($/mo)</t>
  </si>
  <si>
    <t>6800-2-M-0</t>
  </si>
  <si>
    <t>Office supplies ($/mo)</t>
  </si>
  <si>
    <t>6650-0-Z-0</t>
  </si>
  <si>
    <t>Telephone / communications ($/mo)</t>
  </si>
  <si>
    <t>6710-0-Z-0</t>
  </si>
  <si>
    <t>Utilities ($/mo)</t>
  </si>
  <si>
    <t>6150-0-Z-0</t>
  </si>
  <si>
    <t>Bank service charges ($/mo)</t>
  </si>
  <si>
    <t>6520-0-Z-0</t>
  </si>
  <si>
    <t>Dues / subscriptions ($/mo)</t>
  </si>
  <si>
    <t>6570-0-Z-0</t>
  </si>
  <si>
    <t>I.  CAPITAL / FINANCING</t>
  </si>
  <si>
    <t>Acquisition intangible ($)</t>
  </si>
  <si>
    <t>intangible</t>
  </si>
  <si>
    <t>Avant license/goodwill</t>
  </si>
  <si>
    <t>Intangible amortization (years)</t>
  </si>
  <si>
    <t>amort</t>
  </si>
  <si>
    <t>Sec.197 straight-line</t>
  </si>
  <si>
    <t>SBA 7(a) principal ($)</t>
  </si>
  <si>
    <t>2400</t>
  </si>
  <si>
    <t>SBA rate (APR)</t>
  </si>
  <si>
    <t>10-yr term</t>
  </si>
  <si>
    <t>SBA term (years)</t>
  </si>
  <si>
    <t>Seller note financed ($)</t>
  </si>
  <si>
    <t>After $50K down + M6 balloon</t>
  </si>
  <si>
    <t>Seller note rate</t>
  </si>
  <si>
    <t>Simple, per MIPA</t>
  </si>
  <si>
    <t>TX franchise/margin tax (eff. rate)</t>
  </si>
  <si>
    <t>~0.375% retail/wholesale est</t>
  </si>
  <si>
    <t>COA MAPPING — Staffing Lines to QuickBooks Accounts</t>
  </si>
  <si>
    <t>GL Account</t>
  </si>
  <si>
    <t>Account Name</t>
  </si>
  <si>
    <t>Model Line</t>
  </si>
  <si>
    <t>Notes</t>
  </si>
  <si>
    <t>Direct Care:Wages-RN-RHC</t>
  </si>
  <si>
    <t>Jodi, Angie, Generic RN</t>
  </si>
  <si>
    <t>Salaried RN case managers</t>
  </si>
  <si>
    <t>Direct Care:Wages-Aide-RHC</t>
  </si>
  <si>
    <t>Tanisha, Clarenca, Generic Aide</t>
  </si>
  <si>
    <t>Salaried hospice aides</t>
  </si>
  <si>
    <t>Direct Care:Wages-LVN On Call-RHC</t>
  </si>
  <si>
    <t>PRN On-Call LVN</t>
  </si>
  <si>
    <t>Per-visit, after-hours</t>
  </si>
  <si>
    <t>Direct Care:Wages-MSW-RHC</t>
  </si>
  <si>
    <t>PRN Social Worker</t>
  </si>
  <si>
    <t>Per-visit</t>
  </si>
  <si>
    <t>Direct Care:Wages-SC-RHC</t>
  </si>
  <si>
    <t>PRN Chaplain</t>
  </si>
  <si>
    <t>Per-visit spiritual care</t>
  </si>
  <si>
    <t>Direct Care:Wages-Nurse Practitioner-RHC</t>
  </si>
  <si>
    <t>PRN NP</t>
  </si>
  <si>
    <t>Indirect Expense:Wages-Marketing</t>
  </si>
  <si>
    <t>Brad Woodard</t>
  </si>
  <si>
    <t>Director of Sales</t>
  </si>
  <si>
    <t>Allocable:Intake:Wages-Intake/Admit</t>
  </si>
  <si>
    <t>Rhonda Smith</t>
  </si>
  <si>
    <t>Intake+admissions+office</t>
  </si>
  <si>
    <t>Indirect Expense:Wages-Administrative</t>
  </si>
  <si>
    <t>Silas (FT, M3+)</t>
  </si>
  <si>
    <t>Administrator</t>
  </si>
  <si>
    <t>Indirect Expense:Wages-Clinical Administration</t>
  </si>
  <si>
    <t>Dana (FT, M2+)</t>
  </si>
  <si>
    <t>DON / Clinical Services</t>
  </si>
  <si>
    <t>Indirect Expense:Contract Labor-Administrative</t>
  </si>
  <si>
    <t>Silas PRN retainer (M1-M2)</t>
  </si>
  <si>
    <t>Admin of record, PRN</t>
  </si>
  <si>
    <t>Indirect Expense:Contract Labor-Clinical Admin.</t>
  </si>
  <si>
    <t>Dana PRN contract (M1)</t>
  </si>
  <si>
    <t>Clinical oversight, PRN</t>
  </si>
  <si>
    <t>Direct Care:Contract Labor-Physician-RHC</t>
  </si>
  <si>
    <t>Medical Director</t>
  </si>
  <si>
    <t>$4,000/mo contracted</t>
  </si>
  <si>
    <t>Allocable:Benefits:Health Insurance</t>
  </si>
  <si>
    <t>Health Insurance</t>
  </si>
  <si>
    <t>$500/mo per FT employee</t>
  </si>
  <si>
    <t>Allocable:Benefits:FICA/SS Tax</t>
  </si>
  <si>
    <t>Employer FICA</t>
  </si>
  <si>
    <t>7.65% on W-2 wages</t>
  </si>
  <si>
    <t>4131-0-Z-0</t>
  </si>
  <si>
    <t>Allocable:Benefits:Unemployment Taxes  ADD</t>
  </si>
  <si>
    <t>FUTA/SUTA</t>
  </si>
  <si>
    <t>PROPOSED - not yet in COA</t>
  </si>
  <si>
    <t>4135-0-Z-0</t>
  </si>
  <si>
    <t>Allocable:Benefits:Workers Compensation  ADD</t>
  </si>
  <si>
    <t>Workers' Comp</t>
  </si>
  <si>
    <t>5110-R-6-1</t>
  </si>
  <si>
    <t>Direct Care:Mileage-RN-RHC</t>
  </si>
  <si>
    <t>RN mileage</t>
  </si>
  <si>
    <t>$0.50/mi</t>
  </si>
  <si>
    <t>5110-R-6-5</t>
  </si>
  <si>
    <t>Direct Care:Mileage-Aide-RHC</t>
  </si>
  <si>
    <t>Aide mileage</t>
  </si>
  <si>
    <t>5110-R-6-4</t>
  </si>
  <si>
    <t>Direct Care:Mileage-LVN On Call-RHC</t>
  </si>
  <si>
    <t>PRN LVN mileage</t>
  </si>
  <si>
    <t>Per dispatched visit</t>
  </si>
  <si>
    <t>5110-R-6-6</t>
  </si>
  <si>
    <t>Direct Care:Mileage-MSW-RHC</t>
  </si>
  <si>
    <t>PRN SW mileage</t>
  </si>
  <si>
    <t>Per visit</t>
  </si>
  <si>
    <t>5110-R-6-7</t>
  </si>
  <si>
    <t>Direct Care:Mileage-SC-RHC</t>
  </si>
  <si>
    <t>PRN chaplain mileage</t>
  </si>
  <si>
    <t>5110-R-6-N</t>
  </si>
  <si>
    <t>Direct Care:Mileage-Nurse Practitioner-RHC</t>
  </si>
  <si>
    <t>PRN NP mileage</t>
  </si>
  <si>
    <t>6620-0-M-0</t>
  </si>
  <si>
    <t>Indirect Expense:Mileage-Marketing</t>
  </si>
  <si>
    <t>Brad marketing mileage</t>
  </si>
  <si>
    <t>Non-patient; flat budget</t>
  </si>
  <si>
    <t>CENSUS WATERFALL — 36-Month ADC Ramp · 15% Monthly Discharge</t>
  </si>
  <si>
    <t>Target ADC drives staffing &amp; revenue. Admits = ADC growth + discharges. M1-M3 inputs; M4+ ramp.</t>
  </si>
  <si>
    <t>Month</t>
  </si>
  <si>
    <t>Year</t>
  </si>
  <si>
    <t>Target ADC</t>
  </si>
  <si>
    <t>Beg.Census</t>
  </si>
  <si>
    <t>Disch.Rate</t>
  </si>
  <si>
    <t>Discharges</t>
  </si>
  <si>
    <t>Admits Req'd</t>
  </si>
  <si>
    <t>End.Census</t>
  </si>
  <si>
    <t>M1</t>
  </si>
  <si>
    <t>Year 1</t>
  </si>
  <si>
    <t>CHOW transfer patients (Avant MIPA)</t>
  </si>
  <si>
    <t>M2</t>
  </si>
  <si>
    <t>Referral network build</t>
  </si>
  <si>
    <t>M3</t>
  </si>
  <si>
    <t>M4</t>
  </si>
  <si>
    <t>M5</t>
  </si>
  <si>
    <t>M6</t>
  </si>
  <si>
    <t>M7</t>
  </si>
  <si>
    <t>M8</t>
  </si>
  <si>
    <t>M9</t>
  </si>
  <si>
    <t>M10</t>
  </si>
  <si>
    <t>M11</t>
  </si>
  <si>
    <t>M12</t>
  </si>
  <si>
    <t>Y1 target 33 ADC (avg ~24)</t>
  </si>
  <si>
    <t>M13</t>
  </si>
  <si>
    <t>Year 2</t>
  </si>
  <si>
    <t>M14</t>
  </si>
  <si>
    <t>M15</t>
  </si>
  <si>
    <t>M16</t>
  </si>
  <si>
    <t>M17</t>
  </si>
  <si>
    <t>M18</t>
  </si>
  <si>
    <t>M19</t>
  </si>
  <si>
    <t>M20</t>
  </si>
  <si>
    <t>M21</t>
  </si>
  <si>
    <t>M22</t>
  </si>
  <si>
    <t>M23</t>
  </si>
  <si>
    <t>M24</t>
  </si>
  <si>
    <t>Y2 target 50 ADC</t>
  </si>
  <si>
    <t>M25</t>
  </si>
  <si>
    <t>Year 3</t>
  </si>
  <si>
    <t>M26</t>
  </si>
  <si>
    <t>M27</t>
  </si>
  <si>
    <t>M28</t>
  </si>
  <si>
    <t>M29</t>
  </si>
  <si>
    <t>M30</t>
  </si>
  <si>
    <t>M31</t>
  </si>
  <si>
    <t>M32</t>
  </si>
  <si>
    <t>M33</t>
  </si>
  <si>
    <t>M34</t>
  </si>
  <si>
    <t>M35</t>
  </si>
  <si>
    <t>M36</t>
  </si>
  <si>
    <t>Y3 target 60 ADC</t>
  </si>
  <si>
    <t>ANNUAL AVERAGE ADC</t>
  </si>
  <si>
    <t>REVENUE MODEL — 100% Medicare RHC · FY2026 Rates · Bottom-Up with Validation</t>
  </si>
  <si>
    <t>Wage-adjusted FY2026 RHC rates · 2% sequestration · SIA excluded · 1.5% billing fee · all rates flow from Control Tower Section G</t>
  </si>
  <si>
    <t>A.  RATE BUILD (per patient day)</t>
  </si>
  <si>
    <t>RHC rate, days 1-60 ($/day)</t>
  </si>
  <si>
    <t>national, FY2026</t>
  </si>
  <si>
    <t>RHC rate, days 61+ ($/day)</t>
  </si>
  <si>
    <t>confirm WI addendum</t>
  </si>
  <si>
    <t>Wage-index adjustment factor</t>
  </si>
  <si>
    <t>Wage-adjusted rate, days 1-60</t>
  </si>
  <si>
    <t>labor share x WI + non-labor</t>
  </si>
  <si>
    <t>Wage-adjusted rate, days 61+</t>
  </si>
  <si>
    <t>% patient-days in tier 1 (1-60)</t>
  </si>
  <si>
    <t>LOS mix — tune to validate</t>
  </si>
  <si>
    <t>Blended gross rate ($/day)</t>
  </si>
  <si>
    <t>weighted by LOS mix</t>
  </si>
  <si>
    <t>After 2% sequestration ($/day)</t>
  </si>
  <si>
    <t>Medicare payment/day</t>
  </si>
  <si>
    <t>Net rate after billing fee ($/day)</t>
  </si>
  <si>
    <t>net revenue per patient day</t>
  </si>
  <si>
    <t>B.  MONTHLY BILLED REVENUE</t>
  </si>
  <si>
    <t>Line</t>
  </si>
  <si>
    <t>Y1</t>
  </si>
  <si>
    <t>Y2</t>
  </si>
  <si>
    <t>Y3</t>
  </si>
  <si>
    <t>ADC (from Census Waterfall)</t>
  </si>
  <si>
    <t>Days in month</t>
  </si>
  <si>
    <t>Patient-days</t>
  </si>
  <si>
    <t>Gross Medicare (post-sequestration)</t>
  </si>
  <si>
    <t>Less: billing fee (1.5%)</t>
  </si>
  <si>
    <t>NET REVENUE</t>
  </si>
  <si>
    <t>C.  VALIDATION vs HANDOFF BRIEF</t>
  </si>
  <si>
    <t>Net Revenue</t>
  </si>
  <si>
    <t>Bottom-Up (model)</t>
  </si>
  <si>
    <t>Brief Target</t>
  </si>
  <si>
    <t>Variance</t>
  </si>
  <si>
    <t>D.  MEDICARE AGGREGATE CAP CHECK (FY2026 cap $35,361.44 / beneficiary)</t>
  </si>
  <si>
    <t>Beneficiaries</t>
  </si>
  <si>
    <t>Cap Allowable</t>
  </si>
  <si>
    <t>Gross Medicare</t>
  </si>
  <si>
    <t>Headroom</t>
  </si>
  <si>
    <t>Rev/Benef.</t>
  </si>
  <si>
    <t>Headroom positive = no cap liability. Note: sensitive to ALOS; 15%/mo discharge implies long stays — validate.</t>
  </si>
  <si>
    <t>E.  COLLECTIONS TIMING — BASE CASE (first claim M2/Jul 1 · ~2-mo lag · PPEO hold M6-M8, released M9)</t>
  </si>
  <si>
    <t>Net revenue billed</t>
  </si>
  <si>
    <t>Medicare cash collected (w/ PPEO hold)</t>
  </si>
  <si>
    <t>Cumulative cash vs billed (gap)</t>
  </si>
  <si>
    <t>Max cumulative gap = working-capital bridge the $500K SBA funds.</t>
  </si>
  <si>
    <t>STAFFING SUMMARY — 36-Month Engine · COA-Tagged · Census-Ratio Driven</t>
  </si>
  <si>
    <t>Burden: FICA 7.65% + FUTA/SUTA 1.85% + WC 3% on W-2 wages · Health $500/mo per FT · Mileage $0.50/mi · Merit 3% Y2/Y3</t>
  </si>
  <si>
    <t>Line Item</t>
  </si>
  <si>
    <t>Start</t>
  </si>
  <si>
    <t>Y1 Tot</t>
  </si>
  <si>
    <t>Y2 Tot</t>
  </si>
  <si>
    <t>Y3 Tot</t>
  </si>
  <si>
    <t>DRIVERS</t>
  </si>
  <si>
    <t>Month Index</t>
  </si>
  <si>
    <t>Salary Escalation Factor</t>
  </si>
  <si>
    <t>RN-CM FTEs required</t>
  </si>
  <si>
    <t>Aide FTEs required</t>
  </si>
  <si>
    <t>DIRECT CARE — WAGES (Cost of Care)</t>
  </si>
  <si>
    <t>Jodi McCollum — RN-CM</t>
  </si>
  <si>
    <t>Angie Frost — RN-CM</t>
  </si>
  <si>
    <t>Generic RN hire(s) — ratio</t>
  </si>
  <si>
    <t>ADC&gt;30</t>
  </si>
  <si>
    <t>Tanisha Robison — Aide</t>
  </si>
  <si>
    <t>Clarenca Wooten — Aide</t>
  </si>
  <si>
    <t>Generic Aide hire(s) — ratio</t>
  </si>
  <si>
    <t>ADC&gt;24</t>
  </si>
  <si>
    <t>Subtotal — Direct Care Salaried Wages</t>
  </si>
  <si>
    <t>DIRECT CARE — PRN VISIT WAGES (volume = ADC x visits/pt/mo x rate)</t>
  </si>
  <si>
    <t>PRN Chaplain (SC)</t>
  </si>
  <si>
    <t>PRN Social Worker (MSW)</t>
  </si>
  <si>
    <t>PRN Nurse Practitioner</t>
  </si>
  <si>
    <t>Subtotal — PRN Visit Wages</t>
  </si>
  <si>
    <t>INDIRECT — WAGES (Overhead)</t>
  </si>
  <si>
    <t>Brad Woodard — Marketing</t>
  </si>
  <si>
    <t>Rhonda Smith — Intake/Office</t>
  </si>
  <si>
    <t>Silas Shelton — Administrator (FT)</t>
  </si>
  <si>
    <t>Dana Davenport — Clinical Admin (FT)</t>
  </si>
  <si>
    <t>Subtotal — Indirect Wages</t>
  </si>
  <si>
    <t>CONTRACT LABOR (no employer burden)</t>
  </si>
  <si>
    <t>Silas — PRN Admin retainer</t>
  </si>
  <si>
    <t>M1-2</t>
  </si>
  <si>
    <t>Dana — PRN Clinical contract</t>
  </si>
  <si>
    <t>Subtotal — Contract Labor</t>
  </si>
  <si>
    <t>PAYROLL BURDEN (on W-2 wages: salaried + PRN visit)</t>
  </si>
  <si>
    <t>W-2 Wage Base (Direct salaried + PRN + Indirect)</t>
  </si>
  <si>
    <t>FUTA/SUTA Unemployment</t>
  </si>
  <si>
    <t>Subtotal — Payroll Burden</t>
  </si>
  <si>
    <t>TOTAL FULLY-LOADED LABOR (wages + burden; mileage now in OpEx)</t>
  </si>
  <si>
    <t>TOTAL LABOR COST</t>
  </si>
  <si>
    <t>VALIDATION KPIs</t>
  </si>
  <si>
    <t>Direct Care LABOR (wages + PRN, ex-burden)</t>
  </si>
  <si>
    <t>Direct Care LABOR $/Patient Day (labor only; full $90-120 benchmark adds Rx/DME/supplies)</t>
  </si>
  <si>
    <t>EBITDA</t>
  </si>
  <si>
    <t>PRE-TAX INCOME</t>
  </si>
  <si>
    <t>STRESS TESTS — Downside Scenarios</t>
  </si>
  <si>
    <t>PPEO freeze modeled in full on the collections side below. Cash-runway &amp; EBITDA columns complete once the Cash Flow tab is built.</t>
  </si>
  <si>
    <t>A.  SCENARIO DEFINITIONS</t>
  </si>
  <si>
    <t>Scenario</t>
  </si>
  <si>
    <t>Driver</t>
  </si>
  <si>
    <t>Base → Stress · Period</t>
  </si>
  <si>
    <t>PPEO cash freeze</t>
  </si>
  <si>
    <t>Medicare collections</t>
  </si>
  <si>
    <t>Hold M6-M8 → 100% frozen 12 mo from 1st claim (M2)</t>
  </si>
  <si>
    <t>Revenue -20%</t>
  </si>
  <si>
    <t>ADC x rate</t>
  </si>
  <si>
    <t>100% → 80%, full 36 mo</t>
  </si>
  <si>
    <t>Wage +15%</t>
  </si>
  <si>
    <t>All W-2 wages</t>
  </si>
  <si>
    <t>100% → 115%, full 36 mo</t>
  </si>
  <si>
    <t>Census slip 3 mo</t>
  </si>
  <si>
    <t>Ramp start</t>
  </si>
  <si>
    <t>M1 → shift +3 mo (one-time)</t>
  </si>
  <si>
    <t>Combined downside</t>
  </si>
  <si>
    <t>Rev / Wage / Freeze</t>
  </si>
  <si>
    <t>-10% rev / +10% wage / 6-mo freeze</t>
  </si>
  <si>
    <t>B.  PPEO COLLECTIONS STRESS — Base (M6-M8 hold) vs Stress (12-mo freeze)</t>
  </si>
  <si>
    <t>Max/End</t>
  </si>
  <si>
    <t>Base — cash collected</t>
  </si>
  <si>
    <t>Base — cumulative AR gap</t>
  </si>
  <si>
    <t>Stress — cash collected (freeze)</t>
  </si>
  <si>
    <t>Stress — cumulative AR gap</t>
  </si>
  <si>
    <t>Max AR gap = peak working-capital need (before financing &amp; opex). Recovery: base by M9, stress by M14.</t>
  </si>
  <si>
    <t>C.  SCENARIO DASHBOARD (cash &amp; EBITDA columns complete with Cash Flow tab)</t>
  </si>
  <si>
    <t>Peak AR Gap</t>
  </si>
  <si>
    <t>Min Cash</t>
  </si>
  <si>
    <t>Mo of Min Cash</t>
  </si>
  <si>
    <t>Cash-out Mo</t>
  </si>
  <si>
    <t>Y1 EBITDA</t>
  </si>
  <si>
    <t>Y3 EBITDA</t>
  </si>
  <si>
    <t>Base case (best)</t>
  </si>
  <si>
    <t>→ with Cash Flow</t>
  </si>
  <si>
    <t>PPEO freeze (12 mo)</t>
  </si>
  <si>
    <t>—</t>
  </si>
  <si>
    <t>Azalea Hospice — Model Reconciliation</t>
  </si>
  <si>
    <t>Staffing Model vs. SBA Budget  |  Prepared for SBA 7(a) Loan Package</t>
  </si>
  <si>
    <t>Metric</t>
  </si>
  <si>
    <t>Budget Y1</t>
  </si>
  <si>
    <t>Staffing Y1</t>
  </si>
  <si>
    <t>Δ Y1</t>
  </si>
  <si>
    <t>Budget Y2</t>
  </si>
  <si>
    <t>Staffing Y2</t>
  </si>
  <si>
    <t>Δ Y2</t>
  </si>
  <si>
    <t>Budget Y3</t>
  </si>
  <si>
    <t>Staffing Y3</t>
  </si>
  <si>
    <t>Δ Y3</t>
  </si>
  <si>
    <t>CENSUS</t>
  </si>
  <si>
    <t xml:space="preserve">  Average Daily Census</t>
  </si>
  <si>
    <t>Census assumptions substantially aligned; minor timing differences</t>
  </si>
  <si>
    <t xml:space="preserve">  Year-End ADC</t>
  </si>
  <si>
    <t>Year-end targets within 1 patient; effectively matched</t>
  </si>
  <si>
    <t>REVENUE</t>
  </si>
  <si>
    <t xml:space="preserve">  Net Revenue</t>
  </si>
  <si>
    <t>Revenue within 1-6%; driven by rate/mix assumptions</t>
  </si>
  <si>
    <t>PROFITABILITY</t>
  </si>
  <si>
    <t xml:space="preserve">  EBITDA</t>
  </si>
  <si>
    <t>Budget is conservative (SBA-appropriate); Staffing Model reflects operator upside</t>
  </si>
  <si>
    <t xml:space="preserve">  EBITDA Margin %</t>
  </si>
  <si>
    <t>Budget carries full staffing ladder + G&amp;A; Staffing Model is leaner</t>
  </si>
  <si>
    <t xml:space="preserve">  Net Income (Pre-Tax)</t>
  </si>
  <si>
    <t>Same directional story; Budget NI depressed by higher cost load</t>
  </si>
  <si>
    <t>COST STRUCTURE</t>
  </si>
  <si>
    <t xml:space="preserve">  Total COGS / Cost of Care</t>
  </si>
  <si>
    <t>Budget COGS includes full clinical IDG + supplies; Staffing Model is direct care only</t>
  </si>
  <si>
    <t xml:space="preserve">  Total SG&amp;A / OpEx</t>
  </si>
  <si>
    <t>Different classification — Budget uses SG&amp;A; Staffing Model uses OpEx (includes items Budget puts in COGS)</t>
  </si>
  <si>
    <t>DEAL TERMS &amp; SBA FINANCING</t>
  </si>
  <si>
    <t xml:space="preserve">  Purchase Price</t>
  </si>
  <si>
    <t>N/A</t>
  </si>
  <si>
    <t>Avant Hospice — 100% membership interest</t>
  </si>
  <si>
    <t xml:space="preserve">  SBA 7(a) Principal</t>
  </si>
  <si>
    <t>10-yr term @ 11.5%; annual debt service $84,357</t>
  </si>
  <si>
    <t xml:space="preserve">  Owner Equity</t>
  </si>
  <si>
    <t>Cash injection; pre-revenue startup costs $12,900</t>
  </si>
  <si>
    <t xml:space="preserve">  Global DSCR (3-Yr)</t>
  </si>
  <si>
    <t>5.44x</t>
  </si>
  <si>
    <t>PASS — 4.4x above SBA 1.25x floor</t>
  </si>
  <si>
    <t>VARIANCE EXPLANATION</t>
  </si>
  <si>
    <t>The SBA Budget and Staffing Model use the same census ramp and revenue assumptions but differ in cost classification and depth:</t>
  </si>
  <si>
    <t>1.  Census &amp; Revenue — Aligned within 1–6%. Minor differences from rate escalation timing and payer-mix rounding.</t>
  </si>
  <si>
    <t>2.  EBITDA Gap — Budget carries the full clinical staffing ladder (IDG team scaled by pts-per-FTE ratios), contracted Medical Director,</t>
  </si>
  <si>
    <t xml:space="preserve">    benefits load (~24%), and detailed G&amp;A (facility, marketing, billing fees). Staffing Model is a lighter direct-care-only view.</t>
  </si>
  <si>
    <t>3.  Cost Classification — Budget separates COGS (clinical labor + patient supplies) from SG&amp;A (admin, facility, marketing).</t>
  </si>
  <si>
    <t xml:space="preserve">    Staffing Model groups differently: Cost of Care vs. OpEx. Dollar totals sum to similar levels when combined.</t>
  </si>
  <si>
    <t>4.  Deal &amp; Financing — Budget is the definitive source for SBA terms. $500K SBA 7(a) at 11.5%, $300K acquisition (Avant), $250K equity.</t>
  </si>
  <si>
    <t>5.  DSCR — Global 3-year DSCR of 5.44x far exceeds SBA 1.25x floor. Y1 per-year DSCR of 1.00x is expected for a hospice startup.</t>
  </si>
  <si>
    <t>Conclusion: Both models tell the same story — conservative Y1, profitable Y2+, strong DSCR. The Budget is the SBA-ready document;</t>
  </si>
  <si>
    <t>the Staffing Model provides operational detail for internal planning.</t>
  </si>
  <si>
    <t>OPERATING BUDGET</t>
  </si>
  <si>
    <t>GL Code</t>
  </si>
  <si>
    <t>Annual</t>
  </si>
  <si>
    <t>TOTAL SG&amp;A</t>
  </si>
  <si>
    <t>PROFIT &amp; LOSS STATEMENT</t>
  </si>
  <si>
    <t>COST OF GOODS SOLD</t>
  </si>
  <si>
    <t>BELOW EBITDA</t>
  </si>
  <si>
    <t>NET INCOME</t>
  </si>
  <si>
    <t>36-Month GL Detail</t>
  </si>
  <si>
    <t xml:space="preserve">   Avg Daily Census</t>
  </si>
  <si>
    <t xml:space="preserve">   Total Patient Days</t>
  </si>
  <si>
    <t xml:space="preserve">   Gross Patient Revenue</t>
  </si>
  <si>
    <t xml:space="preserve">   Billing / Collection Fee (-1.5%)</t>
  </si>
  <si>
    <t>Net Patient Revenue</t>
  </si>
  <si>
    <t xml:space="preserve">   DIRECT LABOR</t>
  </si>
  <si>
    <t xml:space="preserve">      4000R61 Wages-RN</t>
  </si>
  <si>
    <t>4000R61</t>
  </si>
  <si>
    <t xml:space="preserve">      4000R62 Wages-LVN</t>
  </si>
  <si>
    <t>4000R62</t>
  </si>
  <si>
    <t xml:space="preserve">      4000R65 Wages-Aide</t>
  </si>
  <si>
    <t>4000R65</t>
  </si>
  <si>
    <t xml:space="preserve">      4000R66 Wages-MSW</t>
  </si>
  <si>
    <t>4000R66</t>
  </si>
  <si>
    <t xml:space="preserve">      4000R67 Wages-SC</t>
  </si>
  <si>
    <t>4000R67</t>
  </si>
  <si>
    <t xml:space="preserve">      4000R6N Wages-NP</t>
  </si>
  <si>
    <t>4000R6N</t>
  </si>
  <si>
    <t xml:space="preserve">      40000I0 Wages-Intake/Admit</t>
  </si>
  <si>
    <t>40000I0</t>
  </si>
  <si>
    <t xml:space="preserve">   Total Direct Labor</t>
  </si>
  <si>
    <t xml:space="preserve">   DIRECT BENEFITS</t>
  </si>
  <si>
    <t xml:space="preserve">      41300 FICA/SS (7.65%)</t>
  </si>
  <si>
    <t xml:space="preserve">      41300 FUTA/SUTA (1.85%)</t>
  </si>
  <si>
    <t xml:space="preserve">      41600 Workers Compensation (3%)</t>
  </si>
  <si>
    <t xml:space="preserve">      41100 Health Insurance</t>
  </si>
  <si>
    <t xml:space="preserve">   Total Direct Benefits</t>
  </si>
  <si>
    <t xml:space="preserve">   PATIENT-RELATED EXPENSES</t>
  </si>
  <si>
    <t xml:space="preserve">      5050 Durable Medical Equipment</t>
  </si>
  <si>
    <t xml:space="preserve">      5100 Medications</t>
  </si>
  <si>
    <t xml:space="preserve">      5090 Medical Supplies</t>
  </si>
  <si>
    <t xml:space="preserve">      6560 Continuing Education</t>
  </si>
  <si>
    <t xml:space="preserve">   Total Patient-Related Expenses</t>
  </si>
  <si>
    <t>TOTAL COST OF GOODS SOLD</t>
  </si>
  <si>
    <t>GROSS PROFIT</t>
  </si>
  <si>
    <t xml:space="preserve">   Gross Margin %</t>
  </si>
  <si>
    <t xml:space="preserve">      5110 Mileage Reimbursement</t>
  </si>
  <si>
    <t>SELLING, GENERAL &amp; ADMINISTRATIVE</t>
  </si>
  <si>
    <t xml:space="preserve">   INDIRECT LABOR</t>
  </si>
  <si>
    <t xml:space="preserve">      40000M0 Wages-Marketing</t>
  </si>
  <si>
    <t>40000M0</t>
  </si>
  <si>
    <t xml:space="preserve">      40000A0 Wages-Administrative</t>
  </si>
  <si>
    <t>40000A0</t>
  </si>
  <si>
    <t xml:space="preserve">      40000C0 Wages-Clinical Admin</t>
  </si>
  <si>
    <t>40000C0</t>
  </si>
  <si>
    <t xml:space="preserve">      40000AN Medical Director</t>
  </si>
  <si>
    <t>40000AN</t>
  </si>
  <si>
    <t xml:space="preserve">      Contract Labor (Admin + Clin)</t>
  </si>
  <si>
    <t>40000MC</t>
  </si>
  <si>
    <t xml:space="preserve">   Total Indirect Labor</t>
  </si>
  <si>
    <t xml:space="preserve">   INDIRECT BENEFITS</t>
  </si>
  <si>
    <t xml:space="preserve">   Total Indirect Benefits</t>
  </si>
  <si>
    <t xml:space="preserve">   FACILITY &amp; OPERATING EXPENSES</t>
  </si>
  <si>
    <t xml:space="preserve">      60800 Rent</t>
  </si>
  <si>
    <t xml:space="preserve">      65801 Insurance-Liability</t>
  </si>
  <si>
    <t xml:space="preserve">      65007 Professional Fees / Legal</t>
  </si>
  <si>
    <t xml:space="preserve">      65100 Accounting / Payroll Fees</t>
  </si>
  <si>
    <t xml:space="preserve">      65000 Regulatory Consulting</t>
  </si>
  <si>
    <t xml:space="preserve">      65000 EMR / Patient Mgmt System</t>
  </si>
  <si>
    <t xml:space="preserve">      68001 Advertising / Publications</t>
  </si>
  <si>
    <t xml:space="preserve">      68050 Material Development</t>
  </si>
  <si>
    <t xml:space="preserve">      66500 Office Supplies</t>
  </si>
  <si>
    <t xml:space="preserve">      61500 Telephone &amp; Internet</t>
  </si>
  <si>
    <t xml:space="preserve">      61500 Utilities</t>
  </si>
  <si>
    <t xml:space="preserve">      65200 Bank Service Charges</t>
  </si>
  <si>
    <t xml:space="preserve">      65700 Dues &amp; Subscriptions</t>
  </si>
  <si>
    <t xml:space="preserve">   Total Facility &amp; Operating Expenses</t>
  </si>
  <si>
    <t xml:space="preserve">   EBITDA Margin %</t>
  </si>
  <si>
    <t xml:space="preserve">      Amortization of Intangibles</t>
  </si>
  <si>
    <t xml:space="preserve">      Interest - SBA Loan</t>
  </si>
  <si>
    <t xml:space="preserve">      Interest - Seller Note</t>
  </si>
  <si>
    <t xml:space="preserve">   Total Below-EBITDA</t>
  </si>
  <si>
    <t xml:space="preserve">      TX Franchise Tax (0.375%)</t>
  </si>
  <si>
    <t>Hickory hospice license ($)</t>
  </si>
  <si>
    <t>License upfront payment ($/mo, M1-M3)</t>
  </si>
  <si>
    <t>License refi rate (APR)</t>
  </si>
  <si>
    <t>License refi term (months)</t>
  </si>
  <si>
    <t xml:space="preserve">      License - Upfront Payment</t>
  </si>
  <si>
    <t xml:space="preserve">      License - Refi Interest</t>
  </si>
  <si>
    <t>% Rev</t>
  </si>
  <si>
    <t>(Y3)</t>
  </si>
  <si>
    <t>Azalea Hospice — Sequenced Prompt Pack</t>
  </si>
  <si>
    <t>Copy each prompt below into chat ONE AT A TIME, in order. Wait for me to confirm completion of each before triggering the next. Each prompt has a stop point and acceptance criteria.</t>
  </si>
  <si>
    <t>Stage: Pre-launch | Audience: SBA + Equity + Internal Ops | Payer: 100% Medicare RHC | Horizon: 3yr (Y1 monthly, Y2-3 quarterly) | Geo: Single CBSA | Staff: Named hires</t>
  </si>
  <si>
    <t>PROMPT 1 — Archive old sheets + build Inputs tab</t>
  </si>
  <si>
    <t>Archive all 9 existing sheets (Control Tower, COA Mapping, Census Waterfall, Revenue Model, Staffing Summary, Operating Budget, P&amp;L, Reconciliation, Stress Tests) into a collapsed group at the back of the workbook — prefix each with 'ARCHIVE_' and group them so they're collapsed by default. Then build a new 'Inputs' tab as the primary input sheet for the rebuild, with nine labeled blocks: A) Geography &amp; Rates (CBSA, FY26 RHC base rate, wage index, BNAF, SBI status), B) Payer Mix &amp; Timing (100% Medicare RHC, billing lag days, sequential billing toggle), C) Census Ramp (36 months of ADC targets, average LOS, admit/discharge cadence), D) Named Staff Roster (one row per hire: name, role, start month, annual salary, FT/PT, OT eligibility — leave 20 blank rows), E) Staffing Ratios for Y2-3 (RN caseload, aide ratio, on-call coverage, indirect overhead %), F) Benefits &amp; ER Taxes (FICA, FUTA, SUTA with wage base, WC, health $/mo per FTE, retirement %), G) Opex (mileage $/visit, med supplies $/PPD, DME $/PPD, meds $/PPD, rent, IT, insurance, licenses), H) SBA &amp; Capital Structure (loan amount, rate, amort term, equity injection, founder contribution, LOC limit, opening cash), I) Working Capital (AR days, AP days, PPEO accrual rate, cap year start month). Yellow-fill all cells the user needs to fill. Create named ranges for every key input. Acceptance: archived sheets are collapsed at back, Inputs tab is fully laid out with empty yellow input cells, all named ranges created. STOP after this is built and confirm with me before Prompt 2.</t>
  </si>
  <si>
    <t>PROMPT 2 — Build Revenue tab</t>
  </si>
  <si>
    <t>I've filled in the Inputs tab. Build the Revenue tab now. Layout: Year 1 in monthly columns (36 columns total = Y1 12 monthly, Y2-3 8 quarters). Rows: (1) ADC pulled from Inputs Block C, (2) Patient Days = ADC × days in period, (3) RHC wage-adjusted rate = base rate × (labor share × wage index + non-labor share) + BNAF, (4) SBI adjustment if applicable, (5) Gross Revenue = Patient Days × adjusted rate, (6) Sequential Billing timing (NOE filing month vs. service month — first claim delayed if Sequential Billing on), (7) Net cash receipts with 30-day Medicare RAP-to-final lag, (8) Cap exposure tracker (cumulative payments vs. cap limit × beneficiaries served per cap year starting at Inputs Block I cap-year-start). All formulas — zero hardcoded numbers on this tab, everything references Inputs named ranges. Add a small summary block at top: Y1/Y2/Y3 gross revenue, net revenue, avg ADC, cap exposure %. Format: blue inputs (none expected here), black formulas, green cross-sheet links. Acceptance: Revenue tab built, summary block populated, no #REF/#VALUE errors, cap tracker shows running exposure. STOP and confirm with me before Prompt 3.</t>
  </si>
  <si>
    <t>PROMPT 3 — Build Staffing + Payroll &amp; Benefits tabs</t>
  </si>
  <si>
    <t>Revenue is approved. Build the Staffing tab and the Payroll &amp; Benefits tab. STAFFING: Y1 monthly — each named hire from Inputs Block D gets a row, FTE = 1 starting at their start month, 0 before; salary populates from their start month forward. Y2-Y3 quarterly — named roster carries forward, then a 'generic ladder' block adds positions driven by ADC and the ratios in Block E (e.g., RN FTE needed = CEILING(ADC / RN caseload), Aide FTE = CEILING(ADC × aide ratio), On-call coverage fixed by Block E). Show total FTE by role and grand total at bottom. PAYROLL &amp; BENEFITS: pulls FTE × salary from Staffing, then calculates: ER FICA 7.65% (capped at SS wage base), FUTA (cap $7K × 0.6%), SUTA per Block F with state wage base, WC %, health $ × FTE-months, retirement %. Output gross payroll per period + fully-loaded payroll per period. Add semi-monthly payroll cash-timing offset (lag accrued-to-paid). Add GL prefix column on each row (use 4000-series for direct care wages, 4005 performance pay, 4020 contract labor, 4110/4120/4124/4125 benefits, 4130 FICA, 4131 SUTA-proposed, 4135 WC-proposed). All formulas reference Inputs and Staffing named ranges. Acceptance: Staffing FTE ramps correctly through named roster then generic ladder, Payroll totals tie to FTE×salary plus loaded benefits, GL prefixes shown. STOP and confirm before Prompt 4.</t>
  </si>
  <si>
    <t>PROMPT 4 — Build Operating Expenses tab</t>
  </si>
  <si>
    <t>Staffing + Payroll approved. Build Operating Expenses tab. Two sections: VARIABLE (keyed to ADC or Patient Days) — mileage $/visit × visits per ADC, medical supplies $/PPD × patient days, medications $/PPD × patient days, DME $/PPD × patient days, all rates from Inputs Block G. FIXED (by month/quarter) — rent, IT/EMR, liability/property/malpractice insurance, state licenses, professional fees, marketing. Add GL prefix column: 5050 DME, 5090 supplies, 5100 meds, 5110 mileage, 6010-6150 facility, 6505-6716 indirect ops, 6800 marketing. Show total opex per period at bottom, split between Direct Care COGS (5000-series + facility-allocable) and Indirect SG&amp;A (6000-series). All formulas reference Inputs named ranges. Acceptance: variable opex scales with ADC, fixed opex stable, GL prefixes shown, COGS-vs-SG&amp;A split clear. STOP and confirm before Prompt 5.</t>
  </si>
  <si>
    <t>PROMPT 5 — Build P&amp;L + Cash Flow + Balance Sheet (3-statement)</t>
  </si>
  <si>
    <t>Opex approved. Build the 3-statement block: P&amp;L, Cash Flow, Balance Sheet. P&amp;L: Net Revenue (from Revenue tab) — Direct Care COGS (Payroll direct-care + Opex variable + facility-allocable) = Gross Profit; — Indirect SG&amp;A (Payroll admin + Opex indirect) = EBITDA; — D&amp;A; — Interest Expense (from SBA + LOC) = Pretax Income; — Tax (if applicable, otherwise 0 for LLC pass-through) = Net Income. CASH FLOW (indirect method): Net Income; + D&amp;A; − Δ AR (computed from Inputs AR days × net revenue); + Δ AP (AP days × opex); + Δ PPEO accrual (accrued payroll-related liabilities, accrual rate from Inputs Block I); − Cap reserve build (accrue against cap exposure tracked on Revenue tab); = Operating Cash Flow; − Capex (from Inputs if any); + SBA loan proceeds (Y1 only); + Equity injection (Y1 only); + Founder contribution; ± LOC draw/repay (auto-balance: if ending cash &lt; min cash floor, draw; if cash &gt; floor, repay outstanding); − SBA principal payments; = Net Cash Flow; Ending Cash = Beginning Cash + Net Cash Flow. BALANCE SHEET: Assets (Cash, AR, Other CA, PP&amp;E net) = Liabilities (AP, PPEO accrued, Cap reserve, LOC, SBA current+long-term) + Equity (Paid-in + Retained Earnings rolling from Net Income). Add a check-row at bottom: Assets − (L+E) should = 0 every period. All cross-sheet links in green. Acceptance: BS balances every period (check row = 0), Cash Flow ending cash ties to BS Cash, no #REF or circular ref errors (LOC will need iterative calc enabled — turn it on). STOP and confirm before Prompt 6.</t>
  </si>
  <si>
    <t>PROMPT 6 — Build Sources &amp; Uses + Debt Schedule + Stress Tests</t>
  </si>
  <si>
    <t>3-statement model approved. Build two tabs. SOURCES &amp; USES + DEBT SCHEDULE: at-close S&amp;U table (Sources: SBA loan, equity, founder — Uses: working capital reserve, startup costs, licensing, EMR, marketing, contingency); SBA amort schedule (monthly Y1, quarterly Y2-3) with interest + principal split, ending balance, DSCR per period; LOC schedule showing draws/repays and outstanding balance from Cash Flow. STRESS TESTS: 5 scenarios, each with a toggle cell at top (Yes/No or %) and side-by-side base vs. stressed outputs for: min cash balance, month of cash-out (if any), Y3 EBITDA margin, DSCR min, peak LOC draw. Scenarios: (1) ADC miss –20%, (2) ADC miss –35%, (3) Wage shock +10%, (4) Cap hit in Y2 (5% repayment), (5) Referral delay — 3-month ramp slip. Each scenario should be a clean column off the base case with formulas applying the shock. Include a 'Lender Summary' block showing base + worst-case DSCR, min cash, runway months. Acceptance: S&amp;U balances, debt amort ties to BS, stress tests show meaningful divergence from base, lender summary populated. STOP and confirm before Prompt 7.</t>
  </si>
  <si>
    <t>PROMPT 7 — Build Control Tower dashboard + Exec Summary memo</t>
  </si>
  <si>
    <t>Stress tests approved. Build the two investor-facing tabs. CONTROL TOWER: single-page dashboard, no scrolling. Top KPI strip (6 cards): Y3 Run-rate Revenue, Y3 EBITDA Margin, Min Cash, Peak LOC Draw, Min DSCR, Cap Exposure %. Below: 4 small charts — (1) ADC ramp 36 months, (2) Net Revenue by period, (3) Cash balance over time with min-cash floor line, (4) EBITDA margin trajectory. Side panel: capital ask summary (SBA $, Equity $, Founder $), key assumptions snapshot, scenario selector dropdown that re-points the dashboard to base or any stress case. All formulas linking back to source tabs (green font). EXEC SUMMARY MEMO: formatted text tab (no formulas), 1-2 page narrative organized as: Investment Thesis (3-4 sentences), Market &amp; Geography (CBSA, market sizing), Operating Plan (census ramp logic, staffing model, key hires), Financial Highlights (Y1/Y2/Y3 revenue, EBITDA, cash trajectory pulled live from model), Capital Ask &amp; Use of Proceeds (S&amp;U summary), Returns &amp; Sensitivity (lender DSCR, equity IRR/MOIC if computable, stress test summary), Key Risks &amp; Mitigants (cap exposure, referral concentration, wage inflation, staffing availability). Use the workbook's existing formatting palette (navy headers, midblue subheads, body in Aptos Narrow 10pt, financial highlights in a callout box). Acceptance: Control Tower fits on one screen with scenario toggle working, Exec Summary memo reads as a standalone document and has live numbers from the model. STOP and confirm — model is complete after this.</t>
  </si>
  <si>
    <t>USAGE NOTES</t>
  </si>
  <si>
    <t>1. Trigger Prompt 1 first — it builds the Inputs tab. Then YOU fill in the yellow input cells (CBSA wage data, named roster, ADC ramp, SBA terms, etc.) BEFORE triggering Prompt 2.
2. After Prompt 1, the only manual data entry happens on the Inputs tab. Every downstream calculation is formulas.
3. If a prompt result looks wrong, say 'audit Prompt N output' — I'll re-check formulas before moving on.
4. To change any assumption later, edit the Inputs tab — the entire model recalculates.
5. Iterative calculation needs to be ON for the LOC auto-balance in Prompt 5 (Excel → File → Options → Formulas → Enable iterative calculation, 100 iterations, 0.001 max change). I'll remind you when we get there.
6. Old sheets (ARCHIVE_*) stay collapsed at the back — don't delete them until the new model is fully signed off by SBA + equity.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</si>
</sst>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00%\);\-"/>
    <numFmt numFmtId="165" formatCode="\$#,##0;&quot;($&quot;#,##0\);\-"/>
    <numFmt numFmtId="166" formatCode="\$#,##0.00;&quot;($&quot;#,##0.00\);\-"/>
    <numFmt numFmtId="167" formatCode="#,##0.0;\(#,##0.0\);\-"/>
    <numFmt numFmtId="168" formatCode="#,##0;\(#,##0\);\-"/>
    <numFmt numFmtId="169" formatCode="0.0000"/>
    <numFmt numFmtId="170" formatCode="0.000"/>
    <numFmt numFmtId="171" formatCode="0.00;\(0.00\);&quot;—&quot;"/>
    <numFmt numFmtId="172" formatCode="&quot;$&quot;#,##0"/>
    <numFmt numFmtId="173" formatCode="&quot;$&quot;#,##0;\(&quot;$&quot;#,##0\);&quot;—&quot;"/>
    <numFmt numFmtId="174" formatCode="0.0%"/>
    <numFmt numFmtId="175" formatCode="0.0%;\(0.0%\);&quot;—&quot;"/>
    <numFmt numFmtId="176" formatCode="&quot;$&quot;#,##0;\(&quot;$&quot;#,##0\);\-"/>
    <numFmt numFmtId="177" formatCode="0.0"/>
    <numFmt numFmtId="178" formatCode="&quot;$&quot;#,##0;&quot;($&quot;#,##0\);\-"/>
  </numFmts>
  <fonts count="37" x14ac:knownFonts="1">
    <font>
      <sz val="11"/>
      <color theme="1"/>
      <name val="Calibri"/>
      <family val="2"/>
      <charset val="1"/>
    </font>
    <font>
      <sz val="10"/>
      <color rgb="FF000000"/>
      <name val="Tahoma"/>
      <family val="2"/>
    </font>
    <font>
      <b/>
      <sz val="10"/>
      <color rgb="FF000000"/>
      <name val="Tahoma"/>
      <family val="2"/>
    </font>
    <font>
      <b/>
      <sz val="13"/>
      <color rgb="FFFFFFFF"/>
      <name val="Aptos Narrow"/>
    </font>
    <font>
      <sz val="9"/>
      <color rgb="FF595959"/>
      <name val="Aptos Narrow"/>
    </font>
    <font>
      <sz val="11"/>
      <color theme="1"/>
      <name val="Aptos Narrow"/>
    </font>
    <font>
      <b/>
      <sz val="10"/>
      <color rgb="FFFFFFFF"/>
      <name val="Aptos Narrow"/>
    </font>
    <font>
      <sz val="10"/>
      <color rgb="FF000000"/>
      <name val="Aptos Narrow"/>
    </font>
    <font>
      <sz val="10"/>
      <color rgb="FF0000FF"/>
      <name val="Aptos Narrow"/>
    </font>
    <font>
      <sz val="8"/>
      <color rgb="FF008000"/>
      <name val="Aptos Narrow"/>
    </font>
    <font>
      <b/>
      <sz val="9"/>
      <color rgb="FFFFFFFF"/>
      <name val="Aptos Narrow"/>
    </font>
    <font>
      <sz val="9"/>
      <color rgb="FF0000FF"/>
      <name val="Aptos Narrow"/>
    </font>
    <font>
      <sz val="9"/>
      <color rgb="FF000000"/>
      <name val="Aptos Narrow"/>
    </font>
    <font>
      <sz val="9"/>
      <color rgb="FF008000"/>
      <name val="Aptos Narrow"/>
    </font>
    <font>
      <sz val="8"/>
      <color rgb="FF0000FF"/>
      <name val="Aptos Narrow"/>
    </font>
    <font>
      <sz val="8"/>
      <color theme="1"/>
      <name val="Aptos Narrow"/>
    </font>
    <font>
      <sz val="10"/>
      <color theme="1"/>
      <name val="Aptos Narrow"/>
    </font>
    <font>
      <b/>
      <sz val="12"/>
      <color rgb="FFFFFFFF"/>
      <name val="Aptos Narrow"/>
    </font>
    <font>
      <b/>
      <sz val="9"/>
      <color rgb="FF000000"/>
      <name val="Aptos Narrow"/>
    </font>
    <font>
      <b/>
      <sz val="10"/>
      <color rgb="FF000000"/>
      <name val="Aptos Narrow"/>
    </font>
    <font>
      <sz val="10"/>
      <color rgb="FF008000"/>
      <name val="Aptos Narrow"/>
    </font>
    <font>
      <b/>
      <sz val="8"/>
      <color rgb="FFFFFFFF"/>
      <name val="Aptos Narrow"/>
    </font>
    <font>
      <sz val="8"/>
      <color rgb="FF000000"/>
      <name val="Aptos Narrow"/>
    </font>
    <font>
      <b/>
      <sz val="11"/>
      <color rgb="FFFFFFFF"/>
      <name val="Aptos Narrow"/>
    </font>
    <font>
      <b/>
      <sz val="8"/>
      <color rgb="FF000000"/>
      <name val="Aptos Narrow"/>
    </font>
    <font>
      <b/>
      <sz val="14"/>
      <color rgb="FFFFFFFF"/>
      <name val="Aptos Narrow"/>
    </font>
    <font>
      <b/>
      <sz val="10"/>
      <color theme="1"/>
      <name val="Aptos Narrow"/>
    </font>
    <font>
      <b/>
      <sz val="9"/>
      <color theme="1"/>
      <name val="Aptos Narrow"/>
    </font>
    <font>
      <b/>
      <sz val="11"/>
      <color theme="1"/>
      <name val="Aptos Narrow"/>
    </font>
    <font>
      <sz val="11"/>
      <color rgb="FF000000"/>
      <name val="Aptos Narrow"/>
    </font>
    <font>
      <b/>
      <sz val="14"/>
      <color theme="1"/>
      <name val="Aptos Narrow"/>
    </font>
    <font>
      <b/>
      <sz val="10"/>
      <color rgb="FF0000FF"/>
      <name val="Aptos Narrow"/>
    </font>
    <font>
      <b/>
      <sz val="11"/>
      <color rgb="FF008000"/>
      <name val="Aptos Narrow"/>
    </font>
    <font>
      <b/>
      <sz val="10"/>
      <color rgb="FF008000"/>
      <name val="Aptos Narrow"/>
    </font>
    <font>
      <b/>
      <sz val="9"/>
      <color rgb="FF008000"/>
      <name val="Aptos Narrow"/>
    </font>
    <font>
      <b/>
      <sz val="16"/>
      <color rgb="FFFFFFFF"/>
      <name val="Aptos Narrow"/>
    </font>
    <font>
      <i/>
      <sz val="10"/>
      <color rgb="FF595959"/>
      <name val="Aptos Narrow"/>
    </font>
  </fonts>
  <fills count="13">
    <fill>
      <patternFill patternType="none"/>
    </fill>
    <fill>
      <patternFill patternType="gray125"/>
    </fill>
    <fill>
      <patternFill patternType="solid">
        <fgColor rgb="FF1F3864"/>
        <bgColor rgb="FF333333"/>
      </patternFill>
    </fill>
    <fill>
      <patternFill patternType="solid">
        <fgColor rgb="FFFFFFFF"/>
        <bgColor rgb="FFF4F6F9"/>
      </patternFill>
    </fill>
    <fill>
      <patternFill patternType="solid">
        <fgColor rgb="FF2E75B6"/>
        <bgColor rgb="FF0066CC"/>
      </patternFill>
    </fill>
    <fill>
      <patternFill patternType="solid">
        <fgColor rgb="FFF4F6F9"/>
        <bgColor rgb="FFFFFFFF"/>
      </patternFill>
    </fill>
    <fill>
      <patternFill patternType="solid">
        <fgColor rgb="FF595959"/>
        <bgColor rgb="FF333333"/>
      </patternFill>
    </fill>
    <fill>
      <patternFill patternType="solid">
        <fgColor rgb="FFFFFF00"/>
        <bgColor rgb="FFFFFF00"/>
      </patternFill>
    </fill>
    <fill>
      <patternFill patternType="solid">
        <fgColor rgb="FF1F3864"/>
        <bgColor indexed="64"/>
      </patternFill>
    </fill>
    <fill>
      <patternFill patternType="solid">
        <fgColor rgb="FFFFFFFF"/>
        <bgColor indexed="64"/>
      </patternFill>
    </fill>
    <fill>
      <patternFill patternType="solid">
        <fgColor rgb="FFF4F6F9"/>
        <bgColor indexed="64"/>
      </patternFill>
    </fill>
    <fill>
      <patternFill patternType="solid">
        <fgColor rgb="FF2E75B6"/>
        <bgColor indexed="64"/>
      </patternFill>
    </fill>
    <fill>
      <patternFill patternType="solid">
        <fgColor rgb="FF595959"/>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right/>
      <top style="thin">
        <color auto="1"/>
      </top>
      <bottom style="double">
        <color auto="1"/>
      </bottom>
      <diagonal/>
    </border>
    <border>
      <left style="thin">
        <color rgb="FFBFBFBF"/>
      </left>
      <right style="thin">
        <color rgb="FFBFBFBF"/>
      </right>
      <top/>
      <bottom/>
      <diagonal/>
    </border>
  </borders>
  <cellStyleXfs count="1">
    <xf numFmtId="0" fontId="0" fillId="0" borderId="0"/>
  </cellStyleXfs>
  <cellXfs count="193">
    <xf numFmtId="0" fontId="0" fillId="0" borderId="0" xfId="0"/>
    <xf numFmtId="0" fontId="3" fillId="2" borderId="0" xfId="0" applyFont="1" applyFill="1" applyAlignment="1">
      <alignment horizontal="center" vertical="center"/>
    </xf>
    <xf numFmtId="0" fontId="5" fillId="0" borderId="0" xfId="0" applyFont="1"/>
    <xf numFmtId="0" fontId="6" fillId="4" borderId="0" xfId="0" applyFont="1" applyFill="1" applyAlignment="1">
      <alignment horizontal="center" vertical="center"/>
    </xf>
    <xf numFmtId="0" fontId="7" fillId="5" borderId="1" xfId="0" applyFont="1" applyFill="1" applyBorder="1" applyAlignment="1">
      <alignment horizontal="left" vertical="center"/>
    </xf>
    <xf numFmtId="164" fontId="8" fillId="5" borderId="1" xfId="0" applyNumberFormat="1" applyFont="1" applyFill="1" applyBorder="1" applyAlignment="1">
      <alignment horizontal="center" vertical="center"/>
    </xf>
    <xf numFmtId="0" fontId="9" fillId="5" borderId="1" xfId="0" applyFont="1" applyFill="1" applyBorder="1" applyAlignment="1">
      <alignment horizontal="center" vertical="center"/>
    </xf>
    <xf numFmtId="0" fontId="7" fillId="3" borderId="1" xfId="0" applyFont="1" applyFill="1" applyBorder="1" applyAlignment="1">
      <alignment horizontal="left" vertical="center"/>
    </xf>
    <xf numFmtId="164" fontId="8" fillId="3" borderId="1" xfId="0" applyNumberFormat="1" applyFont="1" applyFill="1" applyBorder="1" applyAlignment="1">
      <alignment horizontal="center" vertical="center"/>
    </xf>
    <xf numFmtId="0" fontId="9" fillId="3" borderId="1" xfId="0" applyFont="1" applyFill="1" applyBorder="1" applyAlignment="1">
      <alignment horizontal="center" vertical="center"/>
    </xf>
    <xf numFmtId="165" fontId="8" fillId="3" borderId="1" xfId="0" applyNumberFormat="1" applyFont="1" applyFill="1" applyBorder="1" applyAlignment="1">
      <alignment horizontal="center" vertical="center"/>
    </xf>
    <xf numFmtId="166" fontId="8" fillId="5" borderId="1" xfId="0" applyNumberFormat="1" applyFont="1" applyFill="1" applyBorder="1" applyAlignment="1">
      <alignment horizontal="center" vertical="center"/>
    </xf>
    <xf numFmtId="167" fontId="8" fillId="3" borderId="1" xfId="0" applyNumberFormat="1" applyFont="1" applyFill="1" applyBorder="1" applyAlignment="1">
      <alignment horizontal="center" vertical="center"/>
    </xf>
    <xf numFmtId="168" fontId="8" fillId="5" borderId="1" xfId="0" applyNumberFormat="1" applyFont="1" applyFill="1" applyBorder="1" applyAlignment="1">
      <alignment horizontal="center" vertical="center"/>
    </xf>
    <xf numFmtId="168" fontId="8" fillId="3" borderId="1" xfId="0" applyNumberFormat="1" applyFont="1" applyFill="1" applyBorder="1" applyAlignment="1">
      <alignment horizontal="center" vertical="center"/>
    </xf>
    <xf numFmtId="167" fontId="8" fillId="5" borderId="1" xfId="0" applyNumberFormat="1" applyFont="1" applyFill="1" applyBorder="1" applyAlignment="1">
      <alignment horizontal="center" vertical="center"/>
    </xf>
    <xf numFmtId="165" fontId="8" fillId="5" borderId="1" xfId="0" applyNumberFormat="1" applyFont="1" applyFill="1" applyBorder="1" applyAlignment="1">
      <alignment horizontal="center" vertical="center"/>
    </xf>
    <xf numFmtId="0" fontId="10" fillId="6" borderId="0" xfId="0" applyFont="1" applyFill="1" applyAlignment="1">
      <alignment horizontal="center" vertical="center"/>
    </xf>
    <xf numFmtId="0" fontId="11" fillId="3" borderId="1" xfId="0" applyFont="1" applyFill="1" applyBorder="1" applyAlignment="1">
      <alignment horizontal="left" vertical="center"/>
    </xf>
    <xf numFmtId="0" fontId="12" fillId="3" borderId="1" xfId="0" applyFont="1" applyFill="1" applyBorder="1" applyAlignment="1">
      <alignment horizontal="left" vertical="center"/>
    </xf>
    <xf numFmtId="0" fontId="13" fillId="3" borderId="1" xfId="0" applyFont="1" applyFill="1" applyBorder="1" applyAlignment="1">
      <alignment horizontal="left" vertical="center"/>
    </xf>
    <xf numFmtId="0" fontId="12" fillId="7" borderId="1" xfId="0" applyFont="1" applyFill="1" applyBorder="1" applyAlignment="1">
      <alignment horizontal="left" vertical="center"/>
    </xf>
    <xf numFmtId="166" fontId="8" fillId="3" borderId="1" xfId="0" applyNumberFormat="1" applyFont="1" applyFill="1" applyBorder="1" applyAlignment="1">
      <alignment horizontal="center" vertical="center"/>
    </xf>
    <xf numFmtId="169" fontId="8" fillId="5" borderId="1" xfId="0" applyNumberFormat="1" applyFont="1" applyFill="1" applyBorder="1" applyAlignment="1">
      <alignment horizontal="center" vertical="center"/>
    </xf>
    <xf numFmtId="0" fontId="14" fillId="3" borderId="1" xfId="0" applyFont="1" applyFill="1" applyBorder="1" applyAlignment="1">
      <alignment horizontal="center" vertical="center"/>
    </xf>
    <xf numFmtId="0" fontId="7" fillId="10" borderId="6" xfId="0" applyFont="1" applyFill="1" applyBorder="1" applyAlignment="1">
      <alignment horizontal="left" vertical="center"/>
    </xf>
    <xf numFmtId="178" fontId="8" fillId="10" borderId="0" xfId="0" applyNumberFormat="1" applyFont="1" applyFill="1" applyAlignment="1">
      <alignment horizontal="center"/>
    </xf>
    <xf numFmtId="0" fontId="15" fillId="10" borderId="0" xfId="0" applyFont="1" applyFill="1"/>
    <xf numFmtId="0" fontId="16" fillId="9" borderId="0" xfId="0" applyFont="1" applyFill="1"/>
    <xf numFmtId="178" fontId="8" fillId="9" borderId="0" xfId="0" applyNumberFormat="1" applyFont="1" applyFill="1" applyAlignment="1">
      <alignment horizontal="center"/>
    </xf>
    <xf numFmtId="0" fontId="15" fillId="9" borderId="0" xfId="0" applyFont="1" applyFill="1"/>
    <xf numFmtId="0" fontId="16" fillId="10" borderId="0" xfId="0" applyFont="1" applyFill="1"/>
    <xf numFmtId="164" fontId="8" fillId="10" borderId="0" xfId="0" applyNumberFormat="1" applyFont="1" applyFill="1" applyAlignment="1">
      <alignment horizontal="center"/>
    </xf>
    <xf numFmtId="168" fontId="8" fillId="9" borderId="0" xfId="0" applyNumberFormat="1" applyFont="1" applyFill="1" applyAlignment="1">
      <alignment horizontal="center"/>
    </xf>
    <xf numFmtId="0" fontId="17" fillId="2" borderId="0" xfId="0" applyFont="1" applyFill="1" applyAlignment="1">
      <alignment horizontal="center" vertical="center"/>
    </xf>
    <xf numFmtId="0" fontId="6" fillId="4" borderId="1" xfId="0" applyFont="1" applyFill="1" applyBorder="1" applyAlignment="1">
      <alignment horizontal="center" vertical="center"/>
    </xf>
    <xf numFmtId="0" fontId="13" fillId="3" borderId="1" xfId="0" applyFont="1" applyFill="1" applyBorder="1" applyAlignment="1">
      <alignment horizontal="center" vertical="center"/>
    </xf>
    <xf numFmtId="0" fontId="12" fillId="3" borderId="1" xfId="0" applyFont="1" applyFill="1" applyBorder="1" applyAlignment="1">
      <alignment horizontal="left" vertical="center"/>
    </xf>
    <xf numFmtId="0" fontId="18" fillId="3" borderId="1" xfId="0" applyFont="1" applyFill="1" applyBorder="1" applyAlignment="1">
      <alignment horizontal="left" vertical="center"/>
    </xf>
    <xf numFmtId="0" fontId="13" fillId="5" borderId="1" xfId="0" applyFont="1" applyFill="1" applyBorder="1" applyAlignment="1">
      <alignment horizontal="center" vertical="center"/>
    </xf>
    <xf numFmtId="0" fontId="12" fillId="5" borderId="1" xfId="0" applyFont="1" applyFill="1" applyBorder="1" applyAlignment="1">
      <alignment horizontal="left" vertical="center"/>
    </xf>
    <xf numFmtId="0" fontId="18" fillId="5" borderId="1" xfId="0" applyFont="1" applyFill="1" applyBorder="1" applyAlignment="1">
      <alignment horizontal="left" vertical="center"/>
    </xf>
    <xf numFmtId="0" fontId="13" fillId="7" borderId="1" xfId="0" applyFont="1" applyFill="1" applyBorder="1" applyAlignment="1">
      <alignment horizontal="center" vertical="center"/>
    </xf>
    <xf numFmtId="0" fontId="12" fillId="7" borderId="1" xfId="0" applyFont="1" applyFill="1" applyBorder="1" applyAlignment="1">
      <alignment horizontal="left" vertical="center"/>
    </xf>
    <xf numFmtId="0" fontId="18" fillId="7" borderId="1" xfId="0" applyFont="1" applyFill="1" applyBorder="1" applyAlignment="1">
      <alignment horizontal="left" vertical="center"/>
    </xf>
    <xf numFmtId="0" fontId="10" fillId="4" borderId="1" xfId="0" applyFont="1" applyFill="1" applyBorder="1" applyAlignment="1">
      <alignment horizontal="center" vertical="center" wrapText="1"/>
    </xf>
    <xf numFmtId="0" fontId="19" fillId="3" borderId="1" xfId="0" applyFont="1" applyFill="1" applyBorder="1" applyAlignment="1">
      <alignment horizontal="center" vertical="center"/>
    </xf>
    <xf numFmtId="164" fontId="20" fillId="3" borderId="1" xfId="0" applyNumberFormat="1" applyFont="1" applyFill="1" applyBorder="1" applyAlignment="1">
      <alignment horizontal="center" vertical="center"/>
    </xf>
    <xf numFmtId="167" fontId="7" fillId="3" borderId="1" xfId="0" applyNumberFormat="1" applyFont="1" applyFill="1" applyBorder="1" applyAlignment="1">
      <alignment horizontal="center" vertical="center"/>
    </xf>
    <xf numFmtId="0" fontId="19" fillId="5" borderId="1" xfId="0" applyFont="1" applyFill="1" applyBorder="1" applyAlignment="1">
      <alignment horizontal="center" vertical="center"/>
    </xf>
    <xf numFmtId="167" fontId="7" fillId="5" borderId="1" xfId="0" applyNumberFormat="1" applyFont="1" applyFill="1" applyBorder="1" applyAlignment="1">
      <alignment horizontal="center" vertical="center"/>
    </xf>
    <xf numFmtId="164" fontId="20" fillId="5" borderId="1" xfId="0" applyNumberFormat="1" applyFont="1" applyFill="1" applyBorder="1" applyAlignment="1">
      <alignment horizontal="center" vertical="center"/>
    </xf>
    <xf numFmtId="0" fontId="6" fillId="2" borderId="0" xfId="0" applyFont="1" applyFill="1" applyAlignment="1">
      <alignment horizontal="center" vertical="center"/>
    </xf>
    <xf numFmtId="0" fontId="19" fillId="5" borderId="1" xfId="0" applyFont="1" applyFill="1" applyBorder="1" applyAlignment="1">
      <alignment horizontal="left" vertical="center"/>
    </xf>
    <xf numFmtId="167" fontId="19" fillId="5" borderId="1" xfId="0" applyNumberFormat="1" applyFont="1" applyFill="1" applyBorder="1" applyAlignment="1">
      <alignment horizontal="center" vertical="center"/>
    </xf>
    <xf numFmtId="0" fontId="19" fillId="3" borderId="1" xfId="0" applyFont="1" applyFill="1" applyBorder="1" applyAlignment="1">
      <alignment horizontal="left" vertical="center"/>
    </xf>
    <xf numFmtId="167" fontId="19" fillId="3" borderId="1" xfId="0" applyNumberFormat="1" applyFont="1" applyFill="1" applyBorder="1" applyAlignment="1">
      <alignment horizontal="center" vertical="center"/>
    </xf>
    <xf numFmtId="166" fontId="20" fillId="5" borderId="1" xfId="0" applyNumberFormat="1" applyFont="1" applyFill="1" applyBorder="1" applyAlignment="1">
      <alignment horizontal="right" vertical="center"/>
    </xf>
    <xf numFmtId="166" fontId="20" fillId="3" borderId="1" xfId="0" applyNumberFormat="1" applyFont="1" applyFill="1" applyBorder="1" applyAlignment="1">
      <alignment horizontal="right" vertical="center"/>
    </xf>
    <xf numFmtId="169" fontId="20" fillId="5" borderId="1" xfId="0" applyNumberFormat="1" applyFont="1" applyFill="1" applyBorder="1" applyAlignment="1">
      <alignment horizontal="right" vertical="center"/>
    </xf>
    <xf numFmtId="169" fontId="20" fillId="3" borderId="1" xfId="0" applyNumberFormat="1" applyFont="1" applyFill="1" applyBorder="1" applyAlignment="1">
      <alignment horizontal="right" vertical="center"/>
    </xf>
    <xf numFmtId="164" fontId="20" fillId="5" borderId="1" xfId="0" applyNumberFormat="1" applyFont="1" applyFill="1" applyBorder="1" applyAlignment="1">
      <alignment horizontal="right" vertical="center"/>
    </xf>
    <xf numFmtId="0" fontId="10" fillId="4" borderId="1" xfId="0" applyFont="1" applyFill="1" applyBorder="1" applyAlignment="1">
      <alignment horizontal="left" vertical="center"/>
    </xf>
    <xf numFmtId="0" fontId="5" fillId="4" borderId="1" xfId="0" applyFont="1" applyFill="1" applyBorder="1" applyAlignment="1">
      <alignment horizontal="left" vertical="center"/>
    </xf>
    <xf numFmtId="0" fontId="21" fillId="4" borderId="1" xfId="0" applyFont="1" applyFill="1" applyBorder="1" applyAlignment="1">
      <alignment horizontal="center" vertical="center"/>
    </xf>
    <xf numFmtId="0" fontId="21" fillId="2" borderId="1" xfId="0" applyFont="1" applyFill="1" applyBorder="1" applyAlignment="1">
      <alignment horizontal="center" vertical="center"/>
    </xf>
    <xf numFmtId="0" fontId="5" fillId="5" borderId="1" xfId="0" applyFont="1" applyFill="1" applyBorder="1" applyAlignment="1">
      <alignment horizontal="left" vertical="center"/>
    </xf>
    <xf numFmtId="167" fontId="9" fillId="5" borderId="1" xfId="0" applyNumberFormat="1" applyFont="1" applyFill="1" applyBorder="1" applyAlignment="1">
      <alignment horizontal="right" vertical="center"/>
    </xf>
    <xf numFmtId="167" fontId="7" fillId="5" borderId="1" xfId="0" applyNumberFormat="1" applyFont="1" applyFill="1" applyBorder="1" applyAlignment="1">
      <alignment horizontal="right" vertical="center"/>
    </xf>
    <xf numFmtId="0" fontId="5" fillId="3" borderId="1" xfId="0" applyFont="1" applyFill="1" applyBorder="1" applyAlignment="1">
      <alignment horizontal="left" vertical="center"/>
    </xf>
    <xf numFmtId="168" fontId="7" fillId="3" borderId="1" xfId="0" applyNumberFormat="1" applyFont="1" applyFill="1" applyBorder="1" applyAlignment="1">
      <alignment horizontal="right" vertical="center"/>
    </xf>
    <xf numFmtId="165" fontId="7" fillId="3" borderId="1" xfId="0" applyNumberFormat="1" applyFont="1" applyFill="1" applyBorder="1" applyAlignment="1">
      <alignment horizontal="right" vertical="center"/>
    </xf>
    <xf numFmtId="0" fontId="10" fillId="4" borderId="1" xfId="0" applyFont="1" applyFill="1" applyBorder="1" applyAlignment="1">
      <alignment horizontal="center" vertical="center"/>
    </xf>
    <xf numFmtId="0" fontId="19" fillId="5" borderId="1" xfId="0" applyFont="1" applyFill="1" applyBorder="1" applyAlignment="1">
      <alignment horizontal="left" vertical="center"/>
    </xf>
    <xf numFmtId="165" fontId="20" fillId="5" borderId="1" xfId="0" applyNumberFormat="1" applyFont="1" applyFill="1" applyBorder="1" applyAlignment="1">
      <alignment horizontal="right" vertical="center"/>
    </xf>
    <xf numFmtId="165" fontId="8" fillId="5" borderId="1" xfId="0" applyNumberFormat="1" applyFont="1" applyFill="1" applyBorder="1" applyAlignment="1">
      <alignment horizontal="right" vertical="center"/>
    </xf>
    <xf numFmtId="164" fontId="19" fillId="5" borderId="1" xfId="0" applyNumberFormat="1" applyFont="1" applyFill="1" applyBorder="1" applyAlignment="1">
      <alignment horizontal="right" vertical="center"/>
    </xf>
    <xf numFmtId="0" fontId="19" fillId="3" borderId="1" xfId="0" applyFont="1" applyFill="1" applyBorder="1" applyAlignment="1">
      <alignment horizontal="left" vertical="center"/>
    </xf>
    <xf numFmtId="165" fontId="20" fillId="3" borderId="1" xfId="0" applyNumberFormat="1" applyFont="1" applyFill="1" applyBorder="1" applyAlignment="1">
      <alignment horizontal="right" vertical="center"/>
    </xf>
    <xf numFmtId="165" fontId="8" fillId="3" borderId="1" xfId="0" applyNumberFormat="1" applyFont="1" applyFill="1" applyBorder="1" applyAlignment="1">
      <alignment horizontal="right" vertical="center"/>
    </xf>
    <xf numFmtId="164" fontId="19" fillId="3" borderId="1" xfId="0" applyNumberFormat="1" applyFont="1" applyFill="1" applyBorder="1" applyAlignment="1">
      <alignment horizontal="right" vertical="center"/>
    </xf>
    <xf numFmtId="168" fontId="20" fillId="3" borderId="1" xfId="0" applyNumberFormat="1" applyFont="1" applyFill="1" applyBorder="1" applyAlignment="1">
      <alignment horizontal="center" vertical="center"/>
    </xf>
    <xf numFmtId="165" fontId="19" fillId="3" borderId="1" xfId="0" applyNumberFormat="1" applyFont="1" applyFill="1" applyBorder="1" applyAlignment="1">
      <alignment horizontal="right" vertical="center"/>
    </xf>
    <xf numFmtId="168" fontId="20" fillId="5" borderId="1" xfId="0" applyNumberFormat="1" applyFont="1" applyFill="1" applyBorder="1" applyAlignment="1">
      <alignment horizontal="center" vertical="center"/>
    </xf>
    <xf numFmtId="165" fontId="7" fillId="5" borderId="1" xfId="0" applyNumberFormat="1" applyFont="1" applyFill="1" applyBorder="1" applyAlignment="1">
      <alignment horizontal="right" vertical="center"/>
    </xf>
    <xf numFmtId="165" fontId="19" fillId="5" borderId="1" xfId="0" applyNumberFormat="1" applyFont="1" applyFill="1" applyBorder="1" applyAlignment="1">
      <alignment horizontal="right" vertical="center"/>
    </xf>
    <xf numFmtId="0" fontId="7" fillId="7" borderId="1" xfId="0" applyFont="1" applyFill="1" applyBorder="1" applyAlignment="1">
      <alignment horizontal="left" vertical="center"/>
    </xf>
    <xf numFmtId="0" fontId="5" fillId="7" borderId="1" xfId="0" applyFont="1" applyFill="1" applyBorder="1" applyAlignment="1">
      <alignment horizontal="left" vertical="center"/>
    </xf>
    <xf numFmtId="165" fontId="7" fillId="7" borderId="1" xfId="0" applyNumberFormat="1" applyFont="1" applyFill="1" applyBorder="1" applyAlignment="1">
      <alignment horizontal="right" vertical="center"/>
    </xf>
    <xf numFmtId="0" fontId="9" fillId="5" borderId="1" xfId="0" applyFont="1" applyFill="1" applyBorder="1" applyAlignment="1">
      <alignment horizontal="left" vertical="center"/>
    </xf>
    <xf numFmtId="167" fontId="9" fillId="5" borderId="1" xfId="0" applyNumberFormat="1" applyFont="1" applyFill="1" applyBorder="1" applyAlignment="1">
      <alignment horizontal="center" vertical="center"/>
    </xf>
    <xf numFmtId="170" fontId="22" fillId="5" borderId="1" xfId="0" applyNumberFormat="1" applyFont="1" applyFill="1" applyBorder="1" applyAlignment="1">
      <alignment horizontal="center" vertical="center"/>
    </xf>
    <xf numFmtId="168" fontId="22" fillId="5" borderId="1" xfId="0" applyNumberFormat="1" applyFont="1" applyFill="1" applyBorder="1" applyAlignment="1">
      <alignment horizontal="center" vertical="center"/>
    </xf>
    <xf numFmtId="165" fontId="22" fillId="5" borderId="1" xfId="0" applyNumberFormat="1" applyFont="1" applyFill="1" applyBorder="1" applyAlignment="1">
      <alignment horizontal="right" vertical="center"/>
    </xf>
    <xf numFmtId="0" fontId="9" fillId="7" borderId="1" xfId="0" applyFont="1" applyFill="1" applyBorder="1" applyAlignment="1">
      <alignment horizontal="center" vertical="center"/>
    </xf>
    <xf numFmtId="0" fontId="14" fillId="7" borderId="1" xfId="0" applyFont="1" applyFill="1" applyBorder="1" applyAlignment="1">
      <alignment horizontal="center" vertical="center"/>
    </xf>
    <xf numFmtId="0" fontId="23" fillId="2" borderId="0" xfId="0" applyFont="1" applyFill="1" applyAlignment="1">
      <alignment horizontal="center" vertical="center"/>
    </xf>
    <xf numFmtId="165" fontId="6" fillId="2" borderId="1" xfId="0" applyNumberFormat="1" applyFont="1" applyFill="1" applyBorder="1" applyAlignment="1">
      <alignment horizontal="right" vertical="center"/>
    </xf>
    <xf numFmtId="0" fontId="6" fillId="6" borderId="0" xfId="0" applyFont="1" applyFill="1" applyAlignment="1">
      <alignment horizontal="center" vertical="center"/>
    </xf>
    <xf numFmtId="166" fontId="24" fillId="5" borderId="1" xfId="0" applyNumberFormat="1" applyFont="1" applyFill="1" applyBorder="1" applyAlignment="1">
      <alignment horizontal="right" vertical="center"/>
    </xf>
    <xf numFmtId="0" fontId="25" fillId="8" borderId="0" xfId="0" applyFont="1" applyFill="1"/>
    <xf numFmtId="0" fontId="5" fillId="8" borderId="0" xfId="0" applyFont="1" applyFill="1"/>
    <xf numFmtId="174" fontId="5" fillId="0" borderId="0" xfId="0" applyNumberFormat="1" applyFont="1" applyAlignment="1">
      <alignment horizontal="center"/>
    </xf>
    <xf numFmtId="174" fontId="28" fillId="0" borderId="0" xfId="0" applyNumberFormat="1" applyFont="1" applyAlignment="1">
      <alignment horizontal="center"/>
    </xf>
    <xf numFmtId="0" fontId="5" fillId="9" borderId="0" xfId="0" applyFont="1" applyFill="1"/>
    <xf numFmtId="0" fontId="23" fillId="8" borderId="0" xfId="0" applyFont="1" applyFill="1"/>
    <xf numFmtId="176" fontId="23" fillId="8" borderId="3" xfId="0" applyNumberFormat="1" applyFont="1" applyFill="1" applyBorder="1"/>
    <xf numFmtId="174" fontId="23" fillId="8" borderId="0" xfId="0" applyNumberFormat="1" applyFont="1" applyFill="1" applyAlignment="1">
      <alignment horizontal="center"/>
    </xf>
    <xf numFmtId="176" fontId="5" fillId="0" borderId="0" xfId="0" applyNumberFormat="1" applyFont="1"/>
    <xf numFmtId="0" fontId="29" fillId="9" borderId="0" xfId="0" applyFont="1" applyFill="1"/>
    <xf numFmtId="0" fontId="28" fillId="9" borderId="0" xfId="0" applyFont="1" applyFill="1"/>
    <xf numFmtId="176" fontId="28" fillId="0" borderId="4" xfId="0" applyNumberFormat="1" applyFont="1" applyBorder="1"/>
    <xf numFmtId="176" fontId="23" fillId="8" borderId="4" xfId="0" applyNumberFormat="1" applyFont="1" applyFill="1" applyBorder="1"/>
    <xf numFmtId="174" fontId="23" fillId="8" borderId="0" xfId="0" applyNumberFormat="1" applyFont="1" applyFill="1" applyBorder="1" applyAlignment="1">
      <alignment horizontal="center"/>
    </xf>
    <xf numFmtId="174" fontId="28" fillId="0" borderId="4" xfId="0" applyNumberFormat="1" applyFont="1" applyBorder="1" applyAlignment="1">
      <alignment horizontal="center"/>
    </xf>
    <xf numFmtId="0" fontId="17" fillId="8" borderId="0" xfId="0" applyFont="1" applyFill="1"/>
    <xf numFmtId="176" fontId="23" fillId="8" borderId="5" xfId="0" applyNumberFormat="1" applyFont="1" applyFill="1" applyBorder="1"/>
    <xf numFmtId="0" fontId="30" fillId="0" borderId="0" xfId="0" applyFont="1"/>
    <xf numFmtId="0" fontId="16" fillId="0" borderId="0" xfId="0" applyFont="1"/>
    <xf numFmtId="2" fontId="16" fillId="0" borderId="0" xfId="0" applyNumberFormat="1" applyFont="1" applyAlignment="1">
      <alignment horizontal="center"/>
    </xf>
    <xf numFmtId="171" fontId="16" fillId="0" borderId="0" xfId="0" applyNumberFormat="1" applyFont="1" applyAlignment="1">
      <alignment horizontal="center"/>
    </xf>
    <xf numFmtId="0" fontId="16" fillId="0" borderId="2" xfId="0" applyFont="1" applyBorder="1"/>
    <xf numFmtId="2" fontId="16" fillId="0" borderId="2" xfId="0" applyNumberFormat="1" applyFont="1" applyBorder="1" applyAlignment="1">
      <alignment horizontal="center"/>
    </xf>
    <xf numFmtId="171" fontId="16" fillId="0" borderId="2" xfId="0" applyNumberFormat="1" applyFont="1" applyBorder="1" applyAlignment="1">
      <alignment horizontal="center"/>
    </xf>
    <xf numFmtId="172" fontId="16" fillId="0" borderId="0" xfId="0" applyNumberFormat="1" applyFont="1" applyAlignment="1">
      <alignment horizontal="center"/>
    </xf>
    <xf numFmtId="173" fontId="16" fillId="0" borderId="0" xfId="0" applyNumberFormat="1" applyFont="1" applyAlignment="1">
      <alignment horizontal="center"/>
    </xf>
    <xf numFmtId="174" fontId="16" fillId="0" borderId="0" xfId="0" applyNumberFormat="1" applyFont="1" applyAlignment="1">
      <alignment horizontal="center"/>
    </xf>
    <xf numFmtId="175" fontId="16" fillId="0" borderId="0" xfId="0" applyNumberFormat="1" applyFont="1" applyAlignment="1">
      <alignment horizontal="center"/>
    </xf>
    <xf numFmtId="0" fontId="26" fillId="0" borderId="0" xfId="0" applyFont="1"/>
    <xf numFmtId="0" fontId="10" fillId="4" borderId="1" xfId="0" applyFont="1" applyFill="1" applyBorder="1" applyAlignment="1">
      <alignment horizontal="center" vertical="center"/>
    </xf>
    <xf numFmtId="0" fontId="12" fillId="5" borderId="1" xfId="0" applyFont="1" applyFill="1" applyBorder="1" applyAlignment="1">
      <alignment horizontal="left" vertical="center"/>
    </xf>
    <xf numFmtId="0" fontId="21" fillId="4" borderId="1" xfId="0" applyFont="1" applyFill="1" applyBorder="1" applyAlignment="1">
      <alignment horizontal="center" vertical="center"/>
    </xf>
    <xf numFmtId="165" fontId="7" fillId="3" borderId="1" xfId="0" applyNumberFormat="1" applyFont="1" applyFill="1" applyBorder="1" applyAlignment="1">
      <alignment horizontal="right" vertical="center"/>
    </xf>
    <xf numFmtId="165" fontId="7" fillId="5" borderId="1" xfId="0" applyNumberFormat="1" applyFont="1" applyFill="1" applyBorder="1" applyAlignment="1">
      <alignment horizontal="right" vertical="center"/>
    </xf>
    <xf numFmtId="0" fontId="12" fillId="3" borderId="0" xfId="0" applyFont="1" applyFill="1" applyAlignment="1">
      <alignment horizontal="left" vertical="center"/>
    </xf>
    <xf numFmtId="0" fontId="22" fillId="5" borderId="1" xfId="0" applyFont="1" applyFill="1" applyBorder="1" applyAlignment="1">
      <alignment horizontal="left" vertical="center" wrapText="1"/>
    </xf>
    <xf numFmtId="0" fontId="22" fillId="3" borderId="1" xfId="0" applyFont="1" applyFill="1" applyBorder="1" applyAlignment="1">
      <alignment horizontal="left" vertical="center" wrapText="1"/>
    </xf>
    <xf numFmtId="0" fontId="22" fillId="7" borderId="1" xfId="0" applyFont="1" applyFill="1" applyBorder="1" applyAlignment="1">
      <alignment horizontal="left" vertical="center" wrapText="1"/>
    </xf>
    <xf numFmtId="0" fontId="12" fillId="3" borderId="1" xfId="0" applyFont="1" applyFill="1" applyBorder="1" applyAlignment="1">
      <alignment horizontal="center" vertical="center"/>
    </xf>
    <xf numFmtId="0" fontId="12" fillId="5" borderId="1" xfId="0" applyFont="1" applyFill="1" applyBorder="1" applyAlignment="1">
      <alignment horizontal="center" vertical="center"/>
    </xf>
    <xf numFmtId="0" fontId="22" fillId="5" borderId="1" xfId="0" applyFont="1" applyFill="1" applyBorder="1" applyAlignment="1">
      <alignment horizontal="left" vertical="center"/>
    </xf>
    <xf numFmtId="0" fontId="22" fillId="3" borderId="1" xfId="0" applyFont="1" applyFill="1" applyBorder="1" applyAlignment="1">
      <alignment horizontal="left" vertical="center"/>
    </xf>
    <xf numFmtId="0" fontId="5" fillId="10" borderId="1" xfId="0" applyFont="1" applyFill="1" applyBorder="1" applyAlignment="1">
      <alignment horizontal="left" vertical="center"/>
    </xf>
    <xf numFmtId="168" fontId="19" fillId="10" borderId="1" xfId="0" applyNumberFormat="1" applyFont="1" applyFill="1" applyBorder="1" applyAlignment="1">
      <alignment horizontal="right" vertical="center"/>
    </xf>
    <xf numFmtId="165" fontId="19" fillId="10" borderId="1" xfId="0" applyNumberFormat="1" applyFont="1" applyFill="1" applyBorder="1" applyAlignment="1">
      <alignment horizontal="right" vertical="center"/>
    </xf>
    <xf numFmtId="0" fontId="19" fillId="10" borderId="1" xfId="0" applyFont="1" applyFill="1" applyBorder="1" applyAlignment="1">
      <alignment horizontal="left" vertical="center"/>
    </xf>
    <xf numFmtId="0" fontId="22" fillId="7" borderId="1" xfId="0" applyFont="1" applyFill="1" applyBorder="1" applyAlignment="1">
      <alignment horizontal="left" vertical="center"/>
    </xf>
    <xf numFmtId="0" fontId="22" fillId="5" borderId="1" xfId="0" applyFont="1" applyFill="1" applyBorder="1" applyAlignment="1">
      <alignment horizontal="left" vertical="center"/>
    </xf>
    <xf numFmtId="0" fontId="7" fillId="10" borderId="1" xfId="0" applyFont="1" applyFill="1" applyBorder="1" applyAlignment="1">
      <alignment horizontal="left" vertical="center"/>
    </xf>
    <xf numFmtId="0" fontId="9" fillId="10" borderId="1" xfId="0" applyFont="1" applyFill="1" applyBorder="1" applyAlignment="1">
      <alignment horizontal="center" vertical="center"/>
    </xf>
    <xf numFmtId="0" fontId="14" fillId="10" borderId="1" xfId="0" applyFont="1" applyFill="1" applyBorder="1" applyAlignment="1">
      <alignment horizontal="center" vertical="center"/>
    </xf>
    <xf numFmtId="165" fontId="7" fillId="10" borderId="1" xfId="0" applyNumberFormat="1" applyFont="1" applyFill="1" applyBorder="1" applyAlignment="1">
      <alignment horizontal="right" vertical="center"/>
    </xf>
    <xf numFmtId="0" fontId="24" fillId="5" borderId="1" xfId="0" applyFont="1" applyFill="1" applyBorder="1" applyAlignment="1">
      <alignment horizontal="left" vertical="center"/>
    </xf>
    <xf numFmtId="0" fontId="19" fillId="8" borderId="0" xfId="0" applyFont="1" applyFill="1"/>
    <xf numFmtId="0" fontId="26" fillId="10" borderId="0" xfId="0" applyFont="1" applyFill="1"/>
    <xf numFmtId="0" fontId="26" fillId="10" borderId="0" xfId="0" applyFont="1" applyFill="1" applyAlignment="1">
      <alignment horizontal="center"/>
    </xf>
    <xf numFmtId="0" fontId="27" fillId="10" borderId="0" xfId="0" applyFont="1" applyFill="1"/>
    <xf numFmtId="0" fontId="27" fillId="10" borderId="0" xfId="0" applyFont="1" applyFill="1" applyAlignment="1">
      <alignment horizontal="center"/>
    </xf>
    <xf numFmtId="0" fontId="23" fillId="11" borderId="0" xfId="0" applyFont="1" applyFill="1"/>
    <xf numFmtId="0" fontId="5" fillId="11" borderId="0" xfId="0" applyFont="1" applyFill="1"/>
    <xf numFmtId="0" fontId="5" fillId="10" borderId="0" xfId="0" applyFont="1" applyFill="1"/>
    <xf numFmtId="177" fontId="5" fillId="10" borderId="0" xfId="0" applyNumberFormat="1" applyFont="1" applyFill="1"/>
    <xf numFmtId="3" fontId="5" fillId="10" borderId="0" xfId="0" applyNumberFormat="1" applyFont="1" applyFill="1"/>
    <xf numFmtId="0" fontId="22" fillId="10" borderId="0" xfId="0" applyFont="1" applyFill="1"/>
    <xf numFmtId="172" fontId="5" fillId="10" borderId="0" xfId="0" applyNumberFormat="1" applyFont="1" applyFill="1"/>
    <xf numFmtId="176" fontId="5" fillId="10" borderId="0" xfId="0" applyNumberFormat="1" applyFont="1" applyFill="1"/>
    <xf numFmtId="0" fontId="28" fillId="10" borderId="0" xfId="0" applyFont="1" applyFill="1"/>
    <xf numFmtId="172" fontId="28" fillId="10" borderId="5" xfId="0" applyNumberFormat="1" applyFont="1" applyFill="1" applyBorder="1"/>
    <xf numFmtId="0" fontId="31" fillId="10" borderId="0" xfId="0" applyFont="1" applyFill="1"/>
    <xf numFmtId="176" fontId="28" fillId="10" borderId="4" xfId="0" applyNumberFormat="1" applyFont="1" applyFill="1" applyBorder="1"/>
    <xf numFmtId="0" fontId="22" fillId="9" borderId="0" xfId="0" applyFont="1" applyFill="1"/>
    <xf numFmtId="174" fontId="32" fillId="10" borderId="0" xfId="0" applyNumberFormat="1" applyFont="1" applyFill="1" applyBorder="1" applyAlignment="1">
      <alignment horizontal="center"/>
    </xf>
    <xf numFmtId="0" fontId="32" fillId="8" borderId="0" xfId="0" applyFont="1" applyFill="1"/>
    <xf numFmtId="174" fontId="32" fillId="0" borderId="0" xfId="0" applyNumberFormat="1" applyFont="1"/>
    <xf numFmtId="0" fontId="32" fillId="0" borderId="0" xfId="0" applyFont="1"/>
    <xf numFmtId="0" fontId="22" fillId="0" borderId="0" xfId="0" applyFont="1"/>
    <xf numFmtId="174" fontId="32" fillId="10" borderId="0" xfId="0" applyNumberFormat="1" applyFont="1" applyFill="1" applyAlignment="1">
      <alignment horizontal="center"/>
    </xf>
    <xf numFmtId="0" fontId="7" fillId="0" borderId="0" xfId="0" applyFont="1"/>
    <xf numFmtId="0" fontId="6" fillId="8" borderId="2" xfId="0" applyFont="1" applyFill="1" applyBorder="1"/>
    <xf numFmtId="0" fontId="6" fillId="8" borderId="2" xfId="0" applyFont="1" applyFill="1" applyBorder="1" applyAlignment="1">
      <alignment horizontal="center"/>
    </xf>
    <xf numFmtId="0" fontId="12" fillId="0" borderId="0" xfId="0" applyFont="1"/>
    <xf numFmtId="0" fontId="12" fillId="0" borderId="2" xfId="0" applyFont="1" applyBorder="1"/>
    <xf numFmtId="0" fontId="7" fillId="0" borderId="0" xfId="0" applyFont="1" applyAlignment="1">
      <alignment horizontal="center"/>
    </xf>
    <xf numFmtId="0" fontId="33" fillId="0" borderId="0" xfId="0" applyFont="1" applyAlignment="1">
      <alignment horizontal="center"/>
    </xf>
    <xf numFmtId="0" fontId="34" fillId="0" borderId="0" xfId="0" applyFont="1"/>
    <xf numFmtId="0" fontId="7" fillId="3" borderId="1" xfId="0" applyFont="1" applyFill="1" applyBorder="1" applyAlignment="1">
      <alignment horizontal="right" vertical="center"/>
    </xf>
    <xf numFmtId="0" fontId="7" fillId="5" borderId="1" xfId="0" applyFont="1" applyFill="1" applyBorder="1" applyAlignment="1">
      <alignment horizontal="right" vertical="center"/>
    </xf>
    <xf numFmtId="0" fontId="35" fillId="8" borderId="0" xfId="0" applyFont="1" applyFill="1"/>
    <xf numFmtId="0" fontId="17" fillId="11" borderId="0" xfId="0" applyFont="1" applyFill="1"/>
    <xf numFmtId="0" fontId="17" fillId="12" borderId="0" xfId="0" applyFont="1" applyFill="1"/>
    <xf numFmtId="0" fontId="36" fillId="10" borderId="0" xfId="0" applyFont="1" applyFill="1" applyAlignment="1">
      <alignment vertical="top" wrapText="1"/>
    </xf>
    <xf numFmtId="0" fontId="4" fillId="10" borderId="0" xfId="0" applyFont="1" applyFill="1" applyAlignment="1">
      <alignment vertical="top" wrapText="1"/>
    </xf>
    <xf numFmtId="0" fontId="7" fillId="10" borderId="0" xfId="0" applyFont="1" applyFill="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CE6F1"/>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4F6F9"/>
      <rgbColor rgb="FFE2EFDA"/>
      <rgbColor rgb="FFFFFF99"/>
      <rgbColor rgb="FF99CCFF"/>
      <rgbColor rgb="FFFF99CC"/>
      <rgbColor rgb="FFCC99FF"/>
      <rgbColor rgb="FFD9D9D9"/>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F0D715F-E087-DC4E-BD5A-BBF2E6B7C2C2}">
  <we:reference id="wa200009404" version="1.0.0.8" store="en-US" storeType="OMEX"/>
  <we:alternateReferences>
    <we:reference id="WA200009404" version="1.0.0.8" store="" storeType="OMEX"/>
  </we:alternateReferences>
  <we:properties>
    <we:property name="claude.fileId" value="&quot;c57f8009-1cb9-48b7-ae33-5b75cb4deaf1&quot;"/>
  </we:properties>
  <we:bindings/>
  <we:snapshot xmlns:r="http://schemas.openxmlformats.org/officeDocument/2006/relationships"/>
</we:webextension>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19A49-2C72-D144-8786-0C2C7D470113}">
  <sheetPr>
    <tabColor rgb="FF1F3864"/>
  </sheetPr>
  <dimension ref="A1:A27"/>
  <sheetViews>
    <sheetView workbookViewId="0"/>
  </sheetViews>
  <sheetFormatPr baseColWidth="10" defaultRowHeight="15" x14ac:dyDescent="0.2"/>
  <cols>
    <col min="1" max="1" width="150" customWidth="1"/>
  </cols>
  <sheetData>
    <row r="1" spans="1:1" ht="28" customHeight="1" x14ac:dyDescent="0.3">
      <c r="A1" s="187" t="s">
        <v>594</v>
      </c>
    </row>
    <row r="2" spans="1:1" ht="36" customHeight="1" x14ac:dyDescent="0.2">
      <c r="A2" s="190" t="s">
        <v>595</v>
      </c>
    </row>
    <row r="3" spans="1:1" ht="28" customHeight="1" x14ac:dyDescent="0.2">
      <c r="A3" s="191" t="s">
        <v>596</v>
      </c>
    </row>
    <row r="4" spans="1:1" ht="6" customHeight="1" x14ac:dyDescent="0.2"/>
    <row r="5" spans="1:1" ht="22" customHeight="1" x14ac:dyDescent="0.2">
      <c r="A5" s="188" t="s">
        <v>597</v>
      </c>
    </row>
    <row r="6" spans="1:1" ht="180" customHeight="1" x14ac:dyDescent="0.2">
      <c r="A6" s="192" t="s">
        <v>598</v>
      </c>
    </row>
    <row r="7" spans="1:1" ht="6" customHeight="1" x14ac:dyDescent="0.2"/>
    <row r="8" spans="1:1" ht="22" customHeight="1" x14ac:dyDescent="0.2">
      <c r="A8" s="188" t="s">
        <v>599</v>
      </c>
    </row>
    <row r="9" spans="1:1" ht="165" customHeight="1" x14ac:dyDescent="0.2">
      <c r="A9" s="192" t="s">
        <v>600</v>
      </c>
    </row>
    <row r="10" spans="1:1" ht="6" customHeight="1" x14ac:dyDescent="0.2"/>
    <row r="11" spans="1:1" ht="22" customHeight="1" x14ac:dyDescent="0.2">
      <c r="A11" s="188" t="s">
        <v>601</v>
      </c>
    </row>
    <row r="12" spans="1:1" ht="200" customHeight="1" x14ac:dyDescent="0.2">
      <c r="A12" s="192" t="s">
        <v>602</v>
      </c>
    </row>
    <row r="13" spans="1:1" ht="6" customHeight="1" x14ac:dyDescent="0.2"/>
    <row r="14" spans="1:1" ht="22" customHeight="1" x14ac:dyDescent="0.2">
      <c r="A14" s="188" t="s">
        <v>603</v>
      </c>
    </row>
    <row r="15" spans="1:1" ht="140" customHeight="1" x14ac:dyDescent="0.2">
      <c r="A15" s="192" t="s">
        <v>604</v>
      </c>
    </row>
    <row r="16" spans="1:1" ht="6" customHeight="1" x14ac:dyDescent="0.2"/>
    <row r="17" spans="1:1" ht="22" customHeight="1" x14ac:dyDescent="0.2">
      <c r="A17" s="188" t="s">
        <v>605</v>
      </c>
    </row>
    <row r="18" spans="1:1" ht="240" customHeight="1" x14ac:dyDescent="0.2">
      <c r="A18" s="192" t="s">
        <v>606</v>
      </c>
    </row>
    <row r="19" spans="1:1" ht="6" customHeight="1" x14ac:dyDescent="0.2"/>
    <row r="20" spans="1:1" ht="22" customHeight="1" x14ac:dyDescent="0.2">
      <c r="A20" s="188" t="s">
        <v>607</v>
      </c>
    </row>
    <row r="21" spans="1:1" ht="220" customHeight="1" x14ac:dyDescent="0.2">
      <c r="A21" s="192" t="s">
        <v>608</v>
      </c>
    </row>
    <row r="22" spans="1:1" ht="6" customHeight="1" x14ac:dyDescent="0.2"/>
    <row r="23" spans="1:1" ht="22" customHeight="1" x14ac:dyDescent="0.2">
      <c r="A23" s="188" t="s">
        <v>609</v>
      </c>
    </row>
    <row r="24" spans="1:1" ht="230" customHeight="1" x14ac:dyDescent="0.2">
      <c r="A24" s="192" t="s">
        <v>610</v>
      </c>
    </row>
    <row r="25" spans="1:1" ht="6" customHeight="1" x14ac:dyDescent="0.2"/>
    <row r="26" spans="1:1" ht="22" customHeight="1" x14ac:dyDescent="0.2">
      <c r="A26" s="189" t="s">
        <v>611</v>
      </c>
    </row>
    <row r="27" spans="1:1" ht="140" customHeight="1" x14ac:dyDescent="0.2">
      <c r="A27" s="192" t="s">
        <v>612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244B7-F0EB-6F4A-BE3B-1D7C320C5169}">
  <sheetPr>
    <tabColor rgb="FF1F3864"/>
  </sheetPr>
  <dimension ref="A1"/>
  <sheetViews>
    <sheetView tabSelected="1" workbookViewId="0"/>
  </sheetViews>
  <sheetFormatPr baseColWidth="10"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
  <sheetViews>
    <sheetView showGridLines="0" topLeftCell="A20" zoomScaleNormal="100" workbookViewId="0">
      <selection sqref="A1:D1"/>
    </sheetView>
  </sheetViews>
  <sheetFormatPr baseColWidth="10" defaultColWidth="8.6640625" defaultRowHeight="15" x14ac:dyDescent="0.2"/>
  <cols>
    <col min="1" max="1" width="40" customWidth="1"/>
    <col min="2" max="2" width="14" customWidth="1"/>
    <col min="3" max="3" width="16" customWidth="1"/>
    <col min="4" max="4" width="44" customWidth="1"/>
  </cols>
  <sheetData>
    <row r="1" spans="1:4" ht="30" customHeight="1" x14ac:dyDescent="0.2">
      <c r="A1" s="1" t="s">
        <v>0</v>
      </c>
      <c r="B1" s="1"/>
      <c r="C1" s="1"/>
      <c r="D1" s="1"/>
    </row>
    <row r="2" spans="1:4" x14ac:dyDescent="0.2">
      <c r="A2" s="134" t="s">
        <v>1</v>
      </c>
      <c r="B2" s="134"/>
      <c r="C2" s="134"/>
      <c r="D2" s="134"/>
    </row>
    <row r="3" spans="1:4" x14ac:dyDescent="0.2">
      <c r="A3" s="2"/>
      <c r="B3" s="2"/>
      <c r="C3" s="2"/>
      <c r="D3" s="2"/>
    </row>
    <row r="4" spans="1:4" x14ac:dyDescent="0.2">
      <c r="A4" s="3" t="s">
        <v>2</v>
      </c>
      <c r="B4" s="3"/>
      <c r="C4" s="3"/>
      <c r="D4" s="3"/>
    </row>
    <row r="5" spans="1:4" x14ac:dyDescent="0.2">
      <c r="A5" s="4" t="s">
        <v>3</v>
      </c>
      <c r="B5" s="5">
        <v>7.6499999999999999E-2</v>
      </c>
      <c r="C5" s="6" t="s">
        <v>4</v>
      </c>
      <c r="D5" s="135" t="s">
        <v>5</v>
      </c>
    </row>
    <row r="6" spans="1:4" x14ac:dyDescent="0.2">
      <c r="A6" s="7" t="s">
        <v>6</v>
      </c>
      <c r="B6" s="8">
        <v>1.8499999999999999E-2</v>
      </c>
      <c r="C6" s="9" t="s">
        <v>7</v>
      </c>
      <c r="D6" s="136" t="s">
        <v>8</v>
      </c>
    </row>
    <row r="7" spans="1:4" x14ac:dyDescent="0.2">
      <c r="A7" s="4" t="s">
        <v>9</v>
      </c>
      <c r="B7" s="5">
        <v>0.03</v>
      </c>
      <c r="C7" s="6" t="s">
        <v>10</v>
      </c>
      <c r="D7" s="135" t="s">
        <v>11</v>
      </c>
    </row>
    <row r="8" spans="1:4" x14ac:dyDescent="0.2">
      <c r="A8" s="7" t="s">
        <v>12</v>
      </c>
      <c r="B8" s="10">
        <v>500</v>
      </c>
      <c r="C8" s="9" t="s">
        <v>13</v>
      </c>
      <c r="D8" s="136" t="s">
        <v>14</v>
      </c>
    </row>
    <row r="9" spans="1:4" x14ac:dyDescent="0.2">
      <c r="A9" s="2"/>
      <c r="B9" s="2"/>
      <c r="C9" s="2"/>
      <c r="D9" s="2"/>
    </row>
    <row r="10" spans="1:4" x14ac:dyDescent="0.2">
      <c r="A10" s="3" t="s">
        <v>15</v>
      </c>
      <c r="B10" s="3"/>
      <c r="C10" s="3"/>
      <c r="D10" s="3"/>
    </row>
    <row r="11" spans="1:4" x14ac:dyDescent="0.2">
      <c r="A11" s="4" t="s">
        <v>16</v>
      </c>
      <c r="B11" s="11">
        <v>0.5</v>
      </c>
      <c r="C11" s="6" t="s">
        <v>17</v>
      </c>
      <c r="D11" s="135" t="s">
        <v>18</v>
      </c>
    </row>
    <row r="12" spans="1:4" x14ac:dyDescent="0.2">
      <c r="A12" s="7" t="s">
        <v>19</v>
      </c>
      <c r="B12" s="12">
        <v>5.5</v>
      </c>
      <c r="C12" s="9"/>
      <c r="D12" s="136" t="s">
        <v>20</v>
      </c>
    </row>
    <row r="13" spans="1:4" x14ac:dyDescent="0.2">
      <c r="A13" s="4" t="s">
        <v>21</v>
      </c>
      <c r="B13" s="13">
        <v>7</v>
      </c>
      <c r="C13" s="6"/>
      <c r="D13" s="135" t="s">
        <v>22</v>
      </c>
    </row>
    <row r="14" spans="1:4" x14ac:dyDescent="0.2">
      <c r="A14" s="7" t="s">
        <v>23</v>
      </c>
      <c r="B14" s="14">
        <v>21</v>
      </c>
      <c r="C14" s="9"/>
      <c r="D14" s="136" t="s">
        <v>24</v>
      </c>
    </row>
    <row r="15" spans="1:4" x14ac:dyDescent="0.2">
      <c r="A15" s="2"/>
      <c r="B15" s="2"/>
      <c r="C15" s="2"/>
      <c r="D15" s="2"/>
    </row>
    <row r="16" spans="1:4" x14ac:dyDescent="0.2">
      <c r="A16" s="3" t="s">
        <v>25</v>
      </c>
      <c r="B16" s="3"/>
      <c r="C16" s="3"/>
      <c r="D16" s="3"/>
    </row>
    <row r="17" spans="1:4" x14ac:dyDescent="0.2">
      <c r="A17" s="4" t="s">
        <v>26</v>
      </c>
      <c r="B17" s="13">
        <v>15</v>
      </c>
      <c r="C17" s="6"/>
      <c r="D17" s="135" t="s">
        <v>27</v>
      </c>
    </row>
    <row r="18" spans="1:4" x14ac:dyDescent="0.2">
      <c r="A18" s="7" t="s">
        <v>28</v>
      </c>
      <c r="B18" s="14">
        <v>12</v>
      </c>
      <c r="C18" s="9"/>
      <c r="D18" s="136" t="s">
        <v>29</v>
      </c>
    </row>
    <row r="19" spans="1:4" x14ac:dyDescent="0.2">
      <c r="A19" s="4" t="s">
        <v>30</v>
      </c>
      <c r="B19" s="5">
        <v>0.03</v>
      </c>
      <c r="C19" s="6"/>
      <c r="D19" s="135" t="s">
        <v>31</v>
      </c>
    </row>
    <row r="20" spans="1:4" x14ac:dyDescent="0.2">
      <c r="A20" s="7" t="s">
        <v>32</v>
      </c>
      <c r="B20" s="8">
        <v>0.15</v>
      </c>
      <c r="C20" s="9"/>
      <c r="D20" s="136" t="s">
        <v>33</v>
      </c>
    </row>
    <row r="21" spans="1:4" x14ac:dyDescent="0.2">
      <c r="A21" s="4" t="s">
        <v>34</v>
      </c>
      <c r="B21" s="15">
        <v>30.4</v>
      </c>
      <c r="C21" s="6"/>
      <c r="D21" s="135" t="s">
        <v>35</v>
      </c>
    </row>
    <row r="22" spans="1:4" x14ac:dyDescent="0.2">
      <c r="A22" s="2"/>
      <c r="B22" s="2"/>
      <c r="C22" s="2"/>
      <c r="D22" s="2"/>
    </row>
    <row r="23" spans="1:4" x14ac:dyDescent="0.2">
      <c r="A23" s="3" t="s">
        <v>36</v>
      </c>
      <c r="B23" s="3"/>
      <c r="C23" s="3"/>
      <c r="D23" s="3"/>
    </row>
    <row r="24" spans="1:4" x14ac:dyDescent="0.2">
      <c r="A24" s="7" t="s">
        <v>37</v>
      </c>
      <c r="B24" s="12">
        <v>0.6</v>
      </c>
      <c r="C24" s="9" t="s">
        <v>38</v>
      </c>
      <c r="D24" s="136" t="s">
        <v>39</v>
      </c>
    </row>
    <row r="25" spans="1:4" x14ac:dyDescent="0.2">
      <c r="A25" s="4" t="s">
        <v>40</v>
      </c>
      <c r="B25" s="16">
        <v>100</v>
      </c>
      <c r="C25" s="6"/>
      <c r="D25" s="135" t="s">
        <v>41</v>
      </c>
    </row>
    <row r="26" spans="1:4" x14ac:dyDescent="0.2">
      <c r="A26" s="7" t="s">
        <v>42</v>
      </c>
      <c r="B26" s="12">
        <v>0.75</v>
      </c>
      <c r="C26" s="9" t="s">
        <v>43</v>
      </c>
      <c r="D26" s="136" t="s">
        <v>44</v>
      </c>
    </row>
    <row r="27" spans="1:4" x14ac:dyDescent="0.2">
      <c r="A27" s="4" t="s">
        <v>45</v>
      </c>
      <c r="B27" s="16">
        <v>75</v>
      </c>
      <c r="C27" s="6"/>
      <c r="D27" s="135" t="s">
        <v>46</v>
      </c>
    </row>
    <row r="28" spans="1:4" x14ac:dyDescent="0.2">
      <c r="A28" s="7" t="s">
        <v>47</v>
      </c>
      <c r="B28" s="12">
        <v>1</v>
      </c>
      <c r="C28" s="9" t="s">
        <v>48</v>
      </c>
      <c r="D28" s="136" t="s">
        <v>49</v>
      </c>
    </row>
    <row r="29" spans="1:4" x14ac:dyDescent="0.2">
      <c r="A29" s="4" t="s">
        <v>50</v>
      </c>
      <c r="B29" s="16">
        <v>75</v>
      </c>
      <c r="C29" s="6"/>
      <c r="D29" s="135" t="s">
        <v>46</v>
      </c>
    </row>
    <row r="30" spans="1:4" x14ac:dyDescent="0.2">
      <c r="A30" s="7" t="s">
        <v>51</v>
      </c>
      <c r="B30" s="12">
        <v>0.15</v>
      </c>
      <c r="C30" s="9" t="s">
        <v>52</v>
      </c>
      <c r="D30" s="136" t="s">
        <v>53</v>
      </c>
    </row>
    <row r="31" spans="1:4" x14ac:dyDescent="0.2">
      <c r="A31" s="4" t="s">
        <v>54</v>
      </c>
      <c r="B31" s="16">
        <v>200</v>
      </c>
      <c r="C31" s="6"/>
      <c r="D31" s="135" t="s">
        <v>46</v>
      </c>
    </row>
    <row r="32" spans="1:4" x14ac:dyDescent="0.2">
      <c r="A32" s="2"/>
      <c r="B32" s="2"/>
      <c r="C32" s="2"/>
      <c r="D32" s="2"/>
    </row>
    <row r="33" spans="1:4" x14ac:dyDescent="0.2">
      <c r="A33" s="3" t="s">
        <v>55</v>
      </c>
      <c r="B33" s="3"/>
      <c r="C33" s="3"/>
      <c r="D33" s="3"/>
    </row>
    <row r="34" spans="1:4" x14ac:dyDescent="0.2">
      <c r="A34" s="7" t="s">
        <v>56</v>
      </c>
      <c r="B34" s="10">
        <v>4000</v>
      </c>
      <c r="C34" s="9" t="s">
        <v>57</v>
      </c>
      <c r="D34" s="136" t="s">
        <v>58</v>
      </c>
    </row>
    <row r="35" spans="1:4" x14ac:dyDescent="0.2">
      <c r="A35" s="4" t="s">
        <v>59</v>
      </c>
      <c r="B35" s="16">
        <v>2500</v>
      </c>
      <c r="C35" s="6" t="s">
        <v>60</v>
      </c>
      <c r="D35" s="135" t="s">
        <v>61</v>
      </c>
    </row>
    <row r="36" spans="1:4" x14ac:dyDescent="0.2">
      <c r="A36" s="7" t="s">
        <v>62</v>
      </c>
      <c r="B36" s="10">
        <v>1500</v>
      </c>
      <c r="C36" s="9" t="s">
        <v>63</v>
      </c>
      <c r="D36" s="136" t="s">
        <v>64</v>
      </c>
    </row>
    <row r="37" spans="1:4" x14ac:dyDescent="0.2">
      <c r="A37" s="2"/>
      <c r="B37" s="2"/>
      <c r="C37" s="2"/>
      <c r="D37" s="2"/>
    </row>
    <row r="38" spans="1:4" x14ac:dyDescent="0.2">
      <c r="A38" s="3" t="s">
        <v>65</v>
      </c>
      <c r="B38" s="3"/>
      <c r="C38" s="3"/>
      <c r="D38" s="3"/>
    </row>
    <row r="39" spans="1:4" x14ac:dyDescent="0.2">
      <c r="A39" s="4" t="s">
        <v>66</v>
      </c>
      <c r="B39" s="16">
        <v>120000</v>
      </c>
      <c r="C39" s="6" t="s">
        <v>67</v>
      </c>
      <c r="D39" s="135" t="s">
        <v>68</v>
      </c>
    </row>
    <row r="40" spans="1:4" x14ac:dyDescent="0.2">
      <c r="A40" s="7" t="s">
        <v>69</v>
      </c>
      <c r="B40" s="10">
        <v>75005</v>
      </c>
      <c r="C40" s="9" t="s">
        <v>70</v>
      </c>
      <c r="D40" s="136"/>
    </row>
    <row r="41" spans="1:4" x14ac:dyDescent="0.2">
      <c r="A41" s="4" t="s">
        <v>71</v>
      </c>
      <c r="B41" s="16">
        <v>46510</v>
      </c>
      <c r="C41" s="6" t="s">
        <v>72</v>
      </c>
      <c r="D41" s="135"/>
    </row>
    <row r="42" spans="1:4" x14ac:dyDescent="0.2">
      <c r="A42" s="7" t="s">
        <v>73</v>
      </c>
      <c r="B42" s="10">
        <v>77503</v>
      </c>
      <c r="C42" s="9" t="s">
        <v>70</v>
      </c>
      <c r="D42" s="136"/>
    </row>
    <row r="43" spans="1:4" x14ac:dyDescent="0.2">
      <c r="A43" s="4" t="s">
        <v>74</v>
      </c>
      <c r="B43" s="16">
        <v>50000</v>
      </c>
      <c r="C43" s="6" t="s">
        <v>75</v>
      </c>
      <c r="D43" s="135" t="s">
        <v>76</v>
      </c>
    </row>
    <row r="44" spans="1:4" x14ac:dyDescent="0.2">
      <c r="A44" s="7" t="s">
        <v>77</v>
      </c>
      <c r="B44" s="10">
        <v>120000</v>
      </c>
      <c r="C44" s="9" t="s">
        <v>78</v>
      </c>
      <c r="D44" s="136" t="s">
        <v>79</v>
      </c>
    </row>
    <row r="45" spans="1:4" x14ac:dyDescent="0.2">
      <c r="A45" s="4" t="s">
        <v>80</v>
      </c>
      <c r="B45" s="16">
        <v>45771</v>
      </c>
      <c r="C45" s="6" t="s">
        <v>72</v>
      </c>
      <c r="D45" s="135"/>
    </row>
    <row r="46" spans="1:4" x14ac:dyDescent="0.2">
      <c r="A46" s="7" t="s">
        <v>81</v>
      </c>
      <c r="B46" s="10">
        <v>150000</v>
      </c>
      <c r="C46" s="9" t="s">
        <v>82</v>
      </c>
      <c r="D46" s="136" t="s">
        <v>83</v>
      </c>
    </row>
    <row r="47" spans="1:4" x14ac:dyDescent="0.2">
      <c r="A47" s="4" t="s">
        <v>84</v>
      </c>
      <c r="B47" s="16">
        <f>(B40+B42)/2</f>
        <v>76254</v>
      </c>
      <c r="C47" s="6" t="s">
        <v>70</v>
      </c>
      <c r="D47" s="135" t="s">
        <v>85</v>
      </c>
    </row>
    <row r="48" spans="1:4" x14ac:dyDescent="0.2">
      <c r="A48" s="7" t="s">
        <v>86</v>
      </c>
      <c r="B48" s="10">
        <f>(B41+B45)/2</f>
        <v>46140.5</v>
      </c>
      <c r="C48" s="9" t="s">
        <v>72</v>
      </c>
      <c r="D48" s="136" t="s">
        <v>87</v>
      </c>
    </row>
    <row r="49" spans="1:4" x14ac:dyDescent="0.2">
      <c r="A49" s="2"/>
      <c r="B49" s="2"/>
      <c r="C49" s="2"/>
      <c r="D49" s="2"/>
    </row>
    <row r="50" spans="1:4" x14ac:dyDescent="0.2">
      <c r="A50" s="17" t="s">
        <v>88</v>
      </c>
      <c r="B50" s="17"/>
      <c r="C50" s="17"/>
      <c r="D50" s="17"/>
    </row>
    <row r="51" spans="1:4" x14ac:dyDescent="0.2">
      <c r="A51" s="18" t="s">
        <v>89</v>
      </c>
      <c r="B51" s="18"/>
      <c r="C51" s="18"/>
      <c r="D51" s="18"/>
    </row>
    <row r="52" spans="1:4" x14ac:dyDescent="0.2">
      <c r="A52" s="19" t="s">
        <v>90</v>
      </c>
      <c r="B52" s="19"/>
      <c r="C52" s="19"/>
      <c r="D52" s="19"/>
    </row>
    <row r="53" spans="1:4" x14ac:dyDescent="0.2">
      <c r="A53" s="20" t="s">
        <v>91</v>
      </c>
      <c r="B53" s="20"/>
      <c r="C53" s="20"/>
      <c r="D53" s="20"/>
    </row>
    <row r="54" spans="1:4" x14ac:dyDescent="0.2">
      <c r="A54" s="21" t="s">
        <v>92</v>
      </c>
      <c r="B54" s="21"/>
      <c r="C54" s="21"/>
      <c r="D54" s="21"/>
    </row>
    <row r="55" spans="1:4" x14ac:dyDescent="0.2">
      <c r="A55" s="2"/>
      <c r="B55" s="2"/>
      <c r="C55" s="2"/>
      <c r="D55" s="2"/>
    </row>
    <row r="56" spans="1:4" x14ac:dyDescent="0.2">
      <c r="A56" s="3" t="s">
        <v>93</v>
      </c>
      <c r="B56" s="3"/>
      <c r="C56" s="3"/>
      <c r="D56" s="3"/>
    </row>
    <row r="57" spans="1:4" x14ac:dyDescent="0.2">
      <c r="A57" s="4" t="s">
        <v>94</v>
      </c>
      <c r="B57" s="11">
        <v>230.83</v>
      </c>
      <c r="C57" s="6" t="s">
        <v>95</v>
      </c>
      <c r="D57" s="135" t="s">
        <v>96</v>
      </c>
    </row>
    <row r="58" spans="1:4" x14ac:dyDescent="0.2">
      <c r="A58" s="7" t="s">
        <v>97</v>
      </c>
      <c r="B58" s="22">
        <v>182.36</v>
      </c>
      <c r="C58" s="9" t="s">
        <v>95</v>
      </c>
      <c r="D58" s="136" t="s">
        <v>98</v>
      </c>
    </row>
    <row r="59" spans="1:4" x14ac:dyDescent="0.2">
      <c r="A59" s="4" t="s">
        <v>99</v>
      </c>
      <c r="B59" s="23">
        <v>0.88</v>
      </c>
      <c r="C59" s="6"/>
      <c r="D59" s="135" t="s">
        <v>100</v>
      </c>
    </row>
    <row r="60" spans="1:4" x14ac:dyDescent="0.2">
      <c r="A60" s="7" t="s">
        <v>101</v>
      </c>
      <c r="B60" s="8">
        <v>0.66</v>
      </c>
      <c r="C60" s="9"/>
      <c r="D60" s="136" t="s">
        <v>102</v>
      </c>
    </row>
    <row r="61" spans="1:4" x14ac:dyDescent="0.2">
      <c r="A61" s="4" t="s">
        <v>103</v>
      </c>
      <c r="B61" s="5">
        <v>0.45</v>
      </c>
      <c r="C61" s="6"/>
      <c r="D61" s="135" t="s">
        <v>104</v>
      </c>
    </row>
    <row r="62" spans="1:4" x14ac:dyDescent="0.2">
      <c r="A62" s="7" t="s">
        <v>105</v>
      </c>
      <c r="B62" s="8">
        <v>0.02</v>
      </c>
      <c r="C62" s="9"/>
      <c r="D62" s="136" t="s">
        <v>106</v>
      </c>
    </row>
    <row r="63" spans="1:4" x14ac:dyDescent="0.2">
      <c r="A63" s="4" t="s">
        <v>107</v>
      </c>
      <c r="B63" s="5">
        <v>0</v>
      </c>
      <c r="C63" s="6"/>
      <c r="D63" s="135" t="s">
        <v>108</v>
      </c>
    </row>
    <row r="64" spans="1:4" x14ac:dyDescent="0.2">
      <c r="A64" s="7" t="s">
        <v>109</v>
      </c>
      <c r="B64" s="8">
        <v>1.4999999999999999E-2</v>
      </c>
      <c r="C64" s="9"/>
      <c r="D64" s="136" t="s">
        <v>110</v>
      </c>
    </row>
    <row r="65" spans="1:4" x14ac:dyDescent="0.2">
      <c r="A65" s="4" t="s">
        <v>111</v>
      </c>
      <c r="B65" s="16">
        <v>35361.440000000002</v>
      </c>
      <c r="C65" s="6"/>
      <c r="D65" s="135" t="s">
        <v>112</v>
      </c>
    </row>
    <row r="66" spans="1:4" x14ac:dyDescent="0.2">
      <c r="A66" s="2"/>
      <c r="B66" s="2"/>
      <c r="C66" s="2"/>
      <c r="D66" s="2"/>
    </row>
    <row r="67" spans="1:4" x14ac:dyDescent="0.2">
      <c r="A67" s="3" t="s">
        <v>113</v>
      </c>
      <c r="B67" s="3"/>
      <c r="C67" s="3"/>
      <c r="D67" s="3"/>
    </row>
    <row r="68" spans="1:4" x14ac:dyDescent="0.2">
      <c r="A68" s="7" t="s">
        <v>114</v>
      </c>
      <c r="B68" s="22">
        <v>9</v>
      </c>
      <c r="C68" s="9" t="s">
        <v>115</v>
      </c>
      <c r="D68" s="136" t="s">
        <v>116</v>
      </c>
    </row>
    <row r="69" spans="1:4" x14ac:dyDescent="0.2">
      <c r="A69" s="4" t="s">
        <v>117</v>
      </c>
      <c r="B69" s="11">
        <v>3.5</v>
      </c>
      <c r="C69" s="6" t="s">
        <v>118</v>
      </c>
      <c r="D69" s="135" t="s">
        <v>119</v>
      </c>
    </row>
    <row r="70" spans="1:4" x14ac:dyDescent="0.2">
      <c r="A70" s="7" t="s">
        <v>120</v>
      </c>
      <c r="B70" s="22">
        <v>3</v>
      </c>
      <c r="C70" s="9" t="s">
        <v>121</v>
      </c>
      <c r="D70" s="136" t="s">
        <v>122</v>
      </c>
    </row>
    <row r="71" spans="1:4" x14ac:dyDescent="0.2">
      <c r="A71" s="4" t="s">
        <v>123</v>
      </c>
      <c r="B71" s="11">
        <v>1</v>
      </c>
      <c r="C71" s="6" t="s">
        <v>124</v>
      </c>
      <c r="D71" s="135" t="s">
        <v>125</v>
      </c>
    </row>
    <row r="72" spans="1:4" x14ac:dyDescent="0.2">
      <c r="A72" s="7" t="s">
        <v>126</v>
      </c>
      <c r="B72" s="8">
        <v>0.02</v>
      </c>
      <c r="C72" s="9" t="s">
        <v>127</v>
      </c>
      <c r="D72" s="136" t="s">
        <v>128</v>
      </c>
    </row>
    <row r="73" spans="1:4" x14ac:dyDescent="0.2">
      <c r="A73" s="4" t="s">
        <v>129</v>
      </c>
      <c r="B73" s="16">
        <v>75</v>
      </c>
      <c r="C73" s="6" t="s">
        <v>130</v>
      </c>
      <c r="D73" s="135" t="s">
        <v>131</v>
      </c>
    </row>
    <row r="74" spans="1:4" x14ac:dyDescent="0.2">
      <c r="A74" s="7" t="s">
        <v>132</v>
      </c>
      <c r="B74" s="10">
        <v>1000</v>
      </c>
      <c r="C74" s="9" t="s">
        <v>130</v>
      </c>
      <c r="D74" s="136" t="s">
        <v>133</v>
      </c>
    </row>
    <row r="75" spans="1:4" x14ac:dyDescent="0.2">
      <c r="A75" s="4" t="s">
        <v>134</v>
      </c>
      <c r="B75" s="16">
        <v>3450</v>
      </c>
      <c r="C75" s="24" t="s">
        <v>135</v>
      </c>
      <c r="D75" s="135">
        <v>7000</v>
      </c>
    </row>
    <row r="76" spans="1:4" x14ac:dyDescent="0.2">
      <c r="A76" s="7" t="s">
        <v>136</v>
      </c>
      <c r="B76" s="10">
        <v>3333</v>
      </c>
      <c r="C76" s="24" t="s">
        <v>137</v>
      </c>
      <c r="D76" s="136">
        <v>4333</v>
      </c>
    </row>
    <row r="77" spans="1:4" x14ac:dyDescent="0.2">
      <c r="A77" s="4" t="s">
        <v>138</v>
      </c>
      <c r="B77" s="16">
        <v>2000</v>
      </c>
      <c r="C77" s="6" t="s">
        <v>139</v>
      </c>
      <c r="D77" s="135" t="s">
        <v>140</v>
      </c>
    </row>
    <row r="78" spans="1:4" x14ac:dyDescent="0.2">
      <c r="A78" s="7" t="s">
        <v>141</v>
      </c>
      <c r="B78" s="10">
        <v>1000</v>
      </c>
      <c r="C78" s="9" t="s">
        <v>142</v>
      </c>
      <c r="D78" s="136" t="s">
        <v>143</v>
      </c>
    </row>
    <row r="79" spans="1:4" x14ac:dyDescent="0.2">
      <c r="A79" s="4" t="s">
        <v>144</v>
      </c>
      <c r="B79" s="16">
        <v>750</v>
      </c>
      <c r="C79" s="6" t="s">
        <v>145</v>
      </c>
      <c r="D79" s="135" t="s">
        <v>146</v>
      </c>
    </row>
    <row r="80" spans="1:4" x14ac:dyDescent="0.2">
      <c r="A80" s="7" t="s">
        <v>147</v>
      </c>
      <c r="B80" s="10">
        <v>1200</v>
      </c>
      <c r="C80" s="9" t="s">
        <v>148</v>
      </c>
      <c r="D80" s="136"/>
    </row>
    <row r="81" spans="1:4" x14ac:dyDescent="0.2">
      <c r="A81" s="4" t="s">
        <v>149</v>
      </c>
      <c r="B81" s="16">
        <v>800</v>
      </c>
      <c r="C81" s="6" t="s">
        <v>150</v>
      </c>
      <c r="D81" s="135"/>
    </row>
    <row r="82" spans="1:4" x14ac:dyDescent="0.2">
      <c r="A82" s="7" t="s">
        <v>151</v>
      </c>
      <c r="B82" s="10">
        <v>500</v>
      </c>
      <c r="C82" s="9" t="s">
        <v>152</v>
      </c>
      <c r="D82" s="136"/>
    </row>
    <row r="83" spans="1:4" x14ac:dyDescent="0.2">
      <c r="A83" s="4" t="s">
        <v>153</v>
      </c>
      <c r="B83" s="16">
        <v>600</v>
      </c>
      <c r="C83" s="6" t="s">
        <v>154</v>
      </c>
      <c r="D83" s="135"/>
    </row>
    <row r="84" spans="1:4" x14ac:dyDescent="0.2">
      <c r="A84" s="7" t="s">
        <v>155</v>
      </c>
      <c r="B84" s="10">
        <v>600</v>
      </c>
      <c r="C84" s="9" t="s">
        <v>156</v>
      </c>
      <c r="D84" s="136"/>
    </row>
    <row r="85" spans="1:4" x14ac:dyDescent="0.2">
      <c r="A85" s="4" t="s">
        <v>157</v>
      </c>
      <c r="B85" s="16">
        <v>150</v>
      </c>
      <c r="C85" s="6" t="s">
        <v>158</v>
      </c>
      <c r="D85" s="135"/>
    </row>
    <row r="86" spans="1:4" x14ac:dyDescent="0.2">
      <c r="A86" s="7" t="s">
        <v>159</v>
      </c>
      <c r="B86" s="10">
        <v>300</v>
      </c>
      <c r="C86" s="9" t="s">
        <v>160</v>
      </c>
      <c r="D86" s="136"/>
    </row>
    <row r="87" spans="1:4" x14ac:dyDescent="0.2">
      <c r="A87" s="2"/>
      <c r="B87" s="2"/>
      <c r="C87" s="2"/>
      <c r="D87" s="2"/>
    </row>
    <row r="88" spans="1:4" x14ac:dyDescent="0.2">
      <c r="A88" s="3" t="s">
        <v>161</v>
      </c>
      <c r="B88" s="3"/>
      <c r="C88" s="3"/>
      <c r="D88" s="3"/>
    </row>
    <row r="89" spans="1:4" x14ac:dyDescent="0.2">
      <c r="A89" s="4" t="s">
        <v>162</v>
      </c>
      <c r="B89" s="16">
        <v>300000</v>
      </c>
      <c r="C89" s="6" t="s">
        <v>163</v>
      </c>
      <c r="D89" s="135" t="s">
        <v>164</v>
      </c>
    </row>
    <row r="90" spans="1:4" x14ac:dyDescent="0.2">
      <c r="A90" s="7" t="s">
        <v>165</v>
      </c>
      <c r="B90" s="14">
        <v>15</v>
      </c>
      <c r="C90" s="9" t="s">
        <v>166</v>
      </c>
      <c r="D90" s="136" t="s">
        <v>167</v>
      </c>
    </row>
    <row r="91" spans="1:4" x14ac:dyDescent="0.2">
      <c r="A91" s="4" t="s">
        <v>168</v>
      </c>
      <c r="B91" s="16">
        <v>500000</v>
      </c>
      <c r="C91" s="6" t="s">
        <v>169</v>
      </c>
      <c r="D91" s="135"/>
    </row>
    <row r="92" spans="1:4" x14ac:dyDescent="0.2">
      <c r="A92" s="7" t="s">
        <v>170</v>
      </c>
      <c r="B92" s="8">
        <v>0.115</v>
      </c>
      <c r="C92" s="9"/>
      <c r="D92" s="136" t="s">
        <v>171</v>
      </c>
    </row>
    <row r="93" spans="1:4" x14ac:dyDescent="0.2">
      <c r="A93" s="4" t="s">
        <v>172</v>
      </c>
      <c r="B93" s="13">
        <v>10</v>
      </c>
      <c r="C93" s="6"/>
      <c r="D93" s="135"/>
    </row>
    <row r="94" spans="1:4" x14ac:dyDescent="0.2">
      <c r="A94" s="7" t="s">
        <v>173</v>
      </c>
      <c r="B94" s="10">
        <v>200000</v>
      </c>
      <c r="C94" s="9" t="s">
        <v>169</v>
      </c>
      <c r="D94" s="136" t="s">
        <v>174</v>
      </c>
    </row>
    <row r="95" spans="1:4" x14ac:dyDescent="0.2">
      <c r="A95" s="4" t="s">
        <v>175</v>
      </c>
      <c r="B95" s="5">
        <v>0.06</v>
      </c>
      <c r="C95" s="6"/>
      <c r="D95" s="135" t="s">
        <v>176</v>
      </c>
    </row>
    <row r="96" spans="1:4" x14ac:dyDescent="0.2">
      <c r="A96" s="7" t="s">
        <v>177</v>
      </c>
      <c r="B96" s="8">
        <v>3.7499999999999999E-3</v>
      </c>
      <c r="C96" s="9"/>
      <c r="D96" s="136" t="s">
        <v>178</v>
      </c>
    </row>
    <row r="97" spans="1:4" x14ac:dyDescent="0.2">
      <c r="A97" s="25" t="s">
        <v>586</v>
      </c>
      <c r="B97" s="26">
        <v>300000</v>
      </c>
      <c r="C97" s="27"/>
      <c r="D97" s="2"/>
    </row>
    <row r="98" spans="1:4" x14ac:dyDescent="0.2">
      <c r="A98" s="28" t="s">
        <v>587</v>
      </c>
      <c r="B98" s="29">
        <v>25000</v>
      </c>
      <c r="C98" s="30"/>
      <c r="D98" s="2"/>
    </row>
    <row r="99" spans="1:4" x14ac:dyDescent="0.2">
      <c r="A99" s="31" t="s">
        <v>588</v>
      </c>
      <c r="B99" s="32">
        <v>0.06</v>
      </c>
      <c r="C99" s="27"/>
      <c r="D99" s="2"/>
    </row>
    <row r="100" spans="1:4" x14ac:dyDescent="0.2">
      <c r="A100" s="28" t="s">
        <v>589</v>
      </c>
      <c r="B100" s="33">
        <v>36</v>
      </c>
      <c r="C100" s="30"/>
      <c r="D100" s="2"/>
    </row>
  </sheetData>
  <mergeCells count="16">
    <mergeCell ref="A88:D88"/>
    <mergeCell ref="A52:D52"/>
    <mergeCell ref="A53:D53"/>
    <mergeCell ref="A54:D54"/>
    <mergeCell ref="A56:D56"/>
    <mergeCell ref="A67:D67"/>
    <mergeCell ref="A23:D23"/>
    <mergeCell ref="A33:D33"/>
    <mergeCell ref="A38:D38"/>
    <mergeCell ref="A50:D50"/>
    <mergeCell ref="A51:D51"/>
    <mergeCell ref="A1:D1"/>
    <mergeCell ref="A2:D2"/>
    <mergeCell ref="A4:D4"/>
    <mergeCell ref="A10:D10"/>
    <mergeCell ref="A16:D1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7"/>
  <sheetViews>
    <sheetView showGridLines="0" zoomScaleNormal="100" workbookViewId="0">
      <selection activeCell="N43" sqref="N43"/>
    </sheetView>
  </sheetViews>
  <sheetFormatPr baseColWidth="10" defaultColWidth="8.6640625" defaultRowHeight="15" x14ac:dyDescent="0.2"/>
  <cols>
    <col min="1" max="1" width="16" customWidth="1"/>
    <col min="2" max="2" width="46" customWidth="1"/>
    <col min="3" max="3" width="18" customWidth="1"/>
    <col min="4" max="4" width="38" customWidth="1"/>
  </cols>
  <sheetData>
    <row r="1" spans="1:4" ht="25.5" customHeight="1" x14ac:dyDescent="0.2">
      <c r="A1" s="34" t="s">
        <v>179</v>
      </c>
      <c r="B1" s="34"/>
      <c r="C1" s="34"/>
      <c r="D1" s="34"/>
    </row>
    <row r="2" spans="1:4" x14ac:dyDescent="0.2">
      <c r="A2" s="2"/>
      <c r="B2" s="2"/>
      <c r="C2" s="2"/>
      <c r="D2" s="2"/>
    </row>
    <row r="3" spans="1:4" x14ac:dyDescent="0.2">
      <c r="A3" s="35" t="s">
        <v>180</v>
      </c>
      <c r="B3" s="35" t="s">
        <v>181</v>
      </c>
      <c r="C3" s="35" t="s">
        <v>182</v>
      </c>
      <c r="D3" s="35" t="s">
        <v>183</v>
      </c>
    </row>
    <row r="4" spans="1:4" x14ac:dyDescent="0.2">
      <c r="A4" s="36" t="s">
        <v>70</v>
      </c>
      <c r="B4" s="37" t="s">
        <v>184</v>
      </c>
      <c r="C4" s="38" t="s">
        <v>185</v>
      </c>
      <c r="D4" s="136" t="s">
        <v>186</v>
      </c>
    </row>
    <row r="5" spans="1:4" x14ac:dyDescent="0.2">
      <c r="A5" s="39" t="s">
        <v>72</v>
      </c>
      <c r="B5" s="40" t="s">
        <v>187</v>
      </c>
      <c r="C5" s="41" t="s">
        <v>188</v>
      </c>
      <c r="D5" s="135" t="s">
        <v>189</v>
      </c>
    </row>
    <row r="6" spans="1:4" x14ac:dyDescent="0.2">
      <c r="A6" s="36" t="s">
        <v>38</v>
      </c>
      <c r="B6" s="37" t="s">
        <v>190</v>
      </c>
      <c r="C6" s="38" t="s">
        <v>191</v>
      </c>
      <c r="D6" s="136" t="s">
        <v>192</v>
      </c>
    </row>
    <row r="7" spans="1:4" x14ac:dyDescent="0.2">
      <c r="A7" s="39" t="s">
        <v>48</v>
      </c>
      <c r="B7" s="40" t="s">
        <v>193</v>
      </c>
      <c r="C7" s="41" t="s">
        <v>194</v>
      </c>
      <c r="D7" s="135" t="s">
        <v>195</v>
      </c>
    </row>
    <row r="8" spans="1:4" x14ac:dyDescent="0.2">
      <c r="A8" s="36" t="s">
        <v>43</v>
      </c>
      <c r="B8" s="37" t="s">
        <v>196</v>
      </c>
      <c r="C8" s="38" t="s">
        <v>197</v>
      </c>
      <c r="D8" s="136" t="s">
        <v>198</v>
      </c>
    </row>
    <row r="9" spans="1:4" x14ac:dyDescent="0.2">
      <c r="A9" s="39" t="s">
        <v>52</v>
      </c>
      <c r="B9" s="40" t="s">
        <v>199</v>
      </c>
      <c r="C9" s="41" t="s">
        <v>200</v>
      </c>
      <c r="D9" s="135" t="s">
        <v>53</v>
      </c>
    </row>
    <row r="10" spans="1:4" x14ac:dyDescent="0.2">
      <c r="A10" s="36" t="s">
        <v>67</v>
      </c>
      <c r="B10" s="37" t="s">
        <v>201</v>
      </c>
      <c r="C10" s="38" t="s">
        <v>202</v>
      </c>
      <c r="D10" s="136" t="s">
        <v>203</v>
      </c>
    </row>
    <row r="11" spans="1:4" x14ac:dyDescent="0.2">
      <c r="A11" s="39" t="s">
        <v>75</v>
      </c>
      <c r="B11" s="40" t="s">
        <v>204</v>
      </c>
      <c r="C11" s="41" t="s">
        <v>205</v>
      </c>
      <c r="D11" s="135" t="s">
        <v>206</v>
      </c>
    </row>
    <row r="12" spans="1:4" x14ac:dyDescent="0.2">
      <c r="A12" s="36" t="s">
        <v>82</v>
      </c>
      <c r="B12" s="37" t="s">
        <v>207</v>
      </c>
      <c r="C12" s="38" t="s">
        <v>208</v>
      </c>
      <c r="D12" s="136" t="s">
        <v>209</v>
      </c>
    </row>
    <row r="13" spans="1:4" x14ac:dyDescent="0.2">
      <c r="A13" s="39" t="s">
        <v>78</v>
      </c>
      <c r="B13" s="40" t="s">
        <v>210</v>
      </c>
      <c r="C13" s="41" t="s">
        <v>211</v>
      </c>
      <c r="D13" s="135" t="s">
        <v>212</v>
      </c>
    </row>
    <row r="14" spans="1:4" x14ac:dyDescent="0.2">
      <c r="A14" s="36" t="s">
        <v>60</v>
      </c>
      <c r="B14" s="37" t="s">
        <v>213</v>
      </c>
      <c r="C14" s="38" t="s">
        <v>214</v>
      </c>
      <c r="D14" s="136" t="s">
        <v>215</v>
      </c>
    </row>
    <row r="15" spans="1:4" x14ac:dyDescent="0.2">
      <c r="A15" s="39" t="s">
        <v>63</v>
      </c>
      <c r="B15" s="40" t="s">
        <v>216</v>
      </c>
      <c r="C15" s="41" t="s">
        <v>217</v>
      </c>
      <c r="D15" s="135" t="s">
        <v>218</v>
      </c>
    </row>
    <row r="16" spans="1:4" x14ac:dyDescent="0.2">
      <c r="A16" s="36" t="s">
        <v>57</v>
      </c>
      <c r="B16" s="37" t="s">
        <v>219</v>
      </c>
      <c r="C16" s="38" t="s">
        <v>220</v>
      </c>
      <c r="D16" s="136" t="s">
        <v>221</v>
      </c>
    </row>
    <row r="17" spans="1:4" x14ac:dyDescent="0.2">
      <c r="A17" s="39" t="s">
        <v>13</v>
      </c>
      <c r="B17" s="40" t="s">
        <v>222</v>
      </c>
      <c r="C17" s="41" t="s">
        <v>223</v>
      </c>
      <c r="D17" s="135" t="s">
        <v>224</v>
      </c>
    </row>
    <row r="18" spans="1:4" x14ac:dyDescent="0.2">
      <c r="A18" s="36" t="s">
        <v>4</v>
      </c>
      <c r="B18" s="37" t="s">
        <v>225</v>
      </c>
      <c r="C18" s="38" t="s">
        <v>226</v>
      </c>
      <c r="D18" s="136" t="s">
        <v>227</v>
      </c>
    </row>
    <row r="19" spans="1:4" x14ac:dyDescent="0.2">
      <c r="A19" s="42" t="s">
        <v>228</v>
      </c>
      <c r="B19" s="43" t="s">
        <v>229</v>
      </c>
      <c r="C19" s="44" t="s">
        <v>230</v>
      </c>
      <c r="D19" s="137" t="s">
        <v>231</v>
      </c>
    </row>
    <row r="20" spans="1:4" x14ac:dyDescent="0.2">
      <c r="A20" s="42" t="s">
        <v>232</v>
      </c>
      <c r="B20" s="43" t="s">
        <v>233</v>
      </c>
      <c r="C20" s="44" t="s">
        <v>234</v>
      </c>
      <c r="D20" s="137" t="s">
        <v>231</v>
      </c>
    </row>
    <row r="21" spans="1:4" x14ac:dyDescent="0.2">
      <c r="A21" s="39" t="s">
        <v>235</v>
      </c>
      <c r="B21" s="40" t="s">
        <v>236</v>
      </c>
      <c r="C21" s="41" t="s">
        <v>237</v>
      </c>
      <c r="D21" s="135" t="s">
        <v>238</v>
      </c>
    </row>
    <row r="22" spans="1:4" x14ac:dyDescent="0.2">
      <c r="A22" s="36" t="s">
        <v>239</v>
      </c>
      <c r="B22" s="37" t="s">
        <v>240</v>
      </c>
      <c r="C22" s="38" t="s">
        <v>241</v>
      </c>
      <c r="D22" s="136" t="s">
        <v>238</v>
      </c>
    </row>
    <row r="23" spans="1:4" x14ac:dyDescent="0.2">
      <c r="A23" s="39" t="s">
        <v>242</v>
      </c>
      <c r="B23" s="40" t="s">
        <v>243</v>
      </c>
      <c r="C23" s="41" t="s">
        <v>244</v>
      </c>
      <c r="D23" s="135" t="s">
        <v>245</v>
      </c>
    </row>
    <row r="24" spans="1:4" x14ac:dyDescent="0.2">
      <c r="A24" s="36" t="s">
        <v>246</v>
      </c>
      <c r="B24" s="37" t="s">
        <v>247</v>
      </c>
      <c r="C24" s="38" t="s">
        <v>248</v>
      </c>
      <c r="D24" s="136" t="s">
        <v>249</v>
      </c>
    </row>
    <row r="25" spans="1:4" x14ac:dyDescent="0.2">
      <c r="A25" s="39" t="s">
        <v>250</v>
      </c>
      <c r="B25" s="40" t="s">
        <v>251</v>
      </c>
      <c r="C25" s="41" t="s">
        <v>252</v>
      </c>
      <c r="D25" s="135" t="s">
        <v>249</v>
      </c>
    </row>
    <row r="26" spans="1:4" x14ac:dyDescent="0.2">
      <c r="A26" s="36" t="s">
        <v>253</v>
      </c>
      <c r="B26" s="37" t="s">
        <v>254</v>
      </c>
      <c r="C26" s="38" t="s">
        <v>255</v>
      </c>
      <c r="D26" s="136" t="s">
        <v>249</v>
      </c>
    </row>
    <row r="27" spans="1:4" x14ac:dyDescent="0.2">
      <c r="A27" s="39" t="s">
        <v>256</v>
      </c>
      <c r="B27" s="40" t="s">
        <v>257</v>
      </c>
      <c r="C27" s="41" t="s">
        <v>258</v>
      </c>
      <c r="D27" s="135" t="s">
        <v>259</v>
      </c>
    </row>
  </sheetData>
  <mergeCells count="1">
    <mergeCell ref="A1:D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5"/>
  <sheetViews>
    <sheetView showGridLines="0" zoomScaleNormal="100" workbookViewId="0">
      <selection sqref="A1:I1"/>
    </sheetView>
  </sheetViews>
  <sheetFormatPr baseColWidth="10" defaultColWidth="8.6640625" defaultRowHeight="15" x14ac:dyDescent="0.2"/>
  <cols>
    <col min="1" max="2" width="8" customWidth="1"/>
    <col min="3" max="6" width="13" customWidth="1"/>
    <col min="7" max="7" width="15" customWidth="1"/>
    <col min="8" max="8" width="13" customWidth="1"/>
    <col min="9" max="9" width="30" customWidth="1"/>
  </cols>
  <sheetData>
    <row r="1" spans="1:9" ht="25.5" customHeight="1" x14ac:dyDescent="0.2">
      <c r="A1" s="34" t="s">
        <v>260</v>
      </c>
      <c r="B1" s="34"/>
      <c r="C1" s="34"/>
      <c r="D1" s="34"/>
      <c r="E1" s="34"/>
      <c r="F1" s="34"/>
      <c r="G1" s="34"/>
      <c r="H1" s="34"/>
      <c r="I1" s="34"/>
    </row>
    <row r="2" spans="1:9" ht="24" customHeight="1" x14ac:dyDescent="0.2">
      <c r="A2" s="134" t="s">
        <v>261</v>
      </c>
      <c r="B2" s="134"/>
      <c r="C2" s="134"/>
      <c r="D2" s="134"/>
      <c r="E2" s="134"/>
      <c r="F2" s="134"/>
      <c r="G2" s="134"/>
      <c r="H2" s="134"/>
      <c r="I2" s="134"/>
    </row>
    <row r="3" spans="1:9" x14ac:dyDescent="0.2">
      <c r="A3" s="2"/>
      <c r="B3" s="2"/>
      <c r="C3" s="2"/>
      <c r="D3" s="2"/>
      <c r="E3" s="2"/>
      <c r="F3" s="2"/>
      <c r="G3" s="2"/>
      <c r="H3" s="2"/>
      <c r="I3" s="2"/>
    </row>
    <row r="4" spans="1:9" x14ac:dyDescent="0.2">
      <c r="A4" s="45" t="s">
        <v>262</v>
      </c>
      <c r="B4" s="45" t="s">
        <v>263</v>
      </c>
      <c r="C4" s="45" t="s">
        <v>264</v>
      </c>
      <c r="D4" s="45" t="s">
        <v>265</v>
      </c>
      <c r="E4" s="45" t="s">
        <v>266</v>
      </c>
      <c r="F4" s="45" t="s">
        <v>267</v>
      </c>
      <c r="G4" s="45" t="s">
        <v>268</v>
      </c>
      <c r="H4" s="45" t="s">
        <v>269</v>
      </c>
      <c r="I4" s="45" t="s">
        <v>183</v>
      </c>
    </row>
    <row r="5" spans="1:9" x14ac:dyDescent="0.2">
      <c r="A5" s="46" t="s">
        <v>270</v>
      </c>
      <c r="B5" s="138" t="s">
        <v>271</v>
      </c>
      <c r="C5" s="12">
        <v>15</v>
      </c>
      <c r="D5" s="12">
        <v>15</v>
      </c>
      <c r="E5" s="47">
        <f>'ARCHIVE_Control Tower'!$B$20</f>
        <v>0.15</v>
      </c>
      <c r="F5" s="48">
        <f t="shared" ref="F5:F40" si="0">D5*E5</f>
        <v>2.25</v>
      </c>
      <c r="G5" s="48">
        <f t="shared" ref="G5:G40" si="1">MAX(0,C5-D5+F5)</f>
        <v>2.25</v>
      </c>
      <c r="H5" s="48">
        <f t="shared" ref="H5:H40" si="2">D5+G5-F5</f>
        <v>15</v>
      </c>
      <c r="I5" s="137" t="s">
        <v>272</v>
      </c>
    </row>
    <row r="6" spans="1:9" x14ac:dyDescent="0.2">
      <c r="A6" s="49" t="s">
        <v>273</v>
      </c>
      <c r="B6" s="139" t="s">
        <v>271</v>
      </c>
      <c r="C6" s="15">
        <v>17</v>
      </c>
      <c r="D6" s="50">
        <f t="shared" ref="D6:D40" si="3">H5</f>
        <v>15</v>
      </c>
      <c r="E6" s="51">
        <f>'ARCHIVE_Control Tower'!$B$20</f>
        <v>0.15</v>
      </c>
      <c r="F6" s="50">
        <f t="shared" si="0"/>
        <v>2.25</v>
      </c>
      <c r="G6" s="50">
        <f t="shared" si="1"/>
        <v>4.25</v>
      </c>
      <c r="H6" s="50">
        <f t="shared" si="2"/>
        <v>17</v>
      </c>
      <c r="I6" s="137" t="s">
        <v>274</v>
      </c>
    </row>
    <row r="7" spans="1:9" x14ac:dyDescent="0.2">
      <c r="A7" s="46" t="s">
        <v>275</v>
      </c>
      <c r="B7" s="138" t="s">
        <v>271</v>
      </c>
      <c r="C7" s="12">
        <v>18</v>
      </c>
      <c r="D7" s="48">
        <f t="shared" si="3"/>
        <v>17</v>
      </c>
      <c r="E7" s="47">
        <f>'ARCHIVE_Control Tower'!$B$20</f>
        <v>0.15</v>
      </c>
      <c r="F7" s="48">
        <f t="shared" si="0"/>
        <v>2.5499999999999998</v>
      </c>
      <c r="G7" s="48">
        <f t="shared" si="1"/>
        <v>3.55</v>
      </c>
      <c r="H7" s="48">
        <f t="shared" si="2"/>
        <v>18</v>
      </c>
      <c r="I7" s="136"/>
    </row>
    <row r="8" spans="1:9" x14ac:dyDescent="0.2">
      <c r="A8" s="49" t="s">
        <v>276</v>
      </c>
      <c r="B8" s="139" t="s">
        <v>271</v>
      </c>
      <c r="C8" s="15">
        <v>20</v>
      </c>
      <c r="D8" s="50">
        <f t="shared" si="3"/>
        <v>18</v>
      </c>
      <c r="E8" s="51">
        <f>'ARCHIVE_Control Tower'!$B$20</f>
        <v>0.15</v>
      </c>
      <c r="F8" s="50">
        <f t="shared" si="0"/>
        <v>2.6999999999999997</v>
      </c>
      <c r="G8" s="50">
        <f t="shared" si="1"/>
        <v>4.6999999999999993</v>
      </c>
      <c r="H8" s="50">
        <f t="shared" si="2"/>
        <v>20</v>
      </c>
      <c r="I8" s="135"/>
    </row>
    <row r="9" spans="1:9" x14ac:dyDescent="0.2">
      <c r="A9" s="46" t="s">
        <v>277</v>
      </c>
      <c r="B9" s="138" t="s">
        <v>271</v>
      </c>
      <c r="C9" s="12">
        <v>22</v>
      </c>
      <c r="D9" s="48">
        <f t="shared" si="3"/>
        <v>20</v>
      </c>
      <c r="E9" s="47">
        <f>'ARCHIVE_Control Tower'!$B$20</f>
        <v>0.15</v>
      </c>
      <c r="F9" s="48">
        <f t="shared" si="0"/>
        <v>3</v>
      </c>
      <c r="G9" s="48">
        <f t="shared" si="1"/>
        <v>5</v>
      </c>
      <c r="H9" s="48">
        <f t="shared" si="2"/>
        <v>22</v>
      </c>
      <c r="I9" s="136"/>
    </row>
    <row r="10" spans="1:9" x14ac:dyDescent="0.2">
      <c r="A10" s="49" t="s">
        <v>278</v>
      </c>
      <c r="B10" s="139" t="s">
        <v>271</v>
      </c>
      <c r="C10" s="15">
        <v>23</v>
      </c>
      <c r="D10" s="50">
        <f t="shared" si="3"/>
        <v>22</v>
      </c>
      <c r="E10" s="51">
        <f>'ARCHIVE_Control Tower'!$B$20</f>
        <v>0.15</v>
      </c>
      <c r="F10" s="50">
        <f t="shared" si="0"/>
        <v>3.3</v>
      </c>
      <c r="G10" s="50">
        <f t="shared" si="1"/>
        <v>4.3</v>
      </c>
      <c r="H10" s="50">
        <f t="shared" si="2"/>
        <v>23</v>
      </c>
      <c r="I10" s="135"/>
    </row>
    <row r="11" spans="1:9" x14ac:dyDescent="0.2">
      <c r="A11" s="46" t="s">
        <v>279</v>
      </c>
      <c r="B11" s="138" t="s">
        <v>271</v>
      </c>
      <c r="C11" s="12">
        <v>25</v>
      </c>
      <c r="D11" s="48">
        <f t="shared" si="3"/>
        <v>23</v>
      </c>
      <c r="E11" s="47">
        <f>'ARCHIVE_Control Tower'!$B$20</f>
        <v>0.15</v>
      </c>
      <c r="F11" s="48">
        <f t="shared" si="0"/>
        <v>3.4499999999999997</v>
      </c>
      <c r="G11" s="48">
        <f t="shared" si="1"/>
        <v>5.4499999999999993</v>
      </c>
      <c r="H11" s="48">
        <f t="shared" si="2"/>
        <v>25</v>
      </c>
      <c r="I11" s="136"/>
    </row>
    <row r="12" spans="1:9" x14ac:dyDescent="0.2">
      <c r="A12" s="49" t="s">
        <v>280</v>
      </c>
      <c r="B12" s="139" t="s">
        <v>271</v>
      </c>
      <c r="C12" s="15">
        <v>26</v>
      </c>
      <c r="D12" s="50">
        <f t="shared" si="3"/>
        <v>25</v>
      </c>
      <c r="E12" s="51">
        <f>'ARCHIVE_Control Tower'!$B$20</f>
        <v>0.15</v>
      </c>
      <c r="F12" s="50">
        <f t="shared" si="0"/>
        <v>3.75</v>
      </c>
      <c r="G12" s="50">
        <f t="shared" si="1"/>
        <v>4.75</v>
      </c>
      <c r="H12" s="50">
        <f t="shared" si="2"/>
        <v>26</v>
      </c>
      <c r="I12" s="135"/>
    </row>
    <row r="13" spans="1:9" x14ac:dyDescent="0.2">
      <c r="A13" s="46" t="s">
        <v>281</v>
      </c>
      <c r="B13" s="138" t="s">
        <v>271</v>
      </c>
      <c r="C13" s="12">
        <v>28</v>
      </c>
      <c r="D13" s="48">
        <f t="shared" si="3"/>
        <v>26</v>
      </c>
      <c r="E13" s="47">
        <f>'ARCHIVE_Control Tower'!$B$20</f>
        <v>0.15</v>
      </c>
      <c r="F13" s="48">
        <f t="shared" si="0"/>
        <v>3.9</v>
      </c>
      <c r="G13" s="48">
        <f t="shared" si="1"/>
        <v>5.9</v>
      </c>
      <c r="H13" s="48">
        <f t="shared" si="2"/>
        <v>28</v>
      </c>
      <c r="I13" s="136"/>
    </row>
    <row r="14" spans="1:9" x14ac:dyDescent="0.2">
      <c r="A14" s="49" t="s">
        <v>282</v>
      </c>
      <c r="B14" s="139" t="s">
        <v>271</v>
      </c>
      <c r="C14" s="15">
        <v>30</v>
      </c>
      <c r="D14" s="50">
        <f t="shared" si="3"/>
        <v>28</v>
      </c>
      <c r="E14" s="51">
        <f>'ARCHIVE_Control Tower'!$B$20</f>
        <v>0.15</v>
      </c>
      <c r="F14" s="50">
        <f t="shared" si="0"/>
        <v>4.2</v>
      </c>
      <c r="G14" s="50">
        <f t="shared" si="1"/>
        <v>6.2</v>
      </c>
      <c r="H14" s="50">
        <f t="shared" si="2"/>
        <v>30.000000000000004</v>
      </c>
      <c r="I14" s="135"/>
    </row>
    <row r="15" spans="1:9" x14ac:dyDescent="0.2">
      <c r="A15" s="46" t="s">
        <v>283</v>
      </c>
      <c r="B15" s="138" t="s">
        <v>271</v>
      </c>
      <c r="C15" s="12">
        <v>31</v>
      </c>
      <c r="D15" s="48">
        <f t="shared" si="3"/>
        <v>30.000000000000004</v>
      </c>
      <c r="E15" s="47">
        <f>'ARCHIVE_Control Tower'!$B$20</f>
        <v>0.15</v>
      </c>
      <c r="F15" s="48">
        <f t="shared" si="0"/>
        <v>4.5</v>
      </c>
      <c r="G15" s="48">
        <f t="shared" si="1"/>
        <v>5.4999999999999964</v>
      </c>
      <c r="H15" s="48">
        <f t="shared" si="2"/>
        <v>31</v>
      </c>
      <c r="I15" s="136"/>
    </row>
    <row r="16" spans="1:9" x14ac:dyDescent="0.2">
      <c r="A16" s="49" t="s">
        <v>284</v>
      </c>
      <c r="B16" s="139" t="s">
        <v>271</v>
      </c>
      <c r="C16" s="15">
        <v>33</v>
      </c>
      <c r="D16" s="50">
        <f t="shared" si="3"/>
        <v>31</v>
      </c>
      <c r="E16" s="51">
        <f>'ARCHIVE_Control Tower'!$B$20</f>
        <v>0.15</v>
      </c>
      <c r="F16" s="50">
        <f t="shared" si="0"/>
        <v>4.6499999999999995</v>
      </c>
      <c r="G16" s="50">
        <f t="shared" si="1"/>
        <v>6.6499999999999995</v>
      </c>
      <c r="H16" s="50">
        <f t="shared" si="2"/>
        <v>33</v>
      </c>
      <c r="I16" s="137" t="s">
        <v>285</v>
      </c>
    </row>
    <row r="17" spans="1:9" x14ac:dyDescent="0.2">
      <c r="A17" s="46" t="s">
        <v>286</v>
      </c>
      <c r="B17" s="138" t="s">
        <v>287</v>
      </c>
      <c r="C17" s="12">
        <v>34</v>
      </c>
      <c r="D17" s="48">
        <f t="shared" si="3"/>
        <v>33</v>
      </c>
      <c r="E17" s="47">
        <f>'ARCHIVE_Control Tower'!$B$20</f>
        <v>0.15</v>
      </c>
      <c r="F17" s="48">
        <f t="shared" si="0"/>
        <v>4.95</v>
      </c>
      <c r="G17" s="48">
        <f t="shared" si="1"/>
        <v>5.95</v>
      </c>
      <c r="H17" s="48">
        <f t="shared" si="2"/>
        <v>34</v>
      </c>
      <c r="I17" s="136"/>
    </row>
    <row r="18" spans="1:9" x14ac:dyDescent="0.2">
      <c r="A18" s="49" t="s">
        <v>288</v>
      </c>
      <c r="B18" s="139" t="s">
        <v>287</v>
      </c>
      <c r="C18" s="15">
        <v>36</v>
      </c>
      <c r="D18" s="50">
        <f t="shared" si="3"/>
        <v>34</v>
      </c>
      <c r="E18" s="51">
        <f>'ARCHIVE_Control Tower'!$B$20</f>
        <v>0.15</v>
      </c>
      <c r="F18" s="50">
        <f t="shared" si="0"/>
        <v>5.0999999999999996</v>
      </c>
      <c r="G18" s="50">
        <f t="shared" si="1"/>
        <v>7.1</v>
      </c>
      <c r="H18" s="50">
        <f t="shared" si="2"/>
        <v>36</v>
      </c>
      <c r="I18" s="135"/>
    </row>
    <row r="19" spans="1:9" x14ac:dyDescent="0.2">
      <c r="A19" s="46" t="s">
        <v>289</v>
      </c>
      <c r="B19" s="138" t="s">
        <v>287</v>
      </c>
      <c r="C19" s="12">
        <v>37</v>
      </c>
      <c r="D19" s="48">
        <f t="shared" si="3"/>
        <v>36</v>
      </c>
      <c r="E19" s="47">
        <f>'ARCHIVE_Control Tower'!$B$20</f>
        <v>0.15</v>
      </c>
      <c r="F19" s="48">
        <f t="shared" si="0"/>
        <v>5.3999999999999995</v>
      </c>
      <c r="G19" s="48">
        <f t="shared" si="1"/>
        <v>6.3999999999999995</v>
      </c>
      <c r="H19" s="48">
        <f t="shared" si="2"/>
        <v>37</v>
      </c>
      <c r="I19" s="136"/>
    </row>
    <row r="20" spans="1:9" x14ac:dyDescent="0.2">
      <c r="A20" s="49" t="s">
        <v>290</v>
      </c>
      <c r="B20" s="139" t="s">
        <v>287</v>
      </c>
      <c r="C20" s="15">
        <v>39</v>
      </c>
      <c r="D20" s="50">
        <f t="shared" si="3"/>
        <v>37</v>
      </c>
      <c r="E20" s="51">
        <f>'ARCHIVE_Control Tower'!$B$20</f>
        <v>0.15</v>
      </c>
      <c r="F20" s="50">
        <f t="shared" si="0"/>
        <v>5.55</v>
      </c>
      <c r="G20" s="50">
        <f t="shared" si="1"/>
        <v>7.55</v>
      </c>
      <c r="H20" s="50">
        <f t="shared" si="2"/>
        <v>39</v>
      </c>
      <c r="I20" s="135"/>
    </row>
    <row r="21" spans="1:9" x14ac:dyDescent="0.2">
      <c r="A21" s="46" t="s">
        <v>291</v>
      </c>
      <c r="B21" s="138" t="s">
        <v>287</v>
      </c>
      <c r="C21" s="12">
        <v>40</v>
      </c>
      <c r="D21" s="48">
        <f t="shared" si="3"/>
        <v>39</v>
      </c>
      <c r="E21" s="47">
        <f>'ARCHIVE_Control Tower'!$B$20</f>
        <v>0.15</v>
      </c>
      <c r="F21" s="48">
        <f t="shared" si="0"/>
        <v>5.85</v>
      </c>
      <c r="G21" s="48">
        <f t="shared" si="1"/>
        <v>6.85</v>
      </c>
      <c r="H21" s="48">
        <f t="shared" si="2"/>
        <v>40</v>
      </c>
      <c r="I21" s="136"/>
    </row>
    <row r="22" spans="1:9" x14ac:dyDescent="0.2">
      <c r="A22" s="49" t="s">
        <v>292</v>
      </c>
      <c r="B22" s="139" t="s">
        <v>287</v>
      </c>
      <c r="C22" s="15">
        <v>42</v>
      </c>
      <c r="D22" s="50">
        <f t="shared" si="3"/>
        <v>40</v>
      </c>
      <c r="E22" s="51">
        <f>'ARCHIVE_Control Tower'!$B$20</f>
        <v>0.15</v>
      </c>
      <c r="F22" s="50">
        <f t="shared" si="0"/>
        <v>6</v>
      </c>
      <c r="G22" s="50">
        <f t="shared" si="1"/>
        <v>8</v>
      </c>
      <c r="H22" s="50">
        <f t="shared" si="2"/>
        <v>42</v>
      </c>
      <c r="I22" s="135"/>
    </row>
    <row r="23" spans="1:9" x14ac:dyDescent="0.2">
      <c r="A23" s="46" t="s">
        <v>293</v>
      </c>
      <c r="B23" s="138" t="s">
        <v>287</v>
      </c>
      <c r="C23" s="12">
        <v>43</v>
      </c>
      <c r="D23" s="48">
        <f t="shared" si="3"/>
        <v>42</v>
      </c>
      <c r="E23" s="47">
        <f>'ARCHIVE_Control Tower'!$B$20</f>
        <v>0.15</v>
      </c>
      <c r="F23" s="48">
        <f t="shared" si="0"/>
        <v>6.3</v>
      </c>
      <c r="G23" s="48">
        <f t="shared" si="1"/>
        <v>7.3</v>
      </c>
      <c r="H23" s="48">
        <f t="shared" si="2"/>
        <v>43</v>
      </c>
      <c r="I23" s="136"/>
    </row>
    <row r="24" spans="1:9" x14ac:dyDescent="0.2">
      <c r="A24" s="49" t="s">
        <v>294</v>
      </c>
      <c r="B24" s="139" t="s">
        <v>287</v>
      </c>
      <c r="C24" s="15">
        <v>44</v>
      </c>
      <c r="D24" s="50">
        <f t="shared" si="3"/>
        <v>43</v>
      </c>
      <c r="E24" s="51">
        <f>'ARCHIVE_Control Tower'!$B$20</f>
        <v>0.15</v>
      </c>
      <c r="F24" s="50">
        <f t="shared" si="0"/>
        <v>6.45</v>
      </c>
      <c r="G24" s="50">
        <f t="shared" si="1"/>
        <v>7.45</v>
      </c>
      <c r="H24" s="50">
        <f t="shared" si="2"/>
        <v>44</v>
      </c>
      <c r="I24" s="135"/>
    </row>
    <row r="25" spans="1:9" x14ac:dyDescent="0.2">
      <c r="A25" s="46" t="s">
        <v>295</v>
      </c>
      <c r="B25" s="138" t="s">
        <v>287</v>
      </c>
      <c r="C25" s="12">
        <v>46</v>
      </c>
      <c r="D25" s="48">
        <f t="shared" si="3"/>
        <v>44</v>
      </c>
      <c r="E25" s="47">
        <f>'ARCHIVE_Control Tower'!$B$20</f>
        <v>0.15</v>
      </c>
      <c r="F25" s="48">
        <f t="shared" si="0"/>
        <v>6.6</v>
      </c>
      <c r="G25" s="48">
        <f t="shared" si="1"/>
        <v>8.6</v>
      </c>
      <c r="H25" s="48">
        <f t="shared" si="2"/>
        <v>46</v>
      </c>
      <c r="I25" s="136"/>
    </row>
    <row r="26" spans="1:9" x14ac:dyDescent="0.2">
      <c r="A26" s="49" t="s">
        <v>296</v>
      </c>
      <c r="B26" s="139" t="s">
        <v>287</v>
      </c>
      <c r="C26" s="15">
        <v>47</v>
      </c>
      <c r="D26" s="50">
        <f t="shared" si="3"/>
        <v>46</v>
      </c>
      <c r="E26" s="51">
        <f>'ARCHIVE_Control Tower'!$B$20</f>
        <v>0.15</v>
      </c>
      <c r="F26" s="50">
        <f t="shared" si="0"/>
        <v>6.8999999999999995</v>
      </c>
      <c r="G26" s="50">
        <f t="shared" si="1"/>
        <v>7.8999999999999995</v>
      </c>
      <c r="H26" s="50">
        <f t="shared" si="2"/>
        <v>47</v>
      </c>
      <c r="I26" s="135"/>
    </row>
    <row r="27" spans="1:9" x14ac:dyDescent="0.2">
      <c r="A27" s="46" t="s">
        <v>297</v>
      </c>
      <c r="B27" s="138" t="s">
        <v>287</v>
      </c>
      <c r="C27" s="12">
        <v>49</v>
      </c>
      <c r="D27" s="48">
        <f t="shared" si="3"/>
        <v>47</v>
      </c>
      <c r="E27" s="47">
        <f>'ARCHIVE_Control Tower'!$B$20</f>
        <v>0.15</v>
      </c>
      <c r="F27" s="48">
        <f t="shared" si="0"/>
        <v>7.05</v>
      </c>
      <c r="G27" s="48">
        <f t="shared" si="1"/>
        <v>9.0500000000000007</v>
      </c>
      <c r="H27" s="48">
        <f t="shared" si="2"/>
        <v>49</v>
      </c>
      <c r="I27" s="136"/>
    </row>
    <row r="28" spans="1:9" x14ac:dyDescent="0.2">
      <c r="A28" s="49" t="s">
        <v>298</v>
      </c>
      <c r="B28" s="139" t="s">
        <v>287</v>
      </c>
      <c r="C28" s="15">
        <v>50</v>
      </c>
      <c r="D28" s="50">
        <f t="shared" si="3"/>
        <v>49</v>
      </c>
      <c r="E28" s="51">
        <f>'ARCHIVE_Control Tower'!$B$20</f>
        <v>0.15</v>
      </c>
      <c r="F28" s="50">
        <f t="shared" si="0"/>
        <v>7.35</v>
      </c>
      <c r="G28" s="50">
        <f t="shared" si="1"/>
        <v>8.35</v>
      </c>
      <c r="H28" s="50">
        <f t="shared" si="2"/>
        <v>50</v>
      </c>
      <c r="I28" s="137" t="s">
        <v>299</v>
      </c>
    </row>
    <row r="29" spans="1:9" x14ac:dyDescent="0.2">
      <c r="A29" s="46" t="s">
        <v>300</v>
      </c>
      <c r="B29" s="138" t="s">
        <v>301</v>
      </c>
      <c r="C29" s="12">
        <v>51</v>
      </c>
      <c r="D29" s="48">
        <f t="shared" si="3"/>
        <v>50</v>
      </c>
      <c r="E29" s="47">
        <f>'ARCHIVE_Control Tower'!$B$20</f>
        <v>0.15</v>
      </c>
      <c r="F29" s="48">
        <f t="shared" si="0"/>
        <v>7.5</v>
      </c>
      <c r="G29" s="48">
        <f t="shared" si="1"/>
        <v>8.5</v>
      </c>
      <c r="H29" s="48">
        <f t="shared" si="2"/>
        <v>51</v>
      </c>
      <c r="I29" s="136"/>
    </row>
    <row r="30" spans="1:9" x14ac:dyDescent="0.2">
      <c r="A30" s="49" t="s">
        <v>302</v>
      </c>
      <c r="B30" s="139" t="s">
        <v>301</v>
      </c>
      <c r="C30" s="15">
        <v>52</v>
      </c>
      <c r="D30" s="50">
        <f t="shared" si="3"/>
        <v>51</v>
      </c>
      <c r="E30" s="51">
        <f>'ARCHIVE_Control Tower'!$B$20</f>
        <v>0.15</v>
      </c>
      <c r="F30" s="50">
        <f t="shared" si="0"/>
        <v>7.6499999999999995</v>
      </c>
      <c r="G30" s="50">
        <f t="shared" si="1"/>
        <v>8.6499999999999986</v>
      </c>
      <c r="H30" s="50">
        <f t="shared" si="2"/>
        <v>52</v>
      </c>
      <c r="I30" s="135"/>
    </row>
    <row r="31" spans="1:9" x14ac:dyDescent="0.2">
      <c r="A31" s="46" t="s">
        <v>303</v>
      </c>
      <c r="B31" s="138" t="s">
        <v>301</v>
      </c>
      <c r="C31" s="12">
        <v>52</v>
      </c>
      <c r="D31" s="48">
        <f t="shared" si="3"/>
        <v>52</v>
      </c>
      <c r="E31" s="47">
        <f>'ARCHIVE_Control Tower'!$B$20</f>
        <v>0.15</v>
      </c>
      <c r="F31" s="48">
        <f t="shared" si="0"/>
        <v>7.8</v>
      </c>
      <c r="G31" s="48">
        <f t="shared" si="1"/>
        <v>7.8</v>
      </c>
      <c r="H31" s="48">
        <f t="shared" si="2"/>
        <v>52</v>
      </c>
      <c r="I31" s="136"/>
    </row>
    <row r="32" spans="1:9" x14ac:dyDescent="0.2">
      <c r="A32" s="49" t="s">
        <v>304</v>
      </c>
      <c r="B32" s="139" t="s">
        <v>301</v>
      </c>
      <c r="C32" s="15">
        <v>53</v>
      </c>
      <c r="D32" s="50">
        <f t="shared" si="3"/>
        <v>52</v>
      </c>
      <c r="E32" s="51">
        <f>'ARCHIVE_Control Tower'!$B$20</f>
        <v>0.15</v>
      </c>
      <c r="F32" s="50">
        <f t="shared" si="0"/>
        <v>7.8</v>
      </c>
      <c r="G32" s="50">
        <f t="shared" si="1"/>
        <v>8.8000000000000007</v>
      </c>
      <c r="H32" s="50">
        <f t="shared" si="2"/>
        <v>53</v>
      </c>
      <c r="I32" s="135"/>
    </row>
    <row r="33" spans="1:9" x14ac:dyDescent="0.2">
      <c r="A33" s="46" t="s">
        <v>305</v>
      </c>
      <c r="B33" s="138" t="s">
        <v>301</v>
      </c>
      <c r="C33" s="12">
        <v>54</v>
      </c>
      <c r="D33" s="48">
        <f t="shared" si="3"/>
        <v>53</v>
      </c>
      <c r="E33" s="47">
        <f>'ARCHIVE_Control Tower'!$B$20</f>
        <v>0.15</v>
      </c>
      <c r="F33" s="48">
        <f t="shared" si="0"/>
        <v>7.9499999999999993</v>
      </c>
      <c r="G33" s="48">
        <f t="shared" si="1"/>
        <v>8.9499999999999993</v>
      </c>
      <c r="H33" s="48">
        <f t="shared" si="2"/>
        <v>54</v>
      </c>
      <c r="I33" s="136"/>
    </row>
    <row r="34" spans="1:9" x14ac:dyDescent="0.2">
      <c r="A34" s="49" t="s">
        <v>306</v>
      </c>
      <c r="B34" s="139" t="s">
        <v>301</v>
      </c>
      <c r="C34" s="15">
        <v>55</v>
      </c>
      <c r="D34" s="50">
        <f t="shared" si="3"/>
        <v>54</v>
      </c>
      <c r="E34" s="51">
        <f>'ARCHIVE_Control Tower'!$B$20</f>
        <v>0.15</v>
      </c>
      <c r="F34" s="50">
        <f t="shared" si="0"/>
        <v>8.1</v>
      </c>
      <c r="G34" s="50">
        <f t="shared" si="1"/>
        <v>9.1</v>
      </c>
      <c r="H34" s="50">
        <f t="shared" si="2"/>
        <v>55</v>
      </c>
      <c r="I34" s="135"/>
    </row>
    <row r="35" spans="1:9" x14ac:dyDescent="0.2">
      <c r="A35" s="46" t="s">
        <v>307</v>
      </c>
      <c r="B35" s="138" t="s">
        <v>301</v>
      </c>
      <c r="C35" s="12">
        <v>56</v>
      </c>
      <c r="D35" s="48">
        <f t="shared" si="3"/>
        <v>55</v>
      </c>
      <c r="E35" s="47">
        <f>'ARCHIVE_Control Tower'!$B$20</f>
        <v>0.15</v>
      </c>
      <c r="F35" s="48">
        <f t="shared" si="0"/>
        <v>8.25</v>
      </c>
      <c r="G35" s="48">
        <f t="shared" si="1"/>
        <v>9.25</v>
      </c>
      <c r="H35" s="48">
        <f t="shared" si="2"/>
        <v>56</v>
      </c>
      <c r="I35" s="136"/>
    </row>
    <row r="36" spans="1:9" x14ac:dyDescent="0.2">
      <c r="A36" s="49" t="s">
        <v>308</v>
      </c>
      <c r="B36" s="139" t="s">
        <v>301</v>
      </c>
      <c r="C36" s="15">
        <v>57</v>
      </c>
      <c r="D36" s="50">
        <f t="shared" si="3"/>
        <v>56</v>
      </c>
      <c r="E36" s="51">
        <f>'ARCHIVE_Control Tower'!$B$20</f>
        <v>0.15</v>
      </c>
      <c r="F36" s="50">
        <f t="shared" si="0"/>
        <v>8.4</v>
      </c>
      <c r="G36" s="50">
        <f t="shared" si="1"/>
        <v>9.4</v>
      </c>
      <c r="H36" s="50">
        <f t="shared" si="2"/>
        <v>57.000000000000007</v>
      </c>
      <c r="I36" s="135"/>
    </row>
    <row r="37" spans="1:9" x14ac:dyDescent="0.2">
      <c r="A37" s="46" t="s">
        <v>309</v>
      </c>
      <c r="B37" s="138" t="s">
        <v>301</v>
      </c>
      <c r="C37" s="12">
        <v>58</v>
      </c>
      <c r="D37" s="48">
        <f t="shared" si="3"/>
        <v>57.000000000000007</v>
      </c>
      <c r="E37" s="47">
        <f>'ARCHIVE_Control Tower'!$B$20</f>
        <v>0.15</v>
      </c>
      <c r="F37" s="48">
        <f t="shared" si="0"/>
        <v>8.5500000000000007</v>
      </c>
      <c r="G37" s="48">
        <f t="shared" si="1"/>
        <v>9.5499999999999936</v>
      </c>
      <c r="H37" s="48">
        <f t="shared" si="2"/>
        <v>58</v>
      </c>
      <c r="I37" s="136"/>
    </row>
    <row r="38" spans="1:9" x14ac:dyDescent="0.2">
      <c r="A38" s="49" t="s">
        <v>310</v>
      </c>
      <c r="B38" s="139" t="s">
        <v>301</v>
      </c>
      <c r="C38" s="15">
        <v>58</v>
      </c>
      <c r="D38" s="50">
        <f t="shared" si="3"/>
        <v>58</v>
      </c>
      <c r="E38" s="51">
        <f>'ARCHIVE_Control Tower'!$B$20</f>
        <v>0.15</v>
      </c>
      <c r="F38" s="50">
        <f t="shared" si="0"/>
        <v>8.6999999999999993</v>
      </c>
      <c r="G38" s="50">
        <f t="shared" si="1"/>
        <v>8.6999999999999993</v>
      </c>
      <c r="H38" s="50">
        <f t="shared" si="2"/>
        <v>58</v>
      </c>
      <c r="I38" s="135"/>
    </row>
    <row r="39" spans="1:9" x14ac:dyDescent="0.2">
      <c r="A39" s="46" t="s">
        <v>311</v>
      </c>
      <c r="B39" s="138" t="s">
        <v>301</v>
      </c>
      <c r="C39" s="12">
        <v>59</v>
      </c>
      <c r="D39" s="48">
        <f t="shared" si="3"/>
        <v>58</v>
      </c>
      <c r="E39" s="47">
        <f>'ARCHIVE_Control Tower'!$B$20</f>
        <v>0.15</v>
      </c>
      <c r="F39" s="48">
        <f t="shared" si="0"/>
        <v>8.6999999999999993</v>
      </c>
      <c r="G39" s="48">
        <f t="shared" si="1"/>
        <v>9.6999999999999993</v>
      </c>
      <c r="H39" s="48">
        <f t="shared" si="2"/>
        <v>59</v>
      </c>
      <c r="I39" s="136"/>
    </row>
    <row r="40" spans="1:9" x14ac:dyDescent="0.2">
      <c r="A40" s="49" t="s">
        <v>312</v>
      </c>
      <c r="B40" s="139" t="s">
        <v>301</v>
      </c>
      <c r="C40" s="15">
        <v>60</v>
      </c>
      <c r="D40" s="50">
        <f t="shared" si="3"/>
        <v>59</v>
      </c>
      <c r="E40" s="51">
        <f>'ARCHIVE_Control Tower'!$B$20</f>
        <v>0.15</v>
      </c>
      <c r="F40" s="50">
        <f t="shared" si="0"/>
        <v>8.85</v>
      </c>
      <c r="G40" s="50">
        <f t="shared" si="1"/>
        <v>9.85</v>
      </c>
      <c r="H40" s="50">
        <f t="shared" si="2"/>
        <v>59.999999999999993</v>
      </c>
      <c r="I40" s="137" t="s">
        <v>313</v>
      </c>
    </row>
    <row r="41" spans="1:9" x14ac:dyDescent="0.2">
      <c r="A41" s="2"/>
      <c r="B41" s="2"/>
      <c r="C41" s="2"/>
      <c r="D41" s="2"/>
      <c r="E41" s="2"/>
      <c r="F41" s="2"/>
      <c r="G41" s="2"/>
      <c r="H41" s="2"/>
      <c r="I41" s="2"/>
    </row>
    <row r="42" spans="1:9" x14ac:dyDescent="0.2">
      <c r="A42" s="52" t="s">
        <v>314</v>
      </c>
      <c r="B42" s="52"/>
      <c r="C42" s="52"/>
      <c r="D42" s="52"/>
      <c r="E42" s="52"/>
      <c r="F42" s="52"/>
      <c r="G42" s="52"/>
      <c r="H42" s="52"/>
      <c r="I42" s="52"/>
    </row>
    <row r="43" spans="1:9" x14ac:dyDescent="0.2">
      <c r="A43" s="53" t="s">
        <v>271</v>
      </c>
      <c r="B43" s="53"/>
      <c r="C43" s="54">
        <f>AVERAGE(C5:C16)</f>
        <v>24</v>
      </c>
      <c r="D43" s="4"/>
      <c r="E43" s="4"/>
      <c r="F43" s="4"/>
      <c r="G43" s="4"/>
      <c r="H43" s="4"/>
      <c r="I43" s="4"/>
    </row>
    <row r="44" spans="1:9" x14ac:dyDescent="0.2">
      <c r="A44" s="55" t="s">
        <v>287</v>
      </c>
      <c r="B44" s="55"/>
      <c r="C44" s="56">
        <f>AVERAGE(C17:C28)</f>
        <v>42.25</v>
      </c>
      <c r="D44" s="7"/>
      <c r="E44" s="7"/>
      <c r="F44" s="7"/>
      <c r="G44" s="7"/>
      <c r="H44" s="7"/>
      <c r="I44" s="7"/>
    </row>
    <row r="45" spans="1:9" x14ac:dyDescent="0.2">
      <c r="A45" s="53" t="s">
        <v>301</v>
      </c>
      <c r="B45" s="53"/>
      <c r="C45" s="54">
        <f>AVERAGE(C29:C40)</f>
        <v>55.416666666666664</v>
      </c>
      <c r="D45" s="4"/>
      <c r="E45" s="4"/>
      <c r="F45" s="4"/>
      <c r="G45" s="4"/>
      <c r="H45" s="4"/>
      <c r="I45" s="4"/>
    </row>
  </sheetData>
  <mergeCells count="6">
    <mergeCell ref="A45:B45"/>
    <mergeCell ref="A1:I1"/>
    <mergeCell ref="A2:I2"/>
    <mergeCell ref="A42:I42"/>
    <mergeCell ref="A43:B43"/>
    <mergeCell ref="A44:B4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42"/>
  <sheetViews>
    <sheetView showGridLines="0" zoomScaleNormal="100" workbookViewId="0">
      <pane xSplit="2" ySplit="17" topLeftCell="C18" activePane="bottomRight" state="frozen"/>
      <selection pane="topRight" activeCell="C1" sqref="C1"/>
      <selection pane="bottomLeft" activeCell="A18" sqref="A18"/>
      <selection pane="bottomRight" sqref="A1:AO1"/>
    </sheetView>
  </sheetViews>
  <sheetFormatPr baseColWidth="10" defaultColWidth="8.6640625" defaultRowHeight="15" x14ac:dyDescent="0.2"/>
  <cols>
    <col min="1" max="1" width="36" customWidth="1"/>
    <col min="2" max="2" width="13" customWidth="1"/>
    <col min="3" max="38" width="10" customWidth="1"/>
    <col min="39" max="41" width="13" customWidth="1"/>
  </cols>
  <sheetData>
    <row r="1" spans="1:41" ht="25.5" customHeight="1" x14ac:dyDescent="0.2">
      <c r="A1" s="34" t="s">
        <v>315</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row>
    <row r="2" spans="1:41" x14ac:dyDescent="0.2">
      <c r="A2" s="134" t="s">
        <v>316</v>
      </c>
      <c r="B2" s="134"/>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row>
    <row r="3" spans="1:41" x14ac:dyDescent="0.2">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row>
    <row r="4" spans="1:41" x14ac:dyDescent="0.2">
      <c r="A4" s="3" t="s">
        <v>317</v>
      </c>
      <c r="B4" s="3"/>
      <c r="C4" s="3"/>
      <c r="D4" s="3"/>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row>
    <row r="5" spans="1:41" x14ac:dyDescent="0.2">
      <c r="A5" s="4" t="s">
        <v>318</v>
      </c>
      <c r="B5" s="57">
        <f>'ARCHIVE_Control Tower'!$B$57</f>
        <v>230.83</v>
      </c>
      <c r="C5" s="140" t="s">
        <v>319</v>
      </c>
      <c r="D5" s="140"/>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row>
    <row r="6" spans="1:41" x14ac:dyDescent="0.2">
      <c r="A6" s="7" t="s">
        <v>320</v>
      </c>
      <c r="B6" s="58">
        <f>'ARCHIVE_Control Tower'!$B$58</f>
        <v>182.36</v>
      </c>
      <c r="C6" s="141" t="s">
        <v>319</v>
      </c>
      <c r="D6" s="141"/>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row>
    <row r="7" spans="1:41" x14ac:dyDescent="0.2">
      <c r="A7" s="4" t="s">
        <v>99</v>
      </c>
      <c r="B7" s="59">
        <f>'ARCHIVE_Control Tower'!$B$59</f>
        <v>0.88</v>
      </c>
      <c r="C7" s="140" t="s">
        <v>321</v>
      </c>
      <c r="D7" s="140"/>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row>
    <row r="8" spans="1:41" x14ac:dyDescent="0.2">
      <c r="A8" s="7" t="s">
        <v>322</v>
      </c>
      <c r="B8" s="60">
        <f>'ARCHIVE_Control Tower'!$B$60*B7+(1-'ARCHIVE_Control Tower'!$B$60)</f>
        <v>0.92079999999999995</v>
      </c>
      <c r="C8" s="141"/>
      <c r="D8" s="141"/>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row>
    <row r="9" spans="1:41" x14ac:dyDescent="0.2">
      <c r="A9" s="4" t="s">
        <v>323</v>
      </c>
      <c r="B9" s="57">
        <f>B5*B8</f>
        <v>212.54826399999999</v>
      </c>
      <c r="C9" s="140" t="s">
        <v>324</v>
      </c>
      <c r="D9" s="140"/>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row>
    <row r="10" spans="1:41" x14ac:dyDescent="0.2">
      <c r="A10" s="7" t="s">
        <v>325</v>
      </c>
      <c r="B10" s="58">
        <f>B6*B8</f>
        <v>167.91708800000001</v>
      </c>
      <c r="C10" s="141"/>
      <c r="D10" s="141"/>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row>
    <row r="11" spans="1:41" x14ac:dyDescent="0.2">
      <c r="A11" s="4" t="s">
        <v>326</v>
      </c>
      <c r="B11" s="61">
        <f>'ARCHIVE_Control Tower'!$B$61</f>
        <v>0.45</v>
      </c>
      <c r="C11" s="140" t="s">
        <v>327</v>
      </c>
      <c r="D11" s="140"/>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row>
    <row r="12" spans="1:41" x14ac:dyDescent="0.2">
      <c r="A12" s="7" t="s">
        <v>328</v>
      </c>
      <c r="B12" s="58">
        <f>B11*B9+(1-B11)*B10</f>
        <v>188.00111720000001</v>
      </c>
      <c r="C12" s="141" t="s">
        <v>329</v>
      </c>
      <c r="D12" s="141"/>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row>
    <row r="13" spans="1:41" x14ac:dyDescent="0.2">
      <c r="A13" s="4" t="s">
        <v>330</v>
      </c>
      <c r="B13" s="57">
        <f>B12*(1-'ARCHIVE_Control Tower'!$B$62)</f>
        <v>184.24109485600002</v>
      </c>
      <c r="C13" s="140" t="s">
        <v>331</v>
      </c>
      <c r="D13" s="140"/>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row>
    <row r="14" spans="1:41" x14ac:dyDescent="0.2">
      <c r="A14" s="7" t="s">
        <v>332</v>
      </c>
      <c r="B14" s="58">
        <f>B13*(1-'ARCHIVE_Control Tower'!$B$64)</f>
        <v>181.47747843316</v>
      </c>
      <c r="C14" s="141" t="s">
        <v>333</v>
      </c>
      <c r="D14" s="141"/>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row>
    <row r="15" spans="1:41" x14ac:dyDescent="0.2">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row>
    <row r="16" spans="1:41" x14ac:dyDescent="0.2">
      <c r="A16" s="3" t="s">
        <v>334</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row>
    <row r="17" spans="1:41" x14ac:dyDescent="0.2">
      <c r="A17" s="62" t="s">
        <v>335</v>
      </c>
      <c r="B17" s="63"/>
      <c r="C17" s="64" t="s">
        <v>270</v>
      </c>
      <c r="D17" s="64" t="s">
        <v>273</v>
      </c>
      <c r="E17" s="64" t="s">
        <v>275</v>
      </c>
      <c r="F17" s="64" t="s">
        <v>276</v>
      </c>
      <c r="G17" s="64" t="s">
        <v>277</v>
      </c>
      <c r="H17" s="64" t="s">
        <v>278</v>
      </c>
      <c r="I17" s="64" t="s">
        <v>279</v>
      </c>
      <c r="J17" s="64" t="s">
        <v>280</v>
      </c>
      <c r="K17" s="64" t="s">
        <v>281</v>
      </c>
      <c r="L17" s="64" t="s">
        <v>282</v>
      </c>
      <c r="M17" s="64" t="s">
        <v>283</v>
      </c>
      <c r="N17" s="64" t="s">
        <v>284</v>
      </c>
      <c r="O17" s="64" t="s">
        <v>286</v>
      </c>
      <c r="P17" s="64" t="s">
        <v>288</v>
      </c>
      <c r="Q17" s="64" t="s">
        <v>289</v>
      </c>
      <c r="R17" s="64" t="s">
        <v>290</v>
      </c>
      <c r="S17" s="64" t="s">
        <v>291</v>
      </c>
      <c r="T17" s="64" t="s">
        <v>292</v>
      </c>
      <c r="U17" s="64" t="s">
        <v>293</v>
      </c>
      <c r="V17" s="64" t="s">
        <v>294</v>
      </c>
      <c r="W17" s="64" t="s">
        <v>295</v>
      </c>
      <c r="X17" s="64" t="s">
        <v>296</v>
      </c>
      <c r="Y17" s="64" t="s">
        <v>297</v>
      </c>
      <c r="Z17" s="64" t="s">
        <v>298</v>
      </c>
      <c r="AA17" s="64" t="s">
        <v>300</v>
      </c>
      <c r="AB17" s="64" t="s">
        <v>302</v>
      </c>
      <c r="AC17" s="64" t="s">
        <v>303</v>
      </c>
      <c r="AD17" s="64" t="s">
        <v>304</v>
      </c>
      <c r="AE17" s="64" t="s">
        <v>305</v>
      </c>
      <c r="AF17" s="64" t="s">
        <v>306</v>
      </c>
      <c r="AG17" s="64" t="s">
        <v>307</v>
      </c>
      <c r="AH17" s="64" t="s">
        <v>308</v>
      </c>
      <c r="AI17" s="64" t="s">
        <v>309</v>
      </c>
      <c r="AJ17" s="64" t="s">
        <v>310</v>
      </c>
      <c r="AK17" s="64" t="s">
        <v>311</v>
      </c>
      <c r="AL17" s="64" t="s">
        <v>312</v>
      </c>
      <c r="AM17" s="65" t="s">
        <v>336</v>
      </c>
      <c r="AN17" s="65" t="s">
        <v>337</v>
      </c>
      <c r="AO17" s="65" t="s">
        <v>338</v>
      </c>
    </row>
    <row r="18" spans="1:41" x14ac:dyDescent="0.2">
      <c r="A18" s="4" t="s">
        <v>339</v>
      </c>
      <c r="B18" s="66"/>
      <c r="C18" s="67">
        <f>'ARCHIVE_Census Waterfall'!$C$5</f>
        <v>15</v>
      </c>
      <c r="D18" s="67">
        <f>'ARCHIVE_Census Waterfall'!$C$6</f>
        <v>17</v>
      </c>
      <c r="E18" s="67">
        <f>'ARCHIVE_Census Waterfall'!$C$7</f>
        <v>18</v>
      </c>
      <c r="F18" s="67">
        <f>'ARCHIVE_Census Waterfall'!$C$8</f>
        <v>20</v>
      </c>
      <c r="G18" s="67">
        <f>'ARCHIVE_Census Waterfall'!$C$9</f>
        <v>22</v>
      </c>
      <c r="H18" s="67">
        <f>'ARCHIVE_Census Waterfall'!$C$10</f>
        <v>23</v>
      </c>
      <c r="I18" s="67">
        <f>'ARCHIVE_Census Waterfall'!$C$11</f>
        <v>25</v>
      </c>
      <c r="J18" s="67">
        <f>'ARCHIVE_Census Waterfall'!$C$12</f>
        <v>26</v>
      </c>
      <c r="K18" s="67">
        <f>'ARCHIVE_Census Waterfall'!$C$13</f>
        <v>28</v>
      </c>
      <c r="L18" s="67">
        <f>'ARCHIVE_Census Waterfall'!$C$14</f>
        <v>30</v>
      </c>
      <c r="M18" s="67">
        <f>'ARCHIVE_Census Waterfall'!$C$15</f>
        <v>31</v>
      </c>
      <c r="N18" s="67">
        <f>'ARCHIVE_Census Waterfall'!$C$16</f>
        <v>33</v>
      </c>
      <c r="O18" s="67">
        <f>'ARCHIVE_Census Waterfall'!$C$17</f>
        <v>34</v>
      </c>
      <c r="P18" s="67">
        <f>'ARCHIVE_Census Waterfall'!$C$18</f>
        <v>36</v>
      </c>
      <c r="Q18" s="67">
        <f>'ARCHIVE_Census Waterfall'!$C$19</f>
        <v>37</v>
      </c>
      <c r="R18" s="67">
        <f>'ARCHIVE_Census Waterfall'!$C$20</f>
        <v>39</v>
      </c>
      <c r="S18" s="67">
        <f>'ARCHIVE_Census Waterfall'!$C$21</f>
        <v>40</v>
      </c>
      <c r="T18" s="67">
        <f>'ARCHIVE_Census Waterfall'!$C$22</f>
        <v>42</v>
      </c>
      <c r="U18" s="67">
        <f>'ARCHIVE_Census Waterfall'!$C$23</f>
        <v>43</v>
      </c>
      <c r="V18" s="67">
        <f>'ARCHIVE_Census Waterfall'!$C$24</f>
        <v>44</v>
      </c>
      <c r="W18" s="67">
        <f>'ARCHIVE_Census Waterfall'!$C$25</f>
        <v>46</v>
      </c>
      <c r="X18" s="67">
        <f>'ARCHIVE_Census Waterfall'!$C$26</f>
        <v>47</v>
      </c>
      <c r="Y18" s="67">
        <f>'ARCHIVE_Census Waterfall'!$C$27</f>
        <v>49</v>
      </c>
      <c r="Z18" s="67">
        <f>'ARCHIVE_Census Waterfall'!$C$28</f>
        <v>50</v>
      </c>
      <c r="AA18" s="67">
        <f>'ARCHIVE_Census Waterfall'!$C$29</f>
        <v>51</v>
      </c>
      <c r="AB18" s="67">
        <f>'ARCHIVE_Census Waterfall'!$C$30</f>
        <v>52</v>
      </c>
      <c r="AC18" s="67">
        <f>'ARCHIVE_Census Waterfall'!$C$31</f>
        <v>52</v>
      </c>
      <c r="AD18" s="67">
        <f>'ARCHIVE_Census Waterfall'!$C$32</f>
        <v>53</v>
      </c>
      <c r="AE18" s="67">
        <f>'ARCHIVE_Census Waterfall'!$C$33</f>
        <v>54</v>
      </c>
      <c r="AF18" s="67">
        <f>'ARCHIVE_Census Waterfall'!$C$34</f>
        <v>55</v>
      </c>
      <c r="AG18" s="67">
        <f>'ARCHIVE_Census Waterfall'!$C$35</f>
        <v>56</v>
      </c>
      <c r="AH18" s="67">
        <f>'ARCHIVE_Census Waterfall'!$C$36</f>
        <v>57</v>
      </c>
      <c r="AI18" s="67">
        <f>'ARCHIVE_Census Waterfall'!$C$37</f>
        <v>58</v>
      </c>
      <c r="AJ18" s="67">
        <f>'ARCHIVE_Census Waterfall'!$C$38</f>
        <v>58</v>
      </c>
      <c r="AK18" s="67">
        <f>'ARCHIVE_Census Waterfall'!$C$39</f>
        <v>59</v>
      </c>
      <c r="AL18" s="67">
        <f>'ARCHIVE_Census Waterfall'!$C$40</f>
        <v>60</v>
      </c>
      <c r="AM18" s="142"/>
      <c r="AN18" s="142"/>
      <c r="AO18" s="142"/>
    </row>
    <row r="19" spans="1:41" x14ac:dyDescent="0.2">
      <c r="A19" s="4" t="s">
        <v>340</v>
      </c>
      <c r="B19" s="66"/>
      <c r="C19" s="68">
        <f>'ARCHIVE_Control Tower'!$B$21</f>
        <v>30.4</v>
      </c>
      <c r="D19" s="68">
        <f>'ARCHIVE_Control Tower'!$B$21</f>
        <v>30.4</v>
      </c>
      <c r="E19" s="68">
        <f>'ARCHIVE_Control Tower'!$B$21</f>
        <v>30.4</v>
      </c>
      <c r="F19" s="68">
        <f>'ARCHIVE_Control Tower'!$B$21</f>
        <v>30.4</v>
      </c>
      <c r="G19" s="68">
        <f>'ARCHIVE_Control Tower'!$B$21</f>
        <v>30.4</v>
      </c>
      <c r="H19" s="68">
        <f>'ARCHIVE_Control Tower'!$B$21</f>
        <v>30.4</v>
      </c>
      <c r="I19" s="68">
        <f>'ARCHIVE_Control Tower'!$B$21</f>
        <v>30.4</v>
      </c>
      <c r="J19" s="68">
        <f>'ARCHIVE_Control Tower'!$B$21</f>
        <v>30.4</v>
      </c>
      <c r="K19" s="68">
        <f>'ARCHIVE_Control Tower'!$B$21</f>
        <v>30.4</v>
      </c>
      <c r="L19" s="68">
        <f>'ARCHIVE_Control Tower'!$B$21</f>
        <v>30.4</v>
      </c>
      <c r="M19" s="68">
        <f>'ARCHIVE_Control Tower'!$B$21</f>
        <v>30.4</v>
      </c>
      <c r="N19" s="68">
        <f>'ARCHIVE_Control Tower'!$B$21</f>
        <v>30.4</v>
      </c>
      <c r="O19" s="68">
        <f>'ARCHIVE_Control Tower'!$B$21</f>
        <v>30.4</v>
      </c>
      <c r="P19" s="68">
        <f>'ARCHIVE_Control Tower'!$B$21</f>
        <v>30.4</v>
      </c>
      <c r="Q19" s="68">
        <f>'ARCHIVE_Control Tower'!$B$21</f>
        <v>30.4</v>
      </c>
      <c r="R19" s="68">
        <f>'ARCHIVE_Control Tower'!$B$21</f>
        <v>30.4</v>
      </c>
      <c r="S19" s="68">
        <f>'ARCHIVE_Control Tower'!$B$21</f>
        <v>30.4</v>
      </c>
      <c r="T19" s="68">
        <f>'ARCHIVE_Control Tower'!$B$21</f>
        <v>30.4</v>
      </c>
      <c r="U19" s="68">
        <f>'ARCHIVE_Control Tower'!$B$21</f>
        <v>30.4</v>
      </c>
      <c r="V19" s="68">
        <f>'ARCHIVE_Control Tower'!$B$21</f>
        <v>30.4</v>
      </c>
      <c r="W19" s="68">
        <f>'ARCHIVE_Control Tower'!$B$21</f>
        <v>30.4</v>
      </c>
      <c r="X19" s="68">
        <f>'ARCHIVE_Control Tower'!$B$21</f>
        <v>30.4</v>
      </c>
      <c r="Y19" s="68">
        <f>'ARCHIVE_Control Tower'!$B$21</f>
        <v>30.4</v>
      </c>
      <c r="Z19" s="68">
        <f>'ARCHIVE_Control Tower'!$B$21</f>
        <v>30.4</v>
      </c>
      <c r="AA19" s="68">
        <f>'ARCHIVE_Control Tower'!$B$21</f>
        <v>30.4</v>
      </c>
      <c r="AB19" s="68">
        <f>'ARCHIVE_Control Tower'!$B$21</f>
        <v>30.4</v>
      </c>
      <c r="AC19" s="68">
        <f>'ARCHIVE_Control Tower'!$B$21</f>
        <v>30.4</v>
      </c>
      <c r="AD19" s="68">
        <f>'ARCHIVE_Control Tower'!$B$21</f>
        <v>30.4</v>
      </c>
      <c r="AE19" s="68">
        <f>'ARCHIVE_Control Tower'!$B$21</f>
        <v>30.4</v>
      </c>
      <c r="AF19" s="68">
        <f>'ARCHIVE_Control Tower'!$B$21</f>
        <v>30.4</v>
      </c>
      <c r="AG19" s="68">
        <f>'ARCHIVE_Control Tower'!$B$21</f>
        <v>30.4</v>
      </c>
      <c r="AH19" s="68">
        <f>'ARCHIVE_Control Tower'!$B$21</f>
        <v>30.4</v>
      </c>
      <c r="AI19" s="68">
        <f>'ARCHIVE_Control Tower'!$B$21</f>
        <v>30.4</v>
      </c>
      <c r="AJ19" s="68">
        <f>'ARCHIVE_Control Tower'!$B$21</f>
        <v>30.4</v>
      </c>
      <c r="AK19" s="68">
        <f>'ARCHIVE_Control Tower'!$B$21</f>
        <v>30.4</v>
      </c>
      <c r="AL19" s="68">
        <f>'ARCHIVE_Control Tower'!$B$21</f>
        <v>30.4</v>
      </c>
      <c r="AM19" s="142"/>
      <c r="AN19" s="142"/>
      <c r="AO19" s="142"/>
    </row>
    <row r="20" spans="1:41" x14ac:dyDescent="0.2">
      <c r="A20" s="7" t="s">
        <v>341</v>
      </c>
      <c r="B20" s="69"/>
      <c r="C20" s="70">
        <f t="shared" ref="C20:AL20" si="0">C18*C19</f>
        <v>456</v>
      </c>
      <c r="D20" s="70">
        <f t="shared" si="0"/>
        <v>516.79999999999995</v>
      </c>
      <c r="E20" s="70">
        <f t="shared" si="0"/>
        <v>547.19999999999993</v>
      </c>
      <c r="F20" s="70">
        <f t="shared" si="0"/>
        <v>608</v>
      </c>
      <c r="G20" s="70">
        <f t="shared" si="0"/>
        <v>668.8</v>
      </c>
      <c r="H20" s="70">
        <f t="shared" si="0"/>
        <v>699.19999999999993</v>
      </c>
      <c r="I20" s="70">
        <f t="shared" si="0"/>
        <v>760</v>
      </c>
      <c r="J20" s="70">
        <f t="shared" si="0"/>
        <v>790.4</v>
      </c>
      <c r="K20" s="70">
        <f t="shared" si="0"/>
        <v>851.19999999999993</v>
      </c>
      <c r="L20" s="70">
        <f t="shared" si="0"/>
        <v>912</v>
      </c>
      <c r="M20" s="70">
        <f t="shared" si="0"/>
        <v>942.4</v>
      </c>
      <c r="N20" s="70">
        <f t="shared" si="0"/>
        <v>1003.1999999999999</v>
      </c>
      <c r="O20" s="70">
        <f t="shared" si="0"/>
        <v>1033.5999999999999</v>
      </c>
      <c r="P20" s="70">
        <f t="shared" si="0"/>
        <v>1094.3999999999999</v>
      </c>
      <c r="Q20" s="70">
        <f t="shared" si="0"/>
        <v>1124.8</v>
      </c>
      <c r="R20" s="70">
        <f t="shared" si="0"/>
        <v>1185.5999999999999</v>
      </c>
      <c r="S20" s="70">
        <f t="shared" si="0"/>
        <v>1216</v>
      </c>
      <c r="T20" s="70">
        <f t="shared" si="0"/>
        <v>1276.8</v>
      </c>
      <c r="U20" s="70">
        <f t="shared" si="0"/>
        <v>1307.2</v>
      </c>
      <c r="V20" s="70">
        <f t="shared" si="0"/>
        <v>1337.6</v>
      </c>
      <c r="W20" s="70">
        <f t="shared" si="0"/>
        <v>1398.3999999999999</v>
      </c>
      <c r="X20" s="70">
        <f t="shared" si="0"/>
        <v>1428.8</v>
      </c>
      <c r="Y20" s="70">
        <f t="shared" si="0"/>
        <v>1489.6</v>
      </c>
      <c r="Z20" s="70">
        <f t="shared" si="0"/>
        <v>1520</v>
      </c>
      <c r="AA20" s="70">
        <f t="shared" si="0"/>
        <v>1550.3999999999999</v>
      </c>
      <c r="AB20" s="70">
        <f t="shared" si="0"/>
        <v>1580.8</v>
      </c>
      <c r="AC20" s="70">
        <f t="shared" si="0"/>
        <v>1580.8</v>
      </c>
      <c r="AD20" s="70">
        <f t="shared" si="0"/>
        <v>1611.1999999999998</v>
      </c>
      <c r="AE20" s="70">
        <f t="shared" si="0"/>
        <v>1641.6</v>
      </c>
      <c r="AF20" s="70">
        <f t="shared" si="0"/>
        <v>1672</v>
      </c>
      <c r="AG20" s="70">
        <f t="shared" si="0"/>
        <v>1702.3999999999999</v>
      </c>
      <c r="AH20" s="70">
        <f t="shared" si="0"/>
        <v>1732.8</v>
      </c>
      <c r="AI20" s="70">
        <f t="shared" si="0"/>
        <v>1763.1999999999998</v>
      </c>
      <c r="AJ20" s="70">
        <f t="shared" si="0"/>
        <v>1763.1999999999998</v>
      </c>
      <c r="AK20" s="70">
        <f t="shared" si="0"/>
        <v>1793.6</v>
      </c>
      <c r="AL20" s="70">
        <f t="shared" si="0"/>
        <v>1824</v>
      </c>
      <c r="AM20" s="143">
        <f>SUM(C20:N20)</f>
        <v>8755.1999999999989</v>
      </c>
      <c r="AN20" s="143">
        <f>SUM(O20:Z20)</f>
        <v>15412.8</v>
      </c>
      <c r="AO20" s="143">
        <f>SUM(AA20:AL20)</f>
        <v>20215.999999999996</v>
      </c>
    </row>
    <row r="21" spans="1:41" x14ac:dyDescent="0.2">
      <c r="A21" s="7" t="s">
        <v>342</v>
      </c>
      <c r="B21" s="69"/>
      <c r="C21" s="71">
        <f t="shared" ref="C21:AL21" si="1">C20*$B$13</f>
        <v>84013.939254336001</v>
      </c>
      <c r="D21" s="71">
        <f t="shared" si="1"/>
        <v>95215.797821580796</v>
      </c>
      <c r="E21" s="71">
        <f t="shared" si="1"/>
        <v>100816.7271052032</v>
      </c>
      <c r="F21" s="71">
        <f t="shared" si="1"/>
        <v>112018.58567244801</v>
      </c>
      <c r="G21" s="71">
        <f t="shared" si="1"/>
        <v>123220.44423969281</v>
      </c>
      <c r="H21" s="71">
        <f t="shared" si="1"/>
        <v>128821.3735233152</v>
      </c>
      <c r="I21" s="71">
        <f t="shared" si="1"/>
        <v>140023.23209056002</v>
      </c>
      <c r="J21" s="71">
        <f t="shared" si="1"/>
        <v>145624.16137418241</v>
      </c>
      <c r="K21" s="71">
        <f t="shared" si="1"/>
        <v>156826.01994142719</v>
      </c>
      <c r="L21" s="71">
        <f t="shared" si="1"/>
        <v>168027.878508672</v>
      </c>
      <c r="M21" s="71">
        <f t="shared" si="1"/>
        <v>173628.80779229442</v>
      </c>
      <c r="N21" s="71">
        <f t="shared" si="1"/>
        <v>184830.6663595392</v>
      </c>
      <c r="O21" s="71">
        <f t="shared" si="1"/>
        <v>190431.59564316159</v>
      </c>
      <c r="P21" s="71">
        <f t="shared" si="1"/>
        <v>201633.4542104064</v>
      </c>
      <c r="Q21" s="71">
        <f t="shared" si="1"/>
        <v>207234.38349402882</v>
      </c>
      <c r="R21" s="71">
        <f t="shared" si="1"/>
        <v>218436.2420612736</v>
      </c>
      <c r="S21" s="71">
        <f t="shared" si="1"/>
        <v>224037.17134489602</v>
      </c>
      <c r="T21" s="71">
        <f t="shared" si="1"/>
        <v>235239.0299121408</v>
      </c>
      <c r="U21" s="71">
        <f t="shared" si="1"/>
        <v>240839.95919576322</v>
      </c>
      <c r="V21" s="71">
        <f t="shared" si="1"/>
        <v>246440.88847938561</v>
      </c>
      <c r="W21" s="71">
        <f t="shared" si="1"/>
        <v>257642.74704663039</v>
      </c>
      <c r="X21" s="71">
        <f t="shared" si="1"/>
        <v>263243.67633025284</v>
      </c>
      <c r="Y21" s="71">
        <f t="shared" si="1"/>
        <v>274445.53489749762</v>
      </c>
      <c r="Z21" s="71">
        <f t="shared" si="1"/>
        <v>280046.46418112004</v>
      </c>
      <c r="AA21" s="71">
        <f t="shared" si="1"/>
        <v>285647.3934647424</v>
      </c>
      <c r="AB21" s="71">
        <f t="shared" si="1"/>
        <v>291248.32274836482</v>
      </c>
      <c r="AC21" s="71">
        <f t="shared" si="1"/>
        <v>291248.32274836482</v>
      </c>
      <c r="AD21" s="71">
        <f t="shared" si="1"/>
        <v>296849.25203198718</v>
      </c>
      <c r="AE21" s="71">
        <f t="shared" si="1"/>
        <v>302450.1813156096</v>
      </c>
      <c r="AF21" s="71">
        <f t="shared" si="1"/>
        <v>308051.11059923202</v>
      </c>
      <c r="AG21" s="71">
        <f t="shared" si="1"/>
        <v>313652.03988285438</v>
      </c>
      <c r="AH21" s="71">
        <f t="shared" si="1"/>
        <v>319252.9691664768</v>
      </c>
      <c r="AI21" s="71">
        <f t="shared" si="1"/>
        <v>324853.89845009922</v>
      </c>
      <c r="AJ21" s="71">
        <f t="shared" si="1"/>
        <v>324853.89845009922</v>
      </c>
      <c r="AK21" s="71">
        <f t="shared" si="1"/>
        <v>330454.82773372164</v>
      </c>
      <c r="AL21" s="71">
        <f t="shared" si="1"/>
        <v>336055.757017344</v>
      </c>
      <c r="AM21" s="144">
        <f>SUM(C21:N21)</f>
        <v>1613067.6336832512</v>
      </c>
      <c r="AN21" s="144">
        <f>SUM(O21:Z21)</f>
        <v>2839671.1467965576</v>
      </c>
      <c r="AO21" s="144">
        <f>SUM(AA21:AL21)</f>
        <v>3724617.9736088961</v>
      </c>
    </row>
    <row r="22" spans="1:41" x14ac:dyDescent="0.2">
      <c r="A22" s="7" t="s">
        <v>343</v>
      </c>
      <c r="B22" s="69"/>
      <c r="C22" s="71">
        <f>-C21*'ARCHIVE_Control Tower'!$B$64</f>
        <v>-1260.2090888150399</v>
      </c>
      <c r="D22" s="71">
        <f>-D21*'ARCHIVE_Control Tower'!$B$64</f>
        <v>-1428.236967323712</v>
      </c>
      <c r="E22" s="71">
        <f>-E21*'ARCHIVE_Control Tower'!$B$64</f>
        <v>-1512.250906578048</v>
      </c>
      <c r="F22" s="71">
        <f>-F21*'ARCHIVE_Control Tower'!$B$64</f>
        <v>-1680.2787850867201</v>
      </c>
      <c r="G22" s="71">
        <f>-G21*'ARCHIVE_Control Tower'!$B$64</f>
        <v>-1848.3066635953919</v>
      </c>
      <c r="H22" s="71">
        <f>-H21*'ARCHIVE_Control Tower'!$B$64</f>
        <v>-1932.3206028497279</v>
      </c>
      <c r="I22" s="71">
        <f>-I21*'ARCHIVE_Control Tower'!$B$64</f>
        <v>-2100.3484813584</v>
      </c>
      <c r="J22" s="71">
        <f>-J21*'ARCHIVE_Control Tower'!$B$64</f>
        <v>-2184.3624206127361</v>
      </c>
      <c r="K22" s="71">
        <f>-K21*'ARCHIVE_Control Tower'!$B$64</f>
        <v>-2352.3902991214077</v>
      </c>
      <c r="L22" s="71">
        <f>-L21*'ARCHIVE_Control Tower'!$B$64</f>
        <v>-2520.4181776300798</v>
      </c>
      <c r="M22" s="71">
        <f>-M21*'ARCHIVE_Control Tower'!$B$64</f>
        <v>-2604.4321168844162</v>
      </c>
      <c r="N22" s="71">
        <f>-N21*'ARCHIVE_Control Tower'!$B$64</f>
        <v>-2772.4599953930879</v>
      </c>
      <c r="O22" s="71">
        <f>-O21*'ARCHIVE_Control Tower'!$B$64</f>
        <v>-2856.4739346474239</v>
      </c>
      <c r="P22" s="71">
        <f>-P21*'ARCHIVE_Control Tower'!$B$64</f>
        <v>-3024.501813156096</v>
      </c>
      <c r="Q22" s="71">
        <f>-Q21*'ARCHIVE_Control Tower'!$B$64</f>
        <v>-3108.515752410432</v>
      </c>
      <c r="R22" s="71">
        <f>-R21*'ARCHIVE_Control Tower'!$B$64</f>
        <v>-3276.5436309191041</v>
      </c>
      <c r="S22" s="71">
        <f>-S21*'ARCHIVE_Control Tower'!$B$64</f>
        <v>-3360.5575701734401</v>
      </c>
      <c r="T22" s="71">
        <f>-T21*'ARCHIVE_Control Tower'!$B$64</f>
        <v>-3528.5854486821117</v>
      </c>
      <c r="U22" s="71">
        <f>-U21*'ARCHIVE_Control Tower'!$B$64</f>
        <v>-3612.5993879364482</v>
      </c>
      <c r="V22" s="71">
        <f>-V21*'ARCHIVE_Control Tower'!$B$64</f>
        <v>-3696.6133271907838</v>
      </c>
      <c r="W22" s="71">
        <f>-W21*'ARCHIVE_Control Tower'!$B$64</f>
        <v>-3864.6412056994559</v>
      </c>
      <c r="X22" s="71">
        <f>-X21*'ARCHIVE_Control Tower'!$B$64</f>
        <v>-3948.6551449537924</v>
      </c>
      <c r="Y22" s="71">
        <f>-Y21*'ARCHIVE_Control Tower'!$B$64</f>
        <v>-4116.683023462464</v>
      </c>
      <c r="Z22" s="71">
        <f>-Z21*'ARCHIVE_Control Tower'!$B$64</f>
        <v>-4200.6969627168</v>
      </c>
      <c r="AA22" s="71">
        <f>-AA21*'ARCHIVE_Control Tower'!$B$64</f>
        <v>-4284.7109019711361</v>
      </c>
      <c r="AB22" s="71">
        <f>-AB21*'ARCHIVE_Control Tower'!$B$64</f>
        <v>-4368.7248412254721</v>
      </c>
      <c r="AC22" s="71">
        <f>-AC21*'ARCHIVE_Control Tower'!$B$64</f>
        <v>-4368.7248412254721</v>
      </c>
      <c r="AD22" s="71">
        <f>-AD21*'ARCHIVE_Control Tower'!$B$64</f>
        <v>-4452.7387804798072</v>
      </c>
      <c r="AE22" s="71">
        <f>-AE21*'ARCHIVE_Control Tower'!$B$64</f>
        <v>-4536.7527197341442</v>
      </c>
      <c r="AF22" s="71">
        <f>-AF21*'ARCHIVE_Control Tower'!$B$64</f>
        <v>-4620.7666589884802</v>
      </c>
      <c r="AG22" s="71">
        <f>-AG21*'ARCHIVE_Control Tower'!$B$64</f>
        <v>-4704.7805982428154</v>
      </c>
      <c r="AH22" s="71">
        <f>-AH21*'ARCHIVE_Control Tower'!$B$64</f>
        <v>-4788.7945374971523</v>
      </c>
      <c r="AI22" s="71">
        <f>-AI21*'ARCHIVE_Control Tower'!$B$64</f>
        <v>-4872.8084767514883</v>
      </c>
      <c r="AJ22" s="71">
        <f>-AJ21*'ARCHIVE_Control Tower'!$B$64</f>
        <v>-4872.8084767514883</v>
      </c>
      <c r="AK22" s="71">
        <f>-AK21*'ARCHIVE_Control Tower'!$B$64</f>
        <v>-4956.8224160058244</v>
      </c>
      <c r="AL22" s="71">
        <f>-AL21*'ARCHIVE_Control Tower'!$B$64</f>
        <v>-5040.8363552601595</v>
      </c>
      <c r="AM22" s="144">
        <f>SUM(C22:N22)</f>
        <v>-24196.014505248771</v>
      </c>
      <c r="AN22" s="144">
        <f>SUM(O22:Z22)</f>
        <v>-42595.067201948346</v>
      </c>
      <c r="AO22" s="144">
        <f>SUM(AA22:AL22)</f>
        <v>-55869.269604133435</v>
      </c>
    </row>
    <row r="23" spans="1:41" x14ac:dyDescent="0.2">
      <c r="A23" s="145" t="s">
        <v>344</v>
      </c>
      <c r="B23" s="142"/>
      <c r="C23" s="144">
        <f t="shared" ref="C23:AL23" si="2">C21+C22</f>
        <v>82753.730165520959</v>
      </c>
      <c r="D23" s="144">
        <f t="shared" si="2"/>
        <v>93787.560854257084</v>
      </c>
      <c r="E23" s="144">
        <f t="shared" si="2"/>
        <v>99304.476198625154</v>
      </c>
      <c r="F23" s="144">
        <f t="shared" si="2"/>
        <v>110338.30688736129</v>
      </c>
      <c r="G23" s="144">
        <f t="shared" si="2"/>
        <v>121372.13757609742</v>
      </c>
      <c r="H23" s="144">
        <f t="shared" si="2"/>
        <v>126889.05292046547</v>
      </c>
      <c r="I23" s="144">
        <f t="shared" si="2"/>
        <v>137922.88360920161</v>
      </c>
      <c r="J23" s="144">
        <f t="shared" si="2"/>
        <v>143439.79895356967</v>
      </c>
      <c r="K23" s="144">
        <f t="shared" si="2"/>
        <v>154473.62964230578</v>
      </c>
      <c r="L23" s="144">
        <f t="shared" si="2"/>
        <v>165507.46033104192</v>
      </c>
      <c r="M23" s="144">
        <f t="shared" si="2"/>
        <v>171024.37567541</v>
      </c>
      <c r="N23" s="144">
        <f t="shared" si="2"/>
        <v>182058.20636414611</v>
      </c>
      <c r="O23" s="144">
        <f t="shared" si="2"/>
        <v>187575.12170851417</v>
      </c>
      <c r="P23" s="144">
        <f t="shared" si="2"/>
        <v>198608.95239725031</v>
      </c>
      <c r="Q23" s="144">
        <f t="shared" si="2"/>
        <v>204125.86774161839</v>
      </c>
      <c r="R23" s="144">
        <f t="shared" si="2"/>
        <v>215159.6984303545</v>
      </c>
      <c r="S23" s="144">
        <f t="shared" si="2"/>
        <v>220676.61377472259</v>
      </c>
      <c r="T23" s="144">
        <f t="shared" si="2"/>
        <v>231710.4444634587</v>
      </c>
      <c r="U23" s="144">
        <f t="shared" si="2"/>
        <v>237227.35980782678</v>
      </c>
      <c r="V23" s="144">
        <f t="shared" si="2"/>
        <v>242744.27515219484</v>
      </c>
      <c r="W23" s="144">
        <f t="shared" si="2"/>
        <v>253778.10584093095</v>
      </c>
      <c r="X23" s="144">
        <f t="shared" si="2"/>
        <v>259295.02118529906</v>
      </c>
      <c r="Y23" s="144">
        <f t="shared" si="2"/>
        <v>270328.85187403514</v>
      </c>
      <c r="Z23" s="144">
        <f t="shared" si="2"/>
        <v>275845.76721840323</v>
      </c>
      <c r="AA23" s="144">
        <f t="shared" si="2"/>
        <v>281362.68256277125</v>
      </c>
      <c r="AB23" s="144">
        <f t="shared" si="2"/>
        <v>286879.59790713934</v>
      </c>
      <c r="AC23" s="144">
        <f t="shared" si="2"/>
        <v>286879.59790713934</v>
      </c>
      <c r="AD23" s="144">
        <f t="shared" si="2"/>
        <v>292396.51325150736</v>
      </c>
      <c r="AE23" s="144">
        <f t="shared" si="2"/>
        <v>297913.42859587545</v>
      </c>
      <c r="AF23" s="144">
        <f t="shared" si="2"/>
        <v>303430.34394024353</v>
      </c>
      <c r="AG23" s="144">
        <f t="shared" si="2"/>
        <v>308947.25928461156</v>
      </c>
      <c r="AH23" s="144">
        <f t="shared" si="2"/>
        <v>314464.17462897964</v>
      </c>
      <c r="AI23" s="144">
        <f t="shared" si="2"/>
        <v>319981.08997334773</v>
      </c>
      <c r="AJ23" s="144">
        <f t="shared" si="2"/>
        <v>319981.08997334773</v>
      </c>
      <c r="AK23" s="144">
        <f t="shared" si="2"/>
        <v>325498.00531771581</v>
      </c>
      <c r="AL23" s="144">
        <f t="shared" si="2"/>
        <v>331014.92066208384</v>
      </c>
      <c r="AM23" s="144">
        <f>SUM(C23:N23)</f>
        <v>1588871.6191780025</v>
      </c>
      <c r="AN23" s="144">
        <f>SUM(O23:Z23)</f>
        <v>2797076.0795946084</v>
      </c>
      <c r="AO23" s="144">
        <f>SUM(AA23:AL23)</f>
        <v>3668748.7040047627</v>
      </c>
    </row>
    <row r="24" spans="1:41" x14ac:dyDescent="0.2">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row>
    <row r="25" spans="1:41" x14ac:dyDescent="0.2">
      <c r="A25" s="3" t="s">
        <v>345</v>
      </c>
      <c r="B25" s="3"/>
      <c r="C25" s="3"/>
      <c r="D25" s="3"/>
      <c r="E25" s="3"/>
      <c r="F25" s="3"/>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row>
    <row r="26" spans="1:41" x14ac:dyDescent="0.2">
      <c r="A26" s="72" t="s">
        <v>346</v>
      </c>
      <c r="B26" s="63"/>
      <c r="C26" s="72" t="s">
        <v>347</v>
      </c>
      <c r="D26" s="72" t="s">
        <v>348</v>
      </c>
      <c r="E26" s="72" t="s">
        <v>349</v>
      </c>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row>
    <row r="27" spans="1:41" x14ac:dyDescent="0.2">
      <c r="A27" s="73" t="s">
        <v>271</v>
      </c>
      <c r="B27" s="66"/>
      <c r="C27" s="74">
        <f>AM23</f>
        <v>1588871.6191780025</v>
      </c>
      <c r="D27" s="75">
        <v>1605199</v>
      </c>
      <c r="E27" s="76">
        <f>(C27-D27)/D27</f>
        <v>-1.0171561795140373E-2</v>
      </c>
      <c r="F27" s="66"/>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row>
    <row r="28" spans="1:41" x14ac:dyDescent="0.2">
      <c r="A28" s="77" t="s">
        <v>287</v>
      </c>
      <c r="B28" s="69"/>
      <c r="C28" s="78">
        <f>AN23</f>
        <v>2797076.0795946084</v>
      </c>
      <c r="D28" s="79">
        <v>2628166</v>
      </c>
      <c r="E28" s="80">
        <f>(C28-D28)/D28</f>
        <v>6.4269182233773814E-2</v>
      </c>
      <c r="F28" s="69"/>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row>
    <row r="29" spans="1:41" x14ac:dyDescent="0.2">
      <c r="A29" s="73" t="s">
        <v>301</v>
      </c>
      <c r="B29" s="66"/>
      <c r="C29" s="74">
        <f>AO23</f>
        <v>3668748.7040047627</v>
      </c>
      <c r="D29" s="75">
        <v>3580092</v>
      </c>
      <c r="E29" s="76">
        <f>(C29-D29)/D29</f>
        <v>2.4763806071118478E-2</v>
      </c>
      <c r="F29" s="66"/>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row>
    <row r="30" spans="1:41" x14ac:dyDescent="0.2">
      <c r="A30" s="3" t="s">
        <v>350</v>
      </c>
      <c r="B30" s="3"/>
      <c r="C30" s="3"/>
      <c r="D30" s="3"/>
      <c r="E30" s="3"/>
      <c r="F30" s="3"/>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row>
    <row r="31" spans="1:41" x14ac:dyDescent="0.2">
      <c r="A31" s="72"/>
      <c r="B31" s="72" t="s">
        <v>351</v>
      </c>
      <c r="C31" s="72" t="s">
        <v>352</v>
      </c>
      <c r="D31" s="72" t="s">
        <v>353</v>
      </c>
      <c r="E31" s="72" t="s">
        <v>354</v>
      </c>
      <c r="F31" s="72" t="s">
        <v>355</v>
      </c>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row>
    <row r="32" spans="1:41" x14ac:dyDescent="0.2">
      <c r="A32" s="77" t="s">
        <v>271</v>
      </c>
      <c r="B32" s="81">
        <f>'ARCHIVE_Census Waterfall'!D5+SUM('ARCHIVE_Census Waterfall'!G5:G16)</f>
        <v>73.5</v>
      </c>
      <c r="C32" s="71">
        <f>B32*'ARCHIVE_Control Tower'!$B$65</f>
        <v>2599065.8400000003</v>
      </c>
      <c r="D32" s="78">
        <f>AM21</f>
        <v>1613067.6336832512</v>
      </c>
      <c r="E32" s="82">
        <f>C32-D32</f>
        <v>985998.2063167491</v>
      </c>
      <c r="F32" s="71">
        <f>D32/B32</f>
        <v>21946.498417459199</v>
      </c>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row>
    <row r="33" spans="1:41" x14ac:dyDescent="0.2">
      <c r="A33" s="73" t="s">
        <v>287</v>
      </c>
      <c r="B33" s="83">
        <f>'ARCHIVE_Census Waterfall'!D17+SUM('ARCHIVE_Census Waterfall'!G17:G28)</f>
        <v>123.5</v>
      </c>
      <c r="C33" s="84">
        <f>B33*'ARCHIVE_Control Tower'!$B$65</f>
        <v>4367137.84</v>
      </c>
      <c r="D33" s="74">
        <f>AN21</f>
        <v>2839671.1467965576</v>
      </c>
      <c r="E33" s="85">
        <f>C33-D33</f>
        <v>1527466.6932034423</v>
      </c>
      <c r="F33" s="84">
        <f>D33/B33</f>
        <v>22993.288638028807</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row>
    <row r="34" spans="1:41" x14ac:dyDescent="0.2">
      <c r="A34" s="77" t="s">
        <v>301</v>
      </c>
      <c r="B34" s="81">
        <f>'ARCHIVE_Census Waterfall'!D29+SUM('ARCHIVE_Census Waterfall'!G29:G40)</f>
        <v>158.25</v>
      </c>
      <c r="C34" s="71">
        <f>B34*'ARCHIVE_Control Tower'!$B$65</f>
        <v>5595947.8800000008</v>
      </c>
      <c r="D34" s="78">
        <f>AO21</f>
        <v>3724617.9736088961</v>
      </c>
      <c r="E34" s="82">
        <f>C34-D34</f>
        <v>1871329.9063911047</v>
      </c>
      <c r="F34" s="71">
        <f>D34/B34</f>
        <v>23536.290512536467</v>
      </c>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row>
    <row r="35" spans="1:41" x14ac:dyDescent="0.2">
      <c r="A35" s="146" t="s">
        <v>356</v>
      </c>
      <c r="B35" s="146"/>
      <c r="C35" s="146"/>
      <c r="D35" s="146"/>
      <c r="E35" s="146"/>
      <c r="F35" s="146"/>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row>
    <row r="36" spans="1:41" x14ac:dyDescent="0.2">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row>
    <row r="37" spans="1:41" x14ac:dyDescent="0.2">
      <c r="A37" s="3" t="s">
        <v>357</v>
      </c>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row>
    <row r="38" spans="1:41" x14ac:dyDescent="0.2">
      <c r="A38" s="62" t="s">
        <v>335</v>
      </c>
      <c r="B38" s="63"/>
      <c r="C38" s="64" t="s">
        <v>270</v>
      </c>
      <c r="D38" s="64" t="s">
        <v>273</v>
      </c>
      <c r="E38" s="64" t="s">
        <v>275</v>
      </c>
      <c r="F38" s="64" t="s">
        <v>276</v>
      </c>
      <c r="G38" s="64" t="s">
        <v>277</v>
      </c>
      <c r="H38" s="64" t="s">
        <v>278</v>
      </c>
      <c r="I38" s="64" t="s">
        <v>279</v>
      </c>
      <c r="J38" s="64" t="s">
        <v>280</v>
      </c>
      <c r="K38" s="64" t="s">
        <v>281</v>
      </c>
      <c r="L38" s="64" t="s">
        <v>282</v>
      </c>
      <c r="M38" s="64" t="s">
        <v>283</v>
      </c>
      <c r="N38" s="64" t="s">
        <v>284</v>
      </c>
      <c r="O38" s="64" t="s">
        <v>286</v>
      </c>
      <c r="P38" s="64" t="s">
        <v>288</v>
      </c>
      <c r="Q38" s="64" t="s">
        <v>289</v>
      </c>
      <c r="R38" s="64" t="s">
        <v>290</v>
      </c>
      <c r="S38" s="64" t="s">
        <v>291</v>
      </c>
      <c r="T38" s="64" t="s">
        <v>292</v>
      </c>
      <c r="U38" s="64" t="s">
        <v>293</v>
      </c>
      <c r="V38" s="64" t="s">
        <v>294</v>
      </c>
      <c r="W38" s="64" t="s">
        <v>295</v>
      </c>
      <c r="X38" s="64" t="s">
        <v>296</v>
      </c>
      <c r="Y38" s="64" t="s">
        <v>297</v>
      </c>
      <c r="Z38" s="64" t="s">
        <v>298</v>
      </c>
      <c r="AA38" s="64" t="s">
        <v>300</v>
      </c>
      <c r="AB38" s="64" t="s">
        <v>302</v>
      </c>
      <c r="AC38" s="64" t="s">
        <v>303</v>
      </c>
      <c r="AD38" s="64" t="s">
        <v>304</v>
      </c>
      <c r="AE38" s="64" t="s">
        <v>305</v>
      </c>
      <c r="AF38" s="64" t="s">
        <v>306</v>
      </c>
      <c r="AG38" s="64" t="s">
        <v>307</v>
      </c>
      <c r="AH38" s="64" t="s">
        <v>308</v>
      </c>
      <c r="AI38" s="64" t="s">
        <v>309</v>
      </c>
      <c r="AJ38" s="64" t="s">
        <v>310</v>
      </c>
      <c r="AK38" s="64" t="s">
        <v>311</v>
      </c>
      <c r="AL38" s="64" t="s">
        <v>312</v>
      </c>
      <c r="AM38" s="65" t="s">
        <v>336</v>
      </c>
      <c r="AN38" s="65" t="s">
        <v>337</v>
      </c>
      <c r="AO38" s="65" t="s">
        <v>338</v>
      </c>
    </row>
    <row r="39" spans="1:41" x14ac:dyDescent="0.2">
      <c r="A39" s="4" t="s">
        <v>358</v>
      </c>
      <c r="B39" s="66"/>
      <c r="C39" s="84">
        <f t="shared" ref="C39:AL39" si="3">C23</f>
        <v>82753.730165520959</v>
      </c>
      <c r="D39" s="84">
        <f t="shared" si="3"/>
        <v>93787.560854257084</v>
      </c>
      <c r="E39" s="84">
        <f t="shared" si="3"/>
        <v>99304.476198625154</v>
      </c>
      <c r="F39" s="84">
        <f t="shared" si="3"/>
        <v>110338.30688736129</v>
      </c>
      <c r="G39" s="84">
        <f t="shared" si="3"/>
        <v>121372.13757609742</v>
      </c>
      <c r="H39" s="84">
        <f t="shared" si="3"/>
        <v>126889.05292046547</v>
      </c>
      <c r="I39" s="84">
        <f t="shared" si="3"/>
        <v>137922.88360920161</v>
      </c>
      <c r="J39" s="84">
        <f t="shared" si="3"/>
        <v>143439.79895356967</v>
      </c>
      <c r="K39" s="84">
        <f t="shared" si="3"/>
        <v>154473.62964230578</v>
      </c>
      <c r="L39" s="84">
        <f t="shared" si="3"/>
        <v>165507.46033104192</v>
      </c>
      <c r="M39" s="84">
        <f t="shared" si="3"/>
        <v>171024.37567541</v>
      </c>
      <c r="N39" s="84">
        <f t="shared" si="3"/>
        <v>182058.20636414611</v>
      </c>
      <c r="O39" s="84">
        <f t="shared" si="3"/>
        <v>187575.12170851417</v>
      </c>
      <c r="P39" s="84">
        <f t="shared" si="3"/>
        <v>198608.95239725031</v>
      </c>
      <c r="Q39" s="84">
        <f t="shared" si="3"/>
        <v>204125.86774161839</v>
      </c>
      <c r="R39" s="84">
        <f t="shared" si="3"/>
        <v>215159.6984303545</v>
      </c>
      <c r="S39" s="84">
        <f t="shared" si="3"/>
        <v>220676.61377472259</v>
      </c>
      <c r="T39" s="84">
        <f t="shared" si="3"/>
        <v>231710.4444634587</v>
      </c>
      <c r="U39" s="84">
        <f t="shared" si="3"/>
        <v>237227.35980782678</v>
      </c>
      <c r="V39" s="84">
        <f t="shared" si="3"/>
        <v>242744.27515219484</v>
      </c>
      <c r="W39" s="84">
        <f t="shared" si="3"/>
        <v>253778.10584093095</v>
      </c>
      <c r="X39" s="84">
        <f t="shared" si="3"/>
        <v>259295.02118529906</v>
      </c>
      <c r="Y39" s="84">
        <f t="shared" si="3"/>
        <v>270328.85187403514</v>
      </c>
      <c r="Z39" s="84">
        <f t="shared" si="3"/>
        <v>275845.76721840323</v>
      </c>
      <c r="AA39" s="84">
        <f t="shared" si="3"/>
        <v>281362.68256277125</v>
      </c>
      <c r="AB39" s="84">
        <f t="shared" si="3"/>
        <v>286879.59790713934</v>
      </c>
      <c r="AC39" s="84">
        <f t="shared" si="3"/>
        <v>286879.59790713934</v>
      </c>
      <c r="AD39" s="84">
        <f t="shared" si="3"/>
        <v>292396.51325150736</v>
      </c>
      <c r="AE39" s="84">
        <f t="shared" si="3"/>
        <v>297913.42859587545</v>
      </c>
      <c r="AF39" s="84">
        <f t="shared" si="3"/>
        <v>303430.34394024353</v>
      </c>
      <c r="AG39" s="84">
        <f t="shared" si="3"/>
        <v>308947.25928461156</v>
      </c>
      <c r="AH39" s="84">
        <f t="shared" si="3"/>
        <v>314464.17462897964</v>
      </c>
      <c r="AI39" s="84">
        <f t="shared" si="3"/>
        <v>319981.08997334773</v>
      </c>
      <c r="AJ39" s="84">
        <f t="shared" si="3"/>
        <v>319981.08997334773</v>
      </c>
      <c r="AK39" s="84">
        <f t="shared" si="3"/>
        <v>325498.00531771581</v>
      </c>
      <c r="AL39" s="84">
        <f t="shared" si="3"/>
        <v>331014.92066208384</v>
      </c>
      <c r="AM39" s="144">
        <f>SUM(C39:N39)</f>
        <v>1588871.6191780025</v>
      </c>
      <c r="AN39" s="144">
        <f>SUM(O39:Z39)</f>
        <v>2797076.0795946084</v>
      </c>
      <c r="AO39" s="144">
        <f>SUM(AA39:AL39)</f>
        <v>3668748.7040047627</v>
      </c>
    </row>
    <row r="40" spans="1:41" x14ac:dyDescent="0.2">
      <c r="A40" s="7" t="s">
        <v>359</v>
      </c>
      <c r="B40" s="69"/>
      <c r="C40" s="71">
        <f>0</f>
        <v>0</v>
      </c>
      <c r="D40" s="71">
        <f>0</f>
        <v>0</v>
      </c>
      <c r="E40" s="71">
        <f>C39</f>
        <v>82753.730165520959</v>
      </c>
      <c r="F40" s="71">
        <f>D39</f>
        <v>93787.560854257084</v>
      </c>
      <c r="G40" s="71">
        <f>E39</f>
        <v>99304.476198625154</v>
      </c>
      <c r="H40" s="71">
        <f>0</f>
        <v>0</v>
      </c>
      <c r="I40" s="71">
        <f>0</f>
        <v>0</v>
      </c>
      <c r="J40" s="71">
        <f>0</f>
        <v>0</v>
      </c>
      <c r="K40" s="71">
        <f>I39+F39+G39+H39</f>
        <v>496522.38099312584</v>
      </c>
      <c r="L40" s="71">
        <f t="shared" ref="L40:AL40" si="4">J39</f>
        <v>143439.79895356967</v>
      </c>
      <c r="M40" s="71">
        <f t="shared" si="4"/>
        <v>154473.62964230578</v>
      </c>
      <c r="N40" s="71">
        <f t="shared" si="4"/>
        <v>165507.46033104192</v>
      </c>
      <c r="O40" s="71">
        <f t="shared" si="4"/>
        <v>171024.37567541</v>
      </c>
      <c r="P40" s="71">
        <f t="shared" si="4"/>
        <v>182058.20636414611</v>
      </c>
      <c r="Q40" s="71">
        <f t="shared" si="4"/>
        <v>187575.12170851417</v>
      </c>
      <c r="R40" s="71">
        <f t="shared" si="4"/>
        <v>198608.95239725031</v>
      </c>
      <c r="S40" s="71">
        <f t="shared" si="4"/>
        <v>204125.86774161839</v>
      </c>
      <c r="T40" s="71">
        <f t="shared" si="4"/>
        <v>215159.6984303545</v>
      </c>
      <c r="U40" s="71">
        <f t="shared" si="4"/>
        <v>220676.61377472259</v>
      </c>
      <c r="V40" s="71">
        <f t="shared" si="4"/>
        <v>231710.4444634587</v>
      </c>
      <c r="W40" s="71">
        <f t="shared" si="4"/>
        <v>237227.35980782678</v>
      </c>
      <c r="X40" s="71">
        <f t="shared" si="4"/>
        <v>242744.27515219484</v>
      </c>
      <c r="Y40" s="71">
        <f t="shared" si="4"/>
        <v>253778.10584093095</v>
      </c>
      <c r="Z40" s="71">
        <f t="shared" si="4"/>
        <v>259295.02118529906</v>
      </c>
      <c r="AA40" s="71">
        <f t="shared" si="4"/>
        <v>270328.85187403514</v>
      </c>
      <c r="AB40" s="71">
        <f t="shared" si="4"/>
        <v>275845.76721840323</v>
      </c>
      <c r="AC40" s="71">
        <f t="shared" si="4"/>
        <v>281362.68256277125</v>
      </c>
      <c r="AD40" s="71">
        <f t="shared" si="4"/>
        <v>286879.59790713934</v>
      </c>
      <c r="AE40" s="71">
        <f t="shared" si="4"/>
        <v>286879.59790713934</v>
      </c>
      <c r="AF40" s="71">
        <f t="shared" si="4"/>
        <v>292396.51325150736</v>
      </c>
      <c r="AG40" s="71">
        <f t="shared" si="4"/>
        <v>297913.42859587545</v>
      </c>
      <c r="AH40" s="71">
        <f t="shared" si="4"/>
        <v>303430.34394024353</v>
      </c>
      <c r="AI40" s="71">
        <f t="shared" si="4"/>
        <v>308947.25928461156</v>
      </c>
      <c r="AJ40" s="71">
        <f t="shared" si="4"/>
        <v>314464.17462897964</v>
      </c>
      <c r="AK40" s="71">
        <f t="shared" si="4"/>
        <v>319981.08997334773</v>
      </c>
      <c r="AL40" s="71">
        <f t="shared" si="4"/>
        <v>319981.08997334773</v>
      </c>
      <c r="AM40" s="144">
        <f>SUM(C40:N40)</f>
        <v>1235789.0371384462</v>
      </c>
      <c r="AN40" s="144">
        <f>SUM(O40:Z40)</f>
        <v>2603984.042541726</v>
      </c>
      <c r="AO40" s="144">
        <f>SUM(AA40:AL40)</f>
        <v>3558410.3971174015</v>
      </c>
    </row>
    <row r="41" spans="1:41" x14ac:dyDescent="0.2">
      <c r="A41" s="86" t="s">
        <v>360</v>
      </c>
      <c r="B41" s="87"/>
      <c r="C41" s="88">
        <f>C40-C39</f>
        <v>-82753.730165520959</v>
      </c>
      <c r="D41" s="88">
        <f t="shared" ref="D41:AL41" si="5">C41+D40-D39</f>
        <v>-176541.29101977806</v>
      </c>
      <c r="E41" s="88">
        <f t="shared" si="5"/>
        <v>-193092.03705288225</v>
      </c>
      <c r="F41" s="88">
        <f t="shared" si="5"/>
        <v>-209642.78308598645</v>
      </c>
      <c r="G41" s="88">
        <f t="shared" si="5"/>
        <v>-231710.44446345873</v>
      </c>
      <c r="H41" s="88">
        <f t="shared" si="5"/>
        <v>-358599.4973839242</v>
      </c>
      <c r="I41" s="88">
        <f t="shared" si="5"/>
        <v>-496522.38099312584</v>
      </c>
      <c r="J41" s="88">
        <f t="shared" si="5"/>
        <v>-639962.17994669545</v>
      </c>
      <c r="K41" s="88">
        <f t="shared" si="5"/>
        <v>-297913.42859587539</v>
      </c>
      <c r="L41" s="88">
        <f t="shared" si="5"/>
        <v>-319981.08997334761</v>
      </c>
      <c r="M41" s="88">
        <f t="shared" si="5"/>
        <v>-336531.83600645186</v>
      </c>
      <c r="N41" s="88">
        <f t="shared" si="5"/>
        <v>-353082.58203955606</v>
      </c>
      <c r="O41" s="88">
        <f t="shared" si="5"/>
        <v>-369633.32807266025</v>
      </c>
      <c r="P41" s="88">
        <f t="shared" si="5"/>
        <v>-386184.07410576445</v>
      </c>
      <c r="Q41" s="88">
        <f t="shared" si="5"/>
        <v>-402734.82013886864</v>
      </c>
      <c r="R41" s="88">
        <f t="shared" si="5"/>
        <v>-419285.56617197284</v>
      </c>
      <c r="S41" s="88">
        <f t="shared" si="5"/>
        <v>-435836.31220507703</v>
      </c>
      <c r="T41" s="88">
        <f t="shared" si="5"/>
        <v>-452387.05823818123</v>
      </c>
      <c r="U41" s="88">
        <f t="shared" si="5"/>
        <v>-468937.80427128542</v>
      </c>
      <c r="V41" s="88">
        <f t="shared" si="5"/>
        <v>-479971.63496002159</v>
      </c>
      <c r="W41" s="88">
        <f t="shared" si="5"/>
        <v>-496522.38099312573</v>
      </c>
      <c r="X41" s="88">
        <f t="shared" si="5"/>
        <v>-513073.12702622998</v>
      </c>
      <c r="Y41" s="88">
        <f t="shared" si="5"/>
        <v>-529623.87305933423</v>
      </c>
      <c r="Z41" s="88">
        <f t="shared" si="5"/>
        <v>-546174.61909243837</v>
      </c>
      <c r="AA41" s="88">
        <f t="shared" si="5"/>
        <v>-557208.44978117454</v>
      </c>
      <c r="AB41" s="88">
        <f t="shared" si="5"/>
        <v>-568242.28046991071</v>
      </c>
      <c r="AC41" s="88">
        <f t="shared" si="5"/>
        <v>-573759.19581427879</v>
      </c>
      <c r="AD41" s="88">
        <f t="shared" si="5"/>
        <v>-579276.11115864688</v>
      </c>
      <c r="AE41" s="88">
        <f t="shared" si="5"/>
        <v>-590309.94184738304</v>
      </c>
      <c r="AF41" s="88">
        <f t="shared" si="5"/>
        <v>-601343.77253611921</v>
      </c>
      <c r="AG41" s="88">
        <f t="shared" si="5"/>
        <v>-612377.60322485538</v>
      </c>
      <c r="AH41" s="88">
        <f t="shared" si="5"/>
        <v>-623411.43391359155</v>
      </c>
      <c r="AI41" s="88">
        <f t="shared" si="5"/>
        <v>-634445.26460232772</v>
      </c>
      <c r="AJ41" s="88">
        <f t="shared" si="5"/>
        <v>-639962.1799466958</v>
      </c>
      <c r="AK41" s="88">
        <f t="shared" si="5"/>
        <v>-645479.09529106389</v>
      </c>
      <c r="AL41" s="88">
        <f t="shared" si="5"/>
        <v>-656512.92597980006</v>
      </c>
      <c r="AM41" s="142"/>
      <c r="AN41" s="142"/>
      <c r="AO41" s="142"/>
    </row>
    <row r="42" spans="1:41" x14ac:dyDescent="0.2">
      <c r="A42" s="141" t="s">
        <v>361</v>
      </c>
      <c r="B42" s="141"/>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c r="AA42" s="141"/>
      <c r="AB42" s="141"/>
      <c r="AC42" s="141"/>
      <c r="AD42" s="141"/>
      <c r="AE42" s="141"/>
      <c r="AF42" s="141"/>
      <c r="AG42" s="141"/>
      <c r="AH42" s="141"/>
      <c r="AI42" s="141"/>
      <c r="AJ42" s="141"/>
      <c r="AK42" s="141"/>
      <c r="AL42" s="141"/>
      <c r="AM42" s="141"/>
      <c r="AN42" s="141"/>
      <c r="AO42" s="141"/>
    </row>
  </sheetData>
  <mergeCells count="19">
    <mergeCell ref="A30:F30"/>
    <mergeCell ref="A35:F35"/>
    <mergeCell ref="A37:AO37"/>
    <mergeCell ref="A42:AO42"/>
    <mergeCell ref="C12:D12"/>
    <mergeCell ref="C13:D13"/>
    <mergeCell ref="C14:D14"/>
    <mergeCell ref="A16:AO16"/>
    <mergeCell ref="A25:F25"/>
    <mergeCell ref="C7:D7"/>
    <mergeCell ref="C8:D8"/>
    <mergeCell ref="C9:D9"/>
    <mergeCell ref="C10:D10"/>
    <mergeCell ref="C11:D11"/>
    <mergeCell ref="A1:AO1"/>
    <mergeCell ref="A2:AO2"/>
    <mergeCell ref="A4:D4"/>
    <mergeCell ref="C5:D5"/>
    <mergeCell ref="C6:D6"/>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P48"/>
  <sheetViews>
    <sheetView showGridLines="0" zoomScaleNormal="100" workbookViewId="0">
      <pane xSplit="3" ySplit="4" topLeftCell="D9" activePane="bottomRight" state="frozen"/>
      <selection pane="topRight" activeCell="D1" sqref="D1"/>
      <selection pane="bottomLeft" activeCell="A5" sqref="A5"/>
      <selection pane="bottomRight" sqref="A1:AP1"/>
    </sheetView>
  </sheetViews>
  <sheetFormatPr baseColWidth="10" defaultColWidth="8.6640625" defaultRowHeight="15" x14ac:dyDescent="0.2"/>
  <cols>
    <col min="1" max="1" width="34" customWidth="1"/>
    <col min="2" max="2" width="14" customWidth="1"/>
    <col min="3" max="3" width="7" customWidth="1"/>
    <col min="4" max="39" width="10" customWidth="1"/>
    <col min="40" max="42" width="13" customWidth="1"/>
  </cols>
  <sheetData>
    <row r="1" spans="1:42" ht="25.5" customHeight="1" x14ac:dyDescent="0.2">
      <c r="A1" s="34" t="s">
        <v>362</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row>
    <row r="2" spans="1:42" x14ac:dyDescent="0.2">
      <c r="A2" s="134" t="s">
        <v>363</v>
      </c>
      <c r="B2" s="134"/>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row>
    <row r="3" spans="1:42" x14ac:dyDescent="0.2">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row>
    <row r="4" spans="1:42" x14ac:dyDescent="0.2">
      <c r="A4" s="62" t="s">
        <v>364</v>
      </c>
      <c r="B4" s="72" t="s">
        <v>180</v>
      </c>
      <c r="C4" s="72" t="s">
        <v>365</v>
      </c>
      <c r="D4" s="64" t="s">
        <v>270</v>
      </c>
      <c r="E4" s="64" t="s">
        <v>273</v>
      </c>
      <c r="F4" s="64" t="s">
        <v>275</v>
      </c>
      <c r="G4" s="64" t="s">
        <v>276</v>
      </c>
      <c r="H4" s="64" t="s">
        <v>277</v>
      </c>
      <c r="I4" s="64" t="s">
        <v>278</v>
      </c>
      <c r="J4" s="64" t="s">
        <v>279</v>
      </c>
      <c r="K4" s="64" t="s">
        <v>280</v>
      </c>
      <c r="L4" s="64" t="s">
        <v>281</v>
      </c>
      <c r="M4" s="64" t="s">
        <v>282</v>
      </c>
      <c r="N4" s="64" t="s">
        <v>283</v>
      </c>
      <c r="O4" s="64" t="s">
        <v>284</v>
      </c>
      <c r="P4" s="64" t="s">
        <v>286</v>
      </c>
      <c r="Q4" s="64" t="s">
        <v>288</v>
      </c>
      <c r="R4" s="64" t="s">
        <v>289</v>
      </c>
      <c r="S4" s="64" t="s">
        <v>290</v>
      </c>
      <c r="T4" s="64" t="s">
        <v>291</v>
      </c>
      <c r="U4" s="64" t="s">
        <v>292</v>
      </c>
      <c r="V4" s="64" t="s">
        <v>293</v>
      </c>
      <c r="W4" s="64" t="s">
        <v>294</v>
      </c>
      <c r="X4" s="64" t="s">
        <v>295</v>
      </c>
      <c r="Y4" s="64" t="s">
        <v>296</v>
      </c>
      <c r="Z4" s="64" t="s">
        <v>297</v>
      </c>
      <c r="AA4" s="64" t="s">
        <v>298</v>
      </c>
      <c r="AB4" s="64" t="s">
        <v>300</v>
      </c>
      <c r="AC4" s="64" t="s">
        <v>302</v>
      </c>
      <c r="AD4" s="64" t="s">
        <v>303</v>
      </c>
      <c r="AE4" s="64" t="s">
        <v>304</v>
      </c>
      <c r="AF4" s="64" t="s">
        <v>305</v>
      </c>
      <c r="AG4" s="64" t="s">
        <v>306</v>
      </c>
      <c r="AH4" s="64" t="s">
        <v>307</v>
      </c>
      <c r="AI4" s="64" t="s">
        <v>308</v>
      </c>
      <c r="AJ4" s="64" t="s">
        <v>309</v>
      </c>
      <c r="AK4" s="64" t="s">
        <v>310</v>
      </c>
      <c r="AL4" s="64" t="s">
        <v>311</v>
      </c>
      <c r="AM4" s="64" t="s">
        <v>312</v>
      </c>
      <c r="AN4" s="65" t="s">
        <v>366</v>
      </c>
      <c r="AO4" s="65" t="s">
        <v>367</v>
      </c>
      <c r="AP4" s="65" t="s">
        <v>368</v>
      </c>
    </row>
    <row r="5" spans="1:42" x14ac:dyDescent="0.2">
      <c r="A5" s="17" t="s">
        <v>369</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row>
    <row r="6" spans="1:42" x14ac:dyDescent="0.2">
      <c r="A6" s="147" t="s">
        <v>370</v>
      </c>
      <c r="B6" s="66"/>
      <c r="C6" s="66"/>
      <c r="D6" s="92">
        <v>1</v>
      </c>
      <c r="E6" s="92">
        <v>2</v>
      </c>
      <c r="F6" s="92">
        <v>3</v>
      </c>
      <c r="G6" s="92">
        <v>4</v>
      </c>
      <c r="H6" s="92">
        <v>5</v>
      </c>
      <c r="I6" s="92">
        <v>6</v>
      </c>
      <c r="J6" s="92">
        <v>7</v>
      </c>
      <c r="K6" s="92">
        <v>8</v>
      </c>
      <c r="L6" s="92">
        <v>9</v>
      </c>
      <c r="M6" s="92">
        <v>10</v>
      </c>
      <c r="N6" s="92">
        <v>11</v>
      </c>
      <c r="O6" s="92">
        <v>12</v>
      </c>
      <c r="P6" s="92">
        <v>13</v>
      </c>
      <c r="Q6" s="92">
        <v>14</v>
      </c>
      <c r="R6" s="92">
        <v>15</v>
      </c>
      <c r="S6" s="92">
        <v>16</v>
      </c>
      <c r="T6" s="92">
        <v>17</v>
      </c>
      <c r="U6" s="92">
        <v>18</v>
      </c>
      <c r="V6" s="92">
        <v>19</v>
      </c>
      <c r="W6" s="92">
        <v>20</v>
      </c>
      <c r="X6" s="92">
        <v>21</v>
      </c>
      <c r="Y6" s="92">
        <v>22</v>
      </c>
      <c r="Z6" s="92">
        <v>23</v>
      </c>
      <c r="AA6" s="92">
        <v>24</v>
      </c>
      <c r="AB6" s="92">
        <v>25</v>
      </c>
      <c r="AC6" s="92">
        <v>26</v>
      </c>
      <c r="AD6" s="92">
        <v>27</v>
      </c>
      <c r="AE6" s="92">
        <v>28</v>
      </c>
      <c r="AF6" s="92">
        <v>29</v>
      </c>
      <c r="AG6" s="92">
        <v>30</v>
      </c>
      <c r="AH6" s="92">
        <v>31</v>
      </c>
      <c r="AI6" s="92">
        <v>32</v>
      </c>
      <c r="AJ6" s="92">
        <v>33</v>
      </c>
      <c r="AK6" s="92">
        <v>34</v>
      </c>
      <c r="AL6" s="92">
        <v>35</v>
      </c>
      <c r="AM6" s="92">
        <v>36</v>
      </c>
      <c r="AN6" s="66"/>
      <c r="AO6" s="66"/>
      <c r="AP6" s="66"/>
    </row>
    <row r="7" spans="1:42" x14ac:dyDescent="0.2">
      <c r="A7" s="89" t="s">
        <v>339</v>
      </c>
      <c r="B7" s="66"/>
      <c r="C7" s="66"/>
      <c r="D7" s="90">
        <f>'ARCHIVE_Census Waterfall'!$C$5</f>
        <v>15</v>
      </c>
      <c r="E7" s="90">
        <f>'ARCHIVE_Census Waterfall'!$C$6</f>
        <v>17</v>
      </c>
      <c r="F7" s="90">
        <f>'ARCHIVE_Census Waterfall'!$C$7</f>
        <v>18</v>
      </c>
      <c r="G7" s="90">
        <f>'ARCHIVE_Census Waterfall'!$C$8</f>
        <v>20</v>
      </c>
      <c r="H7" s="90">
        <f>'ARCHIVE_Census Waterfall'!$C$9</f>
        <v>22</v>
      </c>
      <c r="I7" s="90">
        <f>'ARCHIVE_Census Waterfall'!$C$10</f>
        <v>23</v>
      </c>
      <c r="J7" s="90">
        <f>'ARCHIVE_Census Waterfall'!$C$11</f>
        <v>25</v>
      </c>
      <c r="K7" s="90">
        <f>'ARCHIVE_Census Waterfall'!$C$12</f>
        <v>26</v>
      </c>
      <c r="L7" s="90">
        <f>'ARCHIVE_Census Waterfall'!$C$13</f>
        <v>28</v>
      </c>
      <c r="M7" s="90">
        <f>'ARCHIVE_Census Waterfall'!$C$14</f>
        <v>30</v>
      </c>
      <c r="N7" s="90">
        <f>'ARCHIVE_Census Waterfall'!$C$15</f>
        <v>31</v>
      </c>
      <c r="O7" s="90">
        <f>'ARCHIVE_Census Waterfall'!$C$16</f>
        <v>33</v>
      </c>
      <c r="P7" s="90">
        <f>'ARCHIVE_Census Waterfall'!$C$17</f>
        <v>34</v>
      </c>
      <c r="Q7" s="90">
        <f>'ARCHIVE_Census Waterfall'!$C$18</f>
        <v>36</v>
      </c>
      <c r="R7" s="90">
        <f>'ARCHIVE_Census Waterfall'!$C$19</f>
        <v>37</v>
      </c>
      <c r="S7" s="90">
        <f>'ARCHIVE_Census Waterfall'!$C$20</f>
        <v>39</v>
      </c>
      <c r="T7" s="90">
        <f>'ARCHIVE_Census Waterfall'!$C$21</f>
        <v>40</v>
      </c>
      <c r="U7" s="90">
        <f>'ARCHIVE_Census Waterfall'!$C$22</f>
        <v>42</v>
      </c>
      <c r="V7" s="90">
        <f>'ARCHIVE_Census Waterfall'!$C$23</f>
        <v>43</v>
      </c>
      <c r="W7" s="90">
        <f>'ARCHIVE_Census Waterfall'!$C$24</f>
        <v>44</v>
      </c>
      <c r="X7" s="90">
        <f>'ARCHIVE_Census Waterfall'!$C$25</f>
        <v>46</v>
      </c>
      <c r="Y7" s="90">
        <f>'ARCHIVE_Census Waterfall'!$C$26</f>
        <v>47</v>
      </c>
      <c r="Z7" s="90">
        <f>'ARCHIVE_Census Waterfall'!$C$27</f>
        <v>49</v>
      </c>
      <c r="AA7" s="90">
        <f>'ARCHIVE_Census Waterfall'!$C$28</f>
        <v>50</v>
      </c>
      <c r="AB7" s="90">
        <f>'ARCHIVE_Census Waterfall'!$C$29</f>
        <v>51</v>
      </c>
      <c r="AC7" s="90">
        <f>'ARCHIVE_Census Waterfall'!$C$30</f>
        <v>52</v>
      </c>
      <c r="AD7" s="90">
        <f>'ARCHIVE_Census Waterfall'!$C$31</f>
        <v>52</v>
      </c>
      <c r="AE7" s="90">
        <f>'ARCHIVE_Census Waterfall'!$C$32</f>
        <v>53</v>
      </c>
      <c r="AF7" s="90">
        <f>'ARCHIVE_Census Waterfall'!$C$33</f>
        <v>54</v>
      </c>
      <c r="AG7" s="90">
        <f>'ARCHIVE_Census Waterfall'!$C$34</f>
        <v>55</v>
      </c>
      <c r="AH7" s="90">
        <f>'ARCHIVE_Census Waterfall'!$C$35</f>
        <v>56</v>
      </c>
      <c r="AI7" s="90">
        <f>'ARCHIVE_Census Waterfall'!$C$36</f>
        <v>57</v>
      </c>
      <c r="AJ7" s="90">
        <f>'ARCHIVE_Census Waterfall'!$C$37</f>
        <v>58</v>
      </c>
      <c r="AK7" s="90">
        <f>'ARCHIVE_Census Waterfall'!$C$38</f>
        <v>58</v>
      </c>
      <c r="AL7" s="90">
        <f>'ARCHIVE_Census Waterfall'!$C$39</f>
        <v>59</v>
      </c>
      <c r="AM7" s="90">
        <f>'ARCHIVE_Census Waterfall'!$C$40</f>
        <v>60</v>
      </c>
      <c r="AN7" s="66"/>
      <c r="AO7" s="66"/>
      <c r="AP7" s="66"/>
    </row>
    <row r="8" spans="1:42" x14ac:dyDescent="0.2">
      <c r="A8" s="147" t="s">
        <v>371</v>
      </c>
      <c r="B8" s="66"/>
      <c r="C8" s="66"/>
      <c r="D8" s="91">
        <f>(1+'ARCHIVE_Control Tower'!$B$19)^0</f>
        <v>1</v>
      </c>
      <c r="E8" s="91">
        <f>(1+'ARCHIVE_Control Tower'!$B$19)^0</f>
        <v>1</v>
      </c>
      <c r="F8" s="91">
        <f>(1+'ARCHIVE_Control Tower'!$B$19)^0</f>
        <v>1</v>
      </c>
      <c r="G8" s="91">
        <f>(1+'ARCHIVE_Control Tower'!$B$19)^0</f>
        <v>1</v>
      </c>
      <c r="H8" s="91">
        <f>(1+'ARCHIVE_Control Tower'!$B$19)^0</f>
        <v>1</v>
      </c>
      <c r="I8" s="91">
        <f>(1+'ARCHIVE_Control Tower'!$B$19)^0</f>
        <v>1</v>
      </c>
      <c r="J8" s="91">
        <f>(1+'ARCHIVE_Control Tower'!$B$19)^0</f>
        <v>1</v>
      </c>
      <c r="K8" s="91">
        <f>(1+'ARCHIVE_Control Tower'!$B$19)^0</f>
        <v>1</v>
      </c>
      <c r="L8" s="91">
        <f>(1+'ARCHIVE_Control Tower'!$B$19)^0</f>
        <v>1</v>
      </c>
      <c r="M8" s="91">
        <f>(1+'ARCHIVE_Control Tower'!$B$19)^0</f>
        <v>1</v>
      </c>
      <c r="N8" s="91">
        <f>(1+'ARCHIVE_Control Tower'!$B$19)^0</f>
        <v>1</v>
      </c>
      <c r="O8" s="91">
        <f>(1+'ARCHIVE_Control Tower'!$B$19)^0</f>
        <v>1</v>
      </c>
      <c r="P8" s="91">
        <f>(1+'ARCHIVE_Control Tower'!$B$19)^1</f>
        <v>1.03</v>
      </c>
      <c r="Q8" s="91">
        <f>(1+'ARCHIVE_Control Tower'!$B$19)^1</f>
        <v>1.03</v>
      </c>
      <c r="R8" s="91">
        <f>(1+'ARCHIVE_Control Tower'!$B$19)^1</f>
        <v>1.03</v>
      </c>
      <c r="S8" s="91">
        <f>(1+'ARCHIVE_Control Tower'!$B$19)^1</f>
        <v>1.03</v>
      </c>
      <c r="T8" s="91">
        <f>(1+'ARCHIVE_Control Tower'!$B$19)^1</f>
        <v>1.03</v>
      </c>
      <c r="U8" s="91">
        <f>(1+'ARCHIVE_Control Tower'!$B$19)^1</f>
        <v>1.03</v>
      </c>
      <c r="V8" s="91">
        <f>(1+'ARCHIVE_Control Tower'!$B$19)^1</f>
        <v>1.03</v>
      </c>
      <c r="W8" s="91">
        <f>(1+'ARCHIVE_Control Tower'!$B$19)^1</f>
        <v>1.03</v>
      </c>
      <c r="X8" s="91">
        <f>(1+'ARCHIVE_Control Tower'!$B$19)^1</f>
        <v>1.03</v>
      </c>
      <c r="Y8" s="91">
        <f>(1+'ARCHIVE_Control Tower'!$B$19)^1</f>
        <v>1.03</v>
      </c>
      <c r="Z8" s="91">
        <f>(1+'ARCHIVE_Control Tower'!$B$19)^1</f>
        <v>1.03</v>
      </c>
      <c r="AA8" s="91">
        <f>(1+'ARCHIVE_Control Tower'!$B$19)^1</f>
        <v>1.03</v>
      </c>
      <c r="AB8" s="91">
        <f>(1+'ARCHIVE_Control Tower'!$B$19)^2</f>
        <v>1.0609</v>
      </c>
      <c r="AC8" s="91">
        <f>(1+'ARCHIVE_Control Tower'!$B$19)^2</f>
        <v>1.0609</v>
      </c>
      <c r="AD8" s="91">
        <f>(1+'ARCHIVE_Control Tower'!$B$19)^2</f>
        <v>1.0609</v>
      </c>
      <c r="AE8" s="91">
        <f>(1+'ARCHIVE_Control Tower'!$B$19)^2</f>
        <v>1.0609</v>
      </c>
      <c r="AF8" s="91">
        <f>(1+'ARCHIVE_Control Tower'!$B$19)^2</f>
        <v>1.0609</v>
      </c>
      <c r="AG8" s="91">
        <f>(1+'ARCHIVE_Control Tower'!$B$19)^2</f>
        <v>1.0609</v>
      </c>
      <c r="AH8" s="91">
        <f>(1+'ARCHIVE_Control Tower'!$B$19)^2</f>
        <v>1.0609</v>
      </c>
      <c r="AI8" s="91">
        <f>(1+'ARCHIVE_Control Tower'!$B$19)^2</f>
        <v>1.0609</v>
      </c>
      <c r="AJ8" s="91">
        <f>(1+'ARCHIVE_Control Tower'!$B$19)^2</f>
        <v>1.0609</v>
      </c>
      <c r="AK8" s="91">
        <f>(1+'ARCHIVE_Control Tower'!$B$19)^2</f>
        <v>1.0609</v>
      </c>
      <c r="AL8" s="91">
        <f>(1+'ARCHIVE_Control Tower'!$B$19)^2</f>
        <v>1.0609</v>
      </c>
      <c r="AM8" s="91">
        <f>(1+'ARCHIVE_Control Tower'!$B$19)^2</f>
        <v>1.0609</v>
      </c>
      <c r="AN8" s="66"/>
      <c r="AO8" s="66"/>
      <c r="AP8" s="66"/>
    </row>
    <row r="9" spans="1:42" x14ac:dyDescent="0.2">
      <c r="A9" s="147" t="s">
        <v>372</v>
      </c>
      <c r="B9" s="66"/>
      <c r="C9" s="66"/>
      <c r="D9" s="92">
        <f>ROUNDUP(D7/'ARCHIVE_Control Tower'!$B$17,0)</f>
        <v>1</v>
      </c>
      <c r="E9" s="92">
        <f>ROUNDUP(E7/'ARCHIVE_Control Tower'!$B$17,0)</f>
        <v>2</v>
      </c>
      <c r="F9" s="92">
        <f>ROUNDUP(F7/'ARCHIVE_Control Tower'!$B$17,0)</f>
        <v>2</v>
      </c>
      <c r="G9" s="92">
        <f>ROUNDUP(G7/'ARCHIVE_Control Tower'!$B$17,0)</f>
        <v>2</v>
      </c>
      <c r="H9" s="92">
        <f>ROUNDUP(H7/'ARCHIVE_Control Tower'!$B$17,0)</f>
        <v>2</v>
      </c>
      <c r="I9" s="92">
        <f>ROUNDUP(I7/'ARCHIVE_Control Tower'!$B$17,0)</f>
        <v>2</v>
      </c>
      <c r="J9" s="92">
        <f>ROUNDUP(J7/'ARCHIVE_Control Tower'!$B$17,0)</f>
        <v>2</v>
      </c>
      <c r="K9" s="92">
        <f>ROUNDUP(K7/'ARCHIVE_Control Tower'!$B$17,0)</f>
        <v>2</v>
      </c>
      <c r="L9" s="92">
        <f>ROUNDUP(L7/'ARCHIVE_Control Tower'!$B$17,0)</f>
        <v>2</v>
      </c>
      <c r="M9" s="92">
        <f>ROUNDUP(M7/'ARCHIVE_Control Tower'!$B$17,0)</f>
        <v>2</v>
      </c>
      <c r="N9" s="92">
        <f>ROUNDUP(N7/'ARCHIVE_Control Tower'!$B$17,0)</f>
        <v>3</v>
      </c>
      <c r="O9" s="92">
        <f>ROUNDUP(O7/'ARCHIVE_Control Tower'!$B$17,0)</f>
        <v>3</v>
      </c>
      <c r="P9" s="92">
        <f>ROUNDUP(P7/'ARCHIVE_Control Tower'!$B$17,0)</f>
        <v>3</v>
      </c>
      <c r="Q9" s="92">
        <f>ROUNDUP(Q7/'ARCHIVE_Control Tower'!$B$17,0)</f>
        <v>3</v>
      </c>
      <c r="R9" s="92">
        <f>ROUNDUP(R7/'ARCHIVE_Control Tower'!$B$17,0)</f>
        <v>3</v>
      </c>
      <c r="S9" s="92">
        <f>ROUNDUP(S7/'ARCHIVE_Control Tower'!$B$17,0)</f>
        <v>3</v>
      </c>
      <c r="T9" s="92">
        <f>ROUNDUP(T7/'ARCHIVE_Control Tower'!$B$17,0)</f>
        <v>3</v>
      </c>
      <c r="U9" s="92">
        <f>ROUNDUP(U7/'ARCHIVE_Control Tower'!$B$17,0)</f>
        <v>3</v>
      </c>
      <c r="V9" s="92">
        <f>ROUNDUP(V7/'ARCHIVE_Control Tower'!$B$17,0)</f>
        <v>3</v>
      </c>
      <c r="W9" s="92">
        <f>ROUNDUP(W7/'ARCHIVE_Control Tower'!$B$17,0)</f>
        <v>3</v>
      </c>
      <c r="X9" s="92">
        <f>ROUNDUP(X7/'ARCHIVE_Control Tower'!$B$17,0)</f>
        <v>4</v>
      </c>
      <c r="Y9" s="92">
        <f>ROUNDUP(Y7/'ARCHIVE_Control Tower'!$B$17,0)</f>
        <v>4</v>
      </c>
      <c r="Z9" s="92">
        <f>ROUNDUP(Z7/'ARCHIVE_Control Tower'!$B$17,0)</f>
        <v>4</v>
      </c>
      <c r="AA9" s="92">
        <f>ROUNDUP(AA7/'ARCHIVE_Control Tower'!$B$17,0)</f>
        <v>4</v>
      </c>
      <c r="AB9" s="92">
        <f>ROUNDUP(AB7/'ARCHIVE_Control Tower'!$B$17,0)</f>
        <v>4</v>
      </c>
      <c r="AC9" s="92">
        <f>ROUNDUP(AC7/'ARCHIVE_Control Tower'!$B$17,0)</f>
        <v>4</v>
      </c>
      <c r="AD9" s="92">
        <f>ROUNDUP(AD7/'ARCHIVE_Control Tower'!$B$17,0)</f>
        <v>4</v>
      </c>
      <c r="AE9" s="92">
        <f>ROUNDUP(AE7/'ARCHIVE_Control Tower'!$B$17,0)</f>
        <v>4</v>
      </c>
      <c r="AF9" s="92">
        <f>ROUNDUP(AF7/'ARCHIVE_Control Tower'!$B$17,0)</f>
        <v>4</v>
      </c>
      <c r="AG9" s="92">
        <f>ROUNDUP(AG7/'ARCHIVE_Control Tower'!$B$17,0)</f>
        <v>4</v>
      </c>
      <c r="AH9" s="92">
        <f>ROUNDUP(AH7/'ARCHIVE_Control Tower'!$B$17,0)</f>
        <v>4</v>
      </c>
      <c r="AI9" s="92">
        <f>ROUNDUP(AI7/'ARCHIVE_Control Tower'!$B$17,0)</f>
        <v>4</v>
      </c>
      <c r="AJ9" s="92">
        <f>ROUNDUP(AJ7/'ARCHIVE_Control Tower'!$B$17,0)</f>
        <v>4</v>
      </c>
      <c r="AK9" s="92">
        <f>ROUNDUP(AK7/'ARCHIVE_Control Tower'!$B$17,0)</f>
        <v>4</v>
      </c>
      <c r="AL9" s="92">
        <f>ROUNDUP(AL7/'ARCHIVE_Control Tower'!$B$17,0)</f>
        <v>4</v>
      </c>
      <c r="AM9" s="92">
        <f>ROUNDUP(AM7/'ARCHIVE_Control Tower'!$B$17,0)</f>
        <v>4</v>
      </c>
      <c r="AN9" s="66"/>
      <c r="AO9" s="66"/>
      <c r="AP9" s="66"/>
    </row>
    <row r="10" spans="1:42" x14ac:dyDescent="0.2">
      <c r="A10" s="147" t="s">
        <v>373</v>
      </c>
      <c r="B10" s="66"/>
      <c r="C10" s="66"/>
      <c r="D10" s="92">
        <f>ROUNDUP(D7/'ARCHIVE_Control Tower'!$B$18,0)</f>
        <v>2</v>
      </c>
      <c r="E10" s="92">
        <f>ROUNDUP(E7/'ARCHIVE_Control Tower'!$B$18,0)</f>
        <v>2</v>
      </c>
      <c r="F10" s="92">
        <f>ROUNDUP(F7/'ARCHIVE_Control Tower'!$B$18,0)</f>
        <v>2</v>
      </c>
      <c r="G10" s="92">
        <f>ROUNDUP(G7/'ARCHIVE_Control Tower'!$B$18,0)</f>
        <v>2</v>
      </c>
      <c r="H10" s="92">
        <f>ROUNDUP(H7/'ARCHIVE_Control Tower'!$B$18,0)</f>
        <v>2</v>
      </c>
      <c r="I10" s="92">
        <f>ROUNDUP(I7/'ARCHIVE_Control Tower'!$B$18,0)</f>
        <v>2</v>
      </c>
      <c r="J10" s="92">
        <f>ROUNDUP(J7/'ARCHIVE_Control Tower'!$B$18,0)</f>
        <v>3</v>
      </c>
      <c r="K10" s="92">
        <f>ROUNDUP(K7/'ARCHIVE_Control Tower'!$B$18,0)</f>
        <v>3</v>
      </c>
      <c r="L10" s="92">
        <f>ROUNDUP(L7/'ARCHIVE_Control Tower'!$B$18,0)</f>
        <v>3</v>
      </c>
      <c r="M10" s="92">
        <f>ROUNDUP(M7/'ARCHIVE_Control Tower'!$B$18,0)</f>
        <v>3</v>
      </c>
      <c r="N10" s="92">
        <f>ROUNDUP(N7/'ARCHIVE_Control Tower'!$B$18,0)</f>
        <v>3</v>
      </c>
      <c r="O10" s="92">
        <f>ROUNDUP(O7/'ARCHIVE_Control Tower'!$B$18,0)</f>
        <v>3</v>
      </c>
      <c r="P10" s="92">
        <f>ROUNDUP(P7/'ARCHIVE_Control Tower'!$B$18,0)</f>
        <v>3</v>
      </c>
      <c r="Q10" s="92">
        <f>ROUNDUP(Q7/'ARCHIVE_Control Tower'!$B$18,0)</f>
        <v>3</v>
      </c>
      <c r="R10" s="92">
        <f>ROUNDUP(R7/'ARCHIVE_Control Tower'!$B$18,0)</f>
        <v>4</v>
      </c>
      <c r="S10" s="92">
        <f>ROUNDUP(S7/'ARCHIVE_Control Tower'!$B$18,0)</f>
        <v>4</v>
      </c>
      <c r="T10" s="92">
        <f>ROUNDUP(T7/'ARCHIVE_Control Tower'!$B$18,0)</f>
        <v>4</v>
      </c>
      <c r="U10" s="92">
        <f>ROUNDUP(U7/'ARCHIVE_Control Tower'!$B$18,0)</f>
        <v>4</v>
      </c>
      <c r="V10" s="92">
        <f>ROUNDUP(V7/'ARCHIVE_Control Tower'!$B$18,0)</f>
        <v>4</v>
      </c>
      <c r="W10" s="92">
        <f>ROUNDUP(W7/'ARCHIVE_Control Tower'!$B$18,0)</f>
        <v>4</v>
      </c>
      <c r="X10" s="92">
        <f>ROUNDUP(X7/'ARCHIVE_Control Tower'!$B$18,0)</f>
        <v>4</v>
      </c>
      <c r="Y10" s="92">
        <f>ROUNDUP(Y7/'ARCHIVE_Control Tower'!$B$18,0)</f>
        <v>4</v>
      </c>
      <c r="Z10" s="92">
        <f>ROUNDUP(Z7/'ARCHIVE_Control Tower'!$B$18,0)</f>
        <v>5</v>
      </c>
      <c r="AA10" s="92">
        <f>ROUNDUP(AA7/'ARCHIVE_Control Tower'!$B$18,0)</f>
        <v>5</v>
      </c>
      <c r="AB10" s="92">
        <f>ROUNDUP(AB7/'ARCHIVE_Control Tower'!$B$18,0)</f>
        <v>5</v>
      </c>
      <c r="AC10" s="92">
        <f>ROUNDUP(AC7/'ARCHIVE_Control Tower'!$B$18,0)</f>
        <v>5</v>
      </c>
      <c r="AD10" s="92">
        <f>ROUNDUP(AD7/'ARCHIVE_Control Tower'!$B$18,0)</f>
        <v>5</v>
      </c>
      <c r="AE10" s="92">
        <f>ROUNDUP(AE7/'ARCHIVE_Control Tower'!$B$18,0)</f>
        <v>5</v>
      </c>
      <c r="AF10" s="92">
        <f>ROUNDUP(AF7/'ARCHIVE_Control Tower'!$B$18,0)</f>
        <v>5</v>
      </c>
      <c r="AG10" s="92">
        <f>ROUNDUP(AG7/'ARCHIVE_Control Tower'!$B$18,0)</f>
        <v>5</v>
      </c>
      <c r="AH10" s="92">
        <f>ROUNDUP(AH7/'ARCHIVE_Control Tower'!$B$18,0)</f>
        <v>5</v>
      </c>
      <c r="AI10" s="92">
        <f>ROUNDUP(AI7/'ARCHIVE_Control Tower'!$B$18,0)</f>
        <v>5</v>
      </c>
      <c r="AJ10" s="92">
        <f>ROUNDUP(AJ7/'ARCHIVE_Control Tower'!$B$18,0)</f>
        <v>5</v>
      </c>
      <c r="AK10" s="92">
        <f>ROUNDUP(AK7/'ARCHIVE_Control Tower'!$B$18,0)</f>
        <v>5</v>
      </c>
      <c r="AL10" s="92">
        <f>ROUNDUP(AL7/'ARCHIVE_Control Tower'!$B$18,0)</f>
        <v>5</v>
      </c>
      <c r="AM10" s="92">
        <f>ROUNDUP(AM7/'ARCHIVE_Control Tower'!$B$18,0)</f>
        <v>5</v>
      </c>
      <c r="AN10" s="66"/>
      <c r="AO10" s="66"/>
      <c r="AP10" s="66"/>
    </row>
    <row r="11" spans="1:42" x14ac:dyDescent="0.2">
      <c r="A11" s="3" t="s">
        <v>374</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row>
    <row r="12" spans="1:42" x14ac:dyDescent="0.2">
      <c r="A12" s="148" t="s">
        <v>375</v>
      </c>
      <c r="B12" s="149" t="s">
        <v>70</v>
      </c>
      <c r="C12" s="150" t="s">
        <v>270</v>
      </c>
      <c r="D12" s="151">
        <f>IF(D6&gt;=1,'ARCHIVE_Control Tower'!$B$40/12*D8,0)</f>
        <v>6250.416666666667</v>
      </c>
      <c r="E12" s="151">
        <f>IF(E6&gt;=1,'ARCHIVE_Control Tower'!$B$40/12*E8,0)</f>
        <v>6250.416666666667</v>
      </c>
      <c r="F12" s="151">
        <f>IF(F6&gt;=1,'ARCHIVE_Control Tower'!$B$40/12*F8,0)</f>
        <v>6250.416666666667</v>
      </c>
      <c r="G12" s="151">
        <f>IF(G6&gt;=1,'ARCHIVE_Control Tower'!$B$40/12*G8,0)</f>
        <v>6250.416666666667</v>
      </c>
      <c r="H12" s="151">
        <f>IF(H6&gt;=1,'ARCHIVE_Control Tower'!$B$40/12*H8,0)</f>
        <v>6250.416666666667</v>
      </c>
      <c r="I12" s="151">
        <f>IF(I6&gt;=1,'ARCHIVE_Control Tower'!$B$40/12*I8,0)</f>
        <v>6250.416666666667</v>
      </c>
      <c r="J12" s="151">
        <f>IF(J6&gt;=1,'ARCHIVE_Control Tower'!$B$40/12*J8,0)</f>
        <v>6250.416666666667</v>
      </c>
      <c r="K12" s="151">
        <f>IF(K6&gt;=1,'ARCHIVE_Control Tower'!$B$40/12*K8,0)</f>
        <v>6250.416666666667</v>
      </c>
      <c r="L12" s="151">
        <f>IF(L6&gt;=1,'ARCHIVE_Control Tower'!$B$40/12*L8,0)</f>
        <v>6250.416666666667</v>
      </c>
      <c r="M12" s="151">
        <f>IF(M6&gt;=1,'ARCHIVE_Control Tower'!$B$40/12*M8,0)</f>
        <v>6250.416666666667</v>
      </c>
      <c r="N12" s="151">
        <f>IF(N6&gt;=1,'ARCHIVE_Control Tower'!$B$40/12*N8,0)</f>
        <v>6250.416666666667</v>
      </c>
      <c r="O12" s="151">
        <f>IF(O6&gt;=1,'ARCHIVE_Control Tower'!$B$40/12*O8,0)</f>
        <v>6250.416666666667</v>
      </c>
      <c r="P12" s="151">
        <f>IF(P6&gt;=1,'ARCHIVE_Control Tower'!$B$40/12*P8,0)</f>
        <v>6437.9291666666668</v>
      </c>
      <c r="Q12" s="151">
        <f>IF(Q6&gt;=1,'ARCHIVE_Control Tower'!$B$40/12*Q8,0)</f>
        <v>6437.9291666666668</v>
      </c>
      <c r="R12" s="151">
        <f>IF(R6&gt;=1,'ARCHIVE_Control Tower'!$B$40/12*R8,0)</f>
        <v>6437.9291666666668</v>
      </c>
      <c r="S12" s="151">
        <f>IF(S6&gt;=1,'ARCHIVE_Control Tower'!$B$40/12*S8,0)</f>
        <v>6437.9291666666668</v>
      </c>
      <c r="T12" s="151">
        <f>IF(T6&gt;=1,'ARCHIVE_Control Tower'!$B$40/12*T8,0)</f>
        <v>6437.9291666666668</v>
      </c>
      <c r="U12" s="151">
        <f>IF(U6&gt;=1,'ARCHIVE_Control Tower'!$B$40/12*U8,0)</f>
        <v>6437.9291666666668</v>
      </c>
      <c r="V12" s="151">
        <f>IF(V6&gt;=1,'ARCHIVE_Control Tower'!$B$40/12*V8,0)</f>
        <v>6437.9291666666668</v>
      </c>
      <c r="W12" s="151">
        <f>IF(W6&gt;=1,'ARCHIVE_Control Tower'!$B$40/12*W8,0)</f>
        <v>6437.9291666666668</v>
      </c>
      <c r="X12" s="151">
        <f>IF(X6&gt;=1,'ARCHIVE_Control Tower'!$B$40/12*X8,0)</f>
        <v>6437.9291666666668</v>
      </c>
      <c r="Y12" s="151">
        <f>IF(Y6&gt;=1,'ARCHIVE_Control Tower'!$B$40/12*Y8,0)</f>
        <v>6437.9291666666668</v>
      </c>
      <c r="Z12" s="151">
        <f>IF(Z6&gt;=1,'ARCHIVE_Control Tower'!$B$40/12*Z8,0)</f>
        <v>6437.9291666666668</v>
      </c>
      <c r="AA12" s="151">
        <f>IF(AA6&gt;=1,'ARCHIVE_Control Tower'!$B$40/12*AA8,0)</f>
        <v>6437.9291666666668</v>
      </c>
      <c r="AB12" s="151">
        <f>IF(AB6&gt;=1,'ARCHIVE_Control Tower'!$B$40/12*AB8,0)</f>
        <v>6631.0670416666671</v>
      </c>
      <c r="AC12" s="151">
        <f>IF(AC6&gt;=1,'ARCHIVE_Control Tower'!$B$40/12*AC8,0)</f>
        <v>6631.0670416666671</v>
      </c>
      <c r="AD12" s="151">
        <f>IF(AD6&gt;=1,'ARCHIVE_Control Tower'!$B$40/12*AD8,0)</f>
        <v>6631.0670416666671</v>
      </c>
      <c r="AE12" s="151">
        <f>IF(AE6&gt;=1,'ARCHIVE_Control Tower'!$B$40/12*AE8,0)</f>
        <v>6631.0670416666671</v>
      </c>
      <c r="AF12" s="151">
        <f>IF(AF6&gt;=1,'ARCHIVE_Control Tower'!$B$40/12*AF8,0)</f>
        <v>6631.0670416666671</v>
      </c>
      <c r="AG12" s="151">
        <f>IF(AG6&gt;=1,'ARCHIVE_Control Tower'!$B$40/12*AG8,0)</f>
        <v>6631.0670416666671</v>
      </c>
      <c r="AH12" s="151">
        <f>IF(AH6&gt;=1,'ARCHIVE_Control Tower'!$B$40/12*AH8,0)</f>
        <v>6631.0670416666671</v>
      </c>
      <c r="AI12" s="151">
        <f>IF(AI6&gt;=1,'ARCHIVE_Control Tower'!$B$40/12*AI8,0)</f>
        <v>6631.0670416666671</v>
      </c>
      <c r="AJ12" s="151">
        <f>IF(AJ6&gt;=1,'ARCHIVE_Control Tower'!$B$40/12*AJ8,0)</f>
        <v>6631.0670416666671</v>
      </c>
      <c r="AK12" s="151">
        <f>IF(AK6&gt;=1,'ARCHIVE_Control Tower'!$B$40/12*AK8,0)</f>
        <v>6631.0670416666671</v>
      </c>
      <c r="AL12" s="151">
        <f>IF(AL6&gt;=1,'ARCHIVE_Control Tower'!$B$40/12*AL8,0)</f>
        <v>6631.0670416666671</v>
      </c>
      <c r="AM12" s="151">
        <f>IF(AM6&gt;=1,'ARCHIVE_Control Tower'!$B$40/12*AM8,0)</f>
        <v>6631.0670416666671</v>
      </c>
      <c r="AN12" s="144">
        <f t="shared" ref="AN12:AN18" si="0">SUM(D12:O12)</f>
        <v>75005</v>
      </c>
      <c r="AO12" s="144">
        <f t="shared" ref="AO12:AO18" si="1">SUM(P12:AA12)</f>
        <v>77255.150000000009</v>
      </c>
      <c r="AP12" s="144">
        <f t="shared" ref="AP12:AP18" si="2">SUM(AB12:AM12)</f>
        <v>79572.804500000013</v>
      </c>
    </row>
    <row r="13" spans="1:42" x14ac:dyDescent="0.2">
      <c r="A13" s="148" t="s">
        <v>376</v>
      </c>
      <c r="B13" s="149" t="s">
        <v>70</v>
      </c>
      <c r="C13" s="150" t="s">
        <v>273</v>
      </c>
      <c r="D13" s="151">
        <f>IF(D6&gt;=2,'ARCHIVE_Control Tower'!$B$42/12*D8,0)</f>
        <v>0</v>
      </c>
      <c r="E13" s="151">
        <f>IF(E6&gt;=2,'ARCHIVE_Control Tower'!$B$42/12*E8,0)</f>
        <v>6458.583333333333</v>
      </c>
      <c r="F13" s="151">
        <f>IF(F6&gt;=2,'ARCHIVE_Control Tower'!$B$42/12*F8,0)</f>
        <v>6458.583333333333</v>
      </c>
      <c r="G13" s="151">
        <f>IF(G6&gt;=2,'ARCHIVE_Control Tower'!$B$42/12*G8,0)</f>
        <v>6458.583333333333</v>
      </c>
      <c r="H13" s="151">
        <f>IF(H6&gt;=2,'ARCHIVE_Control Tower'!$B$42/12*H8,0)</f>
        <v>6458.583333333333</v>
      </c>
      <c r="I13" s="151">
        <f>IF(I6&gt;=2,'ARCHIVE_Control Tower'!$B$42/12*I8,0)</f>
        <v>6458.583333333333</v>
      </c>
      <c r="J13" s="151">
        <f>IF(J6&gt;=2,'ARCHIVE_Control Tower'!$B$42/12*J8,0)</f>
        <v>6458.583333333333</v>
      </c>
      <c r="K13" s="151">
        <f>IF(K6&gt;=2,'ARCHIVE_Control Tower'!$B$42/12*K8,0)</f>
        <v>6458.583333333333</v>
      </c>
      <c r="L13" s="151">
        <f>IF(L6&gt;=2,'ARCHIVE_Control Tower'!$B$42/12*L8,0)</f>
        <v>6458.583333333333</v>
      </c>
      <c r="M13" s="151">
        <f>IF(M6&gt;=2,'ARCHIVE_Control Tower'!$B$42/12*M8,0)</f>
        <v>6458.583333333333</v>
      </c>
      <c r="N13" s="151">
        <f>IF(N6&gt;=2,'ARCHIVE_Control Tower'!$B$42/12*N8,0)</f>
        <v>6458.583333333333</v>
      </c>
      <c r="O13" s="151">
        <f>IF(O6&gt;=2,'ARCHIVE_Control Tower'!$B$42/12*O8,0)</f>
        <v>6458.583333333333</v>
      </c>
      <c r="P13" s="151">
        <f>IF(P6&gt;=2,'ARCHIVE_Control Tower'!$B$42/12*P8,0)</f>
        <v>6652.3408333333327</v>
      </c>
      <c r="Q13" s="151">
        <f>IF(Q6&gt;=2,'ARCHIVE_Control Tower'!$B$42/12*Q8,0)</f>
        <v>6652.3408333333327</v>
      </c>
      <c r="R13" s="151">
        <f>IF(R6&gt;=2,'ARCHIVE_Control Tower'!$B$42/12*R8,0)</f>
        <v>6652.3408333333327</v>
      </c>
      <c r="S13" s="151">
        <f>IF(S6&gt;=2,'ARCHIVE_Control Tower'!$B$42/12*S8,0)</f>
        <v>6652.3408333333327</v>
      </c>
      <c r="T13" s="151">
        <f>IF(T6&gt;=2,'ARCHIVE_Control Tower'!$B$42/12*T8,0)</f>
        <v>6652.3408333333327</v>
      </c>
      <c r="U13" s="151">
        <f>IF(U6&gt;=2,'ARCHIVE_Control Tower'!$B$42/12*U8,0)</f>
        <v>6652.3408333333327</v>
      </c>
      <c r="V13" s="151">
        <f>IF(V6&gt;=2,'ARCHIVE_Control Tower'!$B$42/12*V8,0)</f>
        <v>6652.3408333333327</v>
      </c>
      <c r="W13" s="151">
        <f>IF(W6&gt;=2,'ARCHIVE_Control Tower'!$B$42/12*W8,0)</f>
        <v>6652.3408333333327</v>
      </c>
      <c r="X13" s="151">
        <f>IF(X6&gt;=2,'ARCHIVE_Control Tower'!$B$42/12*X8,0)</f>
        <v>6652.3408333333327</v>
      </c>
      <c r="Y13" s="151">
        <f>IF(Y6&gt;=2,'ARCHIVE_Control Tower'!$B$42/12*Y8,0)</f>
        <v>6652.3408333333327</v>
      </c>
      <c r="Z13" s="151">
        <f>IF(Z6&gt;=2,'ARCHIVE_Control Tower'!$B$42/12*Z8,0)</f>
        <v>6652.3408333333327</v>
      </c>
      <c r="AA13" s="151">
        <f>IF(AA6&gt;=2,'ARCHIVE_Control Tower'!$B$42/12*AA8,0)</f>
        <v>6652.3408333333327</v>
      </c>
      <c r="AB13" s="151">
        <f>IF(AB6&gt;=2,'ARCHIVE_Control Tower'!$B$42/12*AB8,0)</f>
        <v>6851.9110583333331</v>
      </c>
      <c r="AC13" s="151">
        <f>IF(AC6&gt;=2,'ARCHIVE_Control Tower'!$B$42/12*AC8,0)</f>
        <v>6851.9110583333331</v>
      </c>
      <c r="AD13" s="151">
        <f>IF(AD6&gt;=2,'ARCHIVE_Control Tower'!$B$42/12*AD8,0)</f>
        <v>6851.9110583333331</v>
      </c>
      <c r="AE13" s="151">
        <f>IF(AE6&gt;=2,'ARCHIVE_Control Tower'!$B$42/12*AE8,0)</f>
        <v>6851.9110583333331</v>
      </c>
      <c r="AF13" s="151">
        <f>IF(AF6&gt;=2,'ARCHIVE_Control Tower'!$B$42/12*AF8,0)</f>
        <v>6851.9110583333331</v>
      </c>
      <c r="AG13" s="151">
        <f>IF(AG6&gt;=2,'ARCHIVE_Control Tower'!$B$42/12*AG8,0)</f>
        <v>6851.9110583333331</v>
      </c>
      <c r="AH13" s="151">
        <f>IF(AH6&gt;=2,'ARCHIVE_Control Tower'!$B$42/12*AH8,0)</f>
        <v>6851.9110583333331</v>
      </c>
      <c r="AI13" s="151">
        <f>IF(AI6&gt;=2,'ARCHIVE_Control Tower'!$B$42/12*AI8,0)</f>
        <v>6851.9110583333331</v>
      </c>
      <c r="AJ13" s="151">
        <f>IF(AJ6&gt;=2,'ARCHIVE_Control Tower'!$B$42/12*AJ8,0)</f>
        <v>6851.9110583333331</v>
      </c>
      <c r="AK13" s="151">
        <f>IF(AK6&gt;=2,'ARCHIVE_Control Tower'!$B$42/12*AK8,0)</f>
        <v>6851.9110583333331</v>
      </c>
      <c r="AL13" s="151">
        <f>IF(AL6&gt;=2,'ARCHIVE_Control Tower'!$B$42/12*AL8,0)</f>
        <v>6851.9110583333331</v>
      </c>
      <c r="AM13" s="151">
        <f>IF(AM6&gt;=2,'ARCHIVE_Control Tower'!$B$42/12*AM8,0)</f>
        <v>6851.9110583333331</v>
      </c>
      <c r="AN13" s="144">
        <f t="shared" si="0"/>
        <v>71044.416666666672</v>
      </c>
      <c r="AO13" s="144">
        <f t="shared" si="1"/>
        <v>79828.090000000011</v>
      </c>
      <c r="AP13" s="144">
        <f t="shared" si="2"/>
        <v>82222.932700000005</v>
      </c>
    </row>
    <row r="14" spans="1:42" x14ac:dyDescent="0.2">
      <c r="A14" s="148" t="s">
        <v>377</v>
      </c>
      <c r="B14" s="149" t="s">
        <v>70</v>
      </c>
      <c r="C14" s="150" t="s">
        <v>378</v>
      </c>
      <c r="D14" s="151">
        <f>MAX(0,D9-((IF(D6&gt;=1,1,0))+(IF(D6&gt;=2,1,0))))*'ARCHIVE_Control Tower'!$B$47/12*D8</f>
        <v>0</v>
      </c>
      <c r="E14" s="151">
        <f>MAX(0,E9-((IF(E6&gt;=1,1,0))+(IF(E6&gt;=2,1,0))))*'ARCHIVE_Control Tower'!$B$47/12*E8</f>
        <v>0</v>
      </c>
      <c r="F14" s="151">
        <f>MAX(0,F9-((IF(F6&gt;=1,1,0))+(IF(F6&gt;=2,1,0))))*'ARCHIVE_Control Tower'!$B$47/12*F8</f>
        <v>0</v>
      </c>
      <c r="G14" s="151">
        <f>MAX(0,G9-((IF(G6&gt;=1,1,0))+(IF(G6&gt;=2,1,0))))*'ARCHIVE_Control Tower'!$B$47/12*G8</f>
        <v>0</v>
      </c>
      <c r="H14" s="151">
        <f>MAX(0,H9-((IF(H6&gt;=1,1,0))+(IF(H6&gt;=2,1,0))))*'ARCHIVE_Control Tower'!$B$47/12*H8</f>
        <v>0</v>
      </c>
      <c r="I14" s="151">
        <f>MAX(0,I9-((IF(I6&gt;=1,1,0))+(IF(I6&gt;=2,1,0))))*'ARCHIVE_Control Tower'!$B$47/12*I8</f>
        <v>0</v>
      </c>
      <c r="J14" s="151">
        <f>MAX(0,J9-((IF(J6&gt;=1,1,0))+(IF(J6&gt;=2,1,0))))*'ARCHIVE_Control Tower'!$B$47/12*J8</f>
        <v>0</v>
      </c>
      <c r="K14" s="151">
        <f>MAX(0,K9-((IF(K6&gt;=1,1,0))+(IF(K6&gt;=2,1,0))))*'ARCHIVE_Control Tower'!$B$47/12*K8</f>
        <v>0</v>
      </c>
      <c r="L14" s="151">
        <f>MAX(0,L9-((IF(L6&gt;=1,1,0))+(IF(L6&gt;=2,1,0))))*'ARCHIVE_Control Tower'!$B$47/12*L8</f>
        <v>0</v>
      </c>
      <c r="M14" s="151">
        <f>MAX(0,M9-((IF(M6&gt;=1,1,0))+(IF(M6&gt;=2,1,0))))*'ARCHIVE_Control Tower'!$B$47/12*M8</f>
        <v>0</v>
      </c>
      <c r="N14" s="151">
        <f>MAX(0,N9-((IF(N6&gt;=1,1,0))+(IF(N6&gt;=2,1,0))))*'ARCHIVE_Control Tower'!$B$47/12*N8</f>
        <v>6354.5</v>
      </c>
      <c r="O14" s="151">
        <f>MAX(0,O9-((IF(O6&gt;=1,1,0))+(IF(O6&gt;=2,1,0))))*'ARCHIVE_Control Tower'!$B$47/12*O8</f>
        <v>6354.5</v>
      </c>
      <c r="P14" s="151">
        <f>MAX(0,P9-((IF(P6&gt;=1,1,0))+(IF(P6&gt;=2,1,0))))*'ARCHIVE_Control Tower'!$B$47/12*P8</f>
        <v>6545.1350000000002</v>
      </c>
      <c r="Q14" s="151">
        <f>MAX(0,Q9-((IF(Q6&gt;=1,1,0))+(IF(Q6&gt;=2,1,0))))*'ARCHIVE_Control Tower'!$B$47/12*Q8</f>
        <v>6545.1350000000002</v>
      </c>
      <c r="R14" s="151">
        <f>MAX(0,R9-((IF(R6&gt;=1,1,0))+(IF(R6&gt;=2,1,0))))*'ARCHIVE_Control Tower'!$B$47/12*R8</f>
        <v>6545.1350000000002</v>
      </c>
      <c r="S14" s="151">
        <f>MAX(0,S9-((IF(S6&gt;=1,1,0))+(IF(S6&gt;=2,1,0))))*'ARCHIVE_Control Tower'!$B$47/12*S8</f>
        <v>6545.1350000000002</v>
      </c>
      <c r="T14" s="151">
        <f>MAX(0,T9-((IF(T6&gt;=1,1,0))+(IF(T6&gt;=2,1,0))))*'ARCHIVE_Control Tower'!$B$47/12*T8</f>
        <v>6545.1350000000002</v>
      </c>
      <c r="U14" s="151">
        <f>MAX(0,U9-((IF(U6&gt;=1,1,0))+(IF(U6&gt;=2,1,0))))*'ARCHIVE_Control Tower'!$B$47/12*U8</f>
        <v>6545.1350000000002</v>
      </c>
      <c r="V14" s="151">
        <f>MAX(0,V9-((IF(V6&gt;=1,1,0))+(IF(V6&gt;=2,1,0))))*'ARCHIVE_Control Tower'!$B$47/12*V8</f>
        <v>6545.1350000000002</v>
      </c>
      <c r="W14" s="151">
        <f>MAX(0,W9-((IF(W6&gt;=1,1,0))+(IF(W6&gt;=2,1,0))))*'ARCHIVE_Control Tower'!$B$47/12*W8</f>
        <v>6545.1350000000002</v>
      </c>
      <c r="X14" s="151">
        <f>MAX(0,X9-((IF(X6&gt;=1,1,0))+(IF(X6&gt;=2,1,0))))*'ARCHIVE_Control Tower'!$B$47/12*X8</f>
        <v>13090.27</v>
      </c>
      <c r="Y14" s="151">
        <f>MAX(0,Y9-((IF(Y6&gt;=1,1,0))+(IF(Y6&gt;=2,1,0))))*'ARCHIVE_Control Tower'!$B$47/12*Y8</f>
        <v>13090.27</v>
      </c>
      <c r="Z14" s="151">
        <f>MAX(0,Z9-((IF(Z6&gt;=1,1,0))+(IF(Z6&gt;=2,1,0))))*'ARCHIVE_Control Tower'!$B$47/12*Z8</f>
        <v>13090.27</v>
      </c>
      <c r="AA14" s="151">
        <f>MAX(0,AA9-((IF(AA6&gt;=1,1,0))+(IF(AA6&gt;=2,1,0))))*'ARCHIVE_Control Tower'!$B$47/12*AA8</f>
        <v>13090.27</v>
      </c>
      <c r="AB14" s="151">
        <f>MAX(0,AB9-((IF(AB6&gt;=1,1,0))+(IF(AB6&gt;=2,1,0))))*'ARCHIVE_Control Tower'!$B$47/12*AB8</f>
        <v>13482.9781</v>
      </c>
      <c r="AC14" s="151">
        <f>MAX(0,AC9-((IF(AC6&gt;=1,1,0))+(IF(AC6&gt;=2,1,0))))*'ARCHIVE_Control Tower'!$B$47/12*AC8</f>
        <v>13482.9781</v>
      </c>
      <c r="AD14" s="151">
        <f>MAX(0,AD9-((IF(AD6&gt;=1,1,0))+(IF(AD6&gt;=2,1,0))))*'ARCHIVE_Control Tower'!$B$47/12*AD8</f>
        <v>13482.9781</v>
      </c>
      <c r="AE14" s="151">
        <f>MAX(0,AE9-((IF(AE6&gt;=1,1,0))+(IF(AE6&gt;=2,1,0))))*'ARCHIVE_Control Tower'!$B$47/12*AE8</f>
        <v>13482.9781</v>
      </c>
      <c r="AF14" s="151">
        <f>MAX(0,AF9-((IF(AF6&gt;=1,1,0))+(IF(AF6&gt;=2,1,0))))*'ARCHIVE_Control Tower'!$B$47/12*AF8</f>
        <v>13482.9781</v>
      </c>
      <c r="AG14" s="151">
        <f>MAX(0,AG9-((IF(AG6&gt;=1,1,0))+(IF(AG6&gt;=2,1,0))))*'ARCHIVE_Control Tower'!$B$47/12*AG8</f>
        <v>13482.9781</v>
      </c>
      <c r="AH14" s="151">
        <f>MAX(0,AH9-((IF(AH6&gt;=1,1,0))+(IF(AH6&gt;=2,1,0))))*'ARCHIVE_Control Tower'!$B$47/12*AH8</f>
        <v>13482.9781</v>
      </c>
      <c r="AI14" s="151">
        <f>MAX(0,AI9-((IF(AI6&gt;=1,1,0))+(IF(AI6&gt;=2,1,0))))*'ARCHIVE_Control Tower'!$B$47/12*AI8</f>
        <v>13482.9781</v>
      </c>
      <c r="AJ14" s="151">
        <f>MAX(0,AJ9-((IF(AJ6&gt;=1,1,0))+(IF(AJ6&gt;=2,1,0))))*'ARCHIVE_Control Tower'!$B$47/12*AJ8</f>
        <v>13482.9781</v>
      </c>
      <c r="AK14" s="151">
        <f>MAX(0,AK9-((IF(AK6&gt;=1,1,0))+(IF(AK6&gt;=2,1,0))))*'ARCHIVE_Control Tower'!$B$47/12*AK8</f>
        <v>13482.9781</v>
      </c>
      <c r="AL14" s="151">
        <f>MAX(0,AL9-((IF(AL6&gt;=1,1,0))+(IF(AL6&gt;=2,1,0))))*'ARCHIVE_Control Tower'!$B$47/12*AL8</f>
        <v>13482.9781</v>
      </c>
      <c r="AM14" s="151">
        <f>MAX(0,AM9-((IF(AM6&gt;=1,1,0))+(IF(AM6&gt;=2,1,0))))*'ARCHIVE_Control Tower'!$B$47/12*AM8</f>
        <v>13482.9781</v>
      </c>
      <c r="AN14" s="144">
        <f t="shared" si="0"/>
        <v>12709</v>
      </c>
      <c r="AO14" s="144">
        <f t="shared" si="1"/>
        <v>104722.16000000002</v>
      </c>
      <c r="AP14" s="144">
        <f t="shared" si="2"/>
        <v>161795.73720000006</v>
      </c>
    </row>
    <row r="15" spans="1:42" x14ac:dyDescent="0.2">
      <c r="A15" s="148" t="s">
        <v>379</v>
      </c>
      <c r="B15" s="149" t="s">
        <v>72</v>
      </c>
      <c r="C15" s="150" t="s">
        <v>270</v>
      </c>
      <c r="D15" s="151">
        <f>IF(D6&gt;=1,'ARCHIVE_Control Tower'!$B$41/12*D8,0)</f>
        <v>3875.8333333333335</v>
      </c>
      <c r="E15" s="151">
        <f>IF(E6&gt;=1,'ARCHIVE_Control Tower'!$B$41/12*E8,0)</f>
        <v>3875.8333333333335</v>
      </c>
      <c r="F15" s="151">
        <f>IF(F6&gt;=1,'ARCHIVE_Control Tower'!$B$41/12*F8,0)</f>
        <v>3875.8333333333335</v>
      </c>
      <c r="G15" s="151">
        <f>IF(G6&gt;=1,'ARCHIVE_Control Tower'!$B$41/12*G8,0)</f>
        <v>3875.8333333333335</v>
      </c>
      <c r="H15" s="151">
        <f>IF(H6&gt;=1,'ARCHIVE_Control Tower'!$B$41/12*H8,0)</f>
        <v>3875.8333333333335</v>
      </c>
      <c r="I15" s="151">
        <f>IF(I6&gt;=1,'ARCHIVE_Control Tower'!$B$41/12*I8,0)</f>
        <v>3875.8333333333335</v>
      </c>
      <c r="J15" s="151">
        <f>IF(J6&gt;=1,'ARCHIVE_Control Tower'!$B$41/12*J8,0)</f>
        <v>3875.8333333333335</v>
      </c>
      <c r="K15" s="151">
        <f>IF(K6&gt;=1,'ARCHIVE_Control Tower'!$B$41/12*K8,0)</f>
        <v>3875.8333333333335</v>
      </c>
      <c r="L15" s="151">
        <f>IF(L6&gt;=1,'ARCHIVE_Control Tower'!$B$41/12*L8,0)</f>
        <v>3875.8333333333335</v>
      </c>
      <c r="M15" s="151">
        <f>IF(M6&gt;=1,'ARCHIVE_Control Tower'!$B$41/12*M8,0)</f>
        <v>3875.8333333333335</v>
      </c>
      <c r="N15" s="151">
        <f>IF(N6&gt;=1,'ARCHIVE_Control Tower'!$B$41/12*N8,0)</f>
        <v>3875.8333333333335</v>
      </c>
      <c r="O15" s="151">
        <f>IF(O6&gt;=1,'ARCHIVE_Control Tower'!$B$41/12*O8,0)</f>
        <v>3875.8333333333335</v>
      </c>
      <c r="P15" s="151">
        <f>IF(P6&gt;=1,'ARCHIVE_Control Tower'!$B$41/12*P8,0)</f>
        <v>3992.1083333333336</v>
      </c>
      <c r="Q15" s="151">
        <f>IF(Q6&gt;=1,'ARCHIVE_Control Tower'!$B$41/12*Q8,0)</f>
        <v>3992.1083333333336</v>
      </c>
      <c r="R15" s="151">
        <f>IF(R6&gt;=1,'ARCHIVE_Control Tower'!$B$41/12*R8,0)</f>
        <v>3992.1083333333336</v>
      </c>
      <c r="S15" s="151">
        <f>IF(S6&gt;=1,'ARCHIVE_Control Tower'!$B$41/12*S8,0)</f>
        <v>3992.1083333333336</v>
      </c>
      <c r="T15" s="151">
        <f>IF(T6&gt;=1,'ARCHIVE_Control Tower'!$B$41/12*T8,0)</f>
        <v>3992.1083333333336</v>
      </c>
      <c r="U15" s="151">
        <f>IF(U6&gt;=1,'ARCHIVE_Control Tower'!$B$41/12*U8,0)</f>
        <v>3992.1083333333336</v>
      </c>
      <c r="V15" s="151">
        <f>IF(V6&gt;=1,'ARCHIVE_Control Tower'!$B$41/12*V8,0)</f>
        <v>3992.1083333333336</v>
      </c>
      <c r="W15" s="151">
        <f>IF(W6&gt;=1,'ARCHIVE_Control Tower'!$B$41/12*W8,0)</f>
        <v>3992.1083333333336</v>
      </c>
      <c r="X15" s="151">
        <f>IF(X6&gt;=1,'ARCHIVE_Control Tower'!$B$41/12*X8,0)</f>
        <v>3992.1083333333336</v>
      </c>
      <c r="Y15" s="151">
        <f>IF(Y6&gt;=1,'ARCHIVE_Control Tower'!$B$41/12*Y8,0)</f>
        <v>3992.1083333333336</v>
      </c>
      <c r="Z15" s="151">
        <f>IF(Z6&gt;=1,'ARCHIVE_Control Tower'!$B$41/12*Z8,0)</f>
        <v>3992.1083333333336</v>
      </c>
      <c r="AA15" s="151">
        <f>IF(AA6&gt;=1,'ARCHIVE_Control Tower'!$B$41/12*AA8,0)</f>
        <v>3992.1083333333336</v>
      </c>
      <c r="AB15" s="151">
        <f>IF(AB6&gt;=1,'ARCHIVE_Control Tower'!$B$41/12*AB8,0)</f>
        <v>4111.8715833333335</v>
      </c>
      <c r="AC15" s="151">
        <f>IF(AC6&gt;=1,'ARCHIVE_Control Tower'!$B$41/12*AC8,0)</f>
        <v>4111.8715833333335</v>
      </c>
      <c r="AD15" s="151">
        <f>IF(AD6&gt;=1,'ARCHIVE_Control Tower'!$B$41/12*AD8,0)</f>
        <v>4111.8715833333335</v>
      </c>
      <c r="AE15" s="151">
        <f>IF(AE6&gt;=1,'ARCHIVE_Control Tower'!$B$41/12*AE8,0)</f>
        <v>4111.8715833333335</v>
      </c>
      <c r="AF15" s="151">
        <f>IF(AF6&gt;=1,'ARCHIVE_Control Tower'!$B$41/12*AF8,0)</f>
        <v>4111.8715833333335</v>
      </c>
      <c r="AG15" s="151">
        <f>IF(AG6&gt;=1,'ARCHIVE_Control Tower'!$B$41/12*AG8,0)</f>
        <v>4111.8715833333335</v>
      </c>
      <c r="AH15" s="151">
        <f>IF(AH6&gt;=1,'ARCHIVE_Control Tower'!$B$41/12*AH8,0)</f>
        <v>4111.8715833333335</v>
      </c>
      <c r="AI15" s="151">
        <f>IF(AI6&gt;=1,'ARCHIVE_Control Tower'!$B$41/12*AI8,0)</f>
        <v>4111.8715833333335</v>
      </c>
      <c r="AJ15" s="151">
        <f>IF(AJ6&gt;=1,'ARCHIVE_Control Tower'!$B$41/12*AJ8,0)</f>
        <v>4111.8715833333335</v>
      </c>
      <c r="AK15" s="151">
        <f>IF(AK6&gt;=1,'ARCHIVE_Control Tower'!$B$41/12*AK8,0)</f>
        <v>4111.8715833333335</v>
      </c>
      <c r="AL15" s="151">
        <f>IF(AL6&gt;=1,'ARCHIVE_Control Tower'!$B$41/12*AL8,0)</f>
        <v>4111.8715833333335</v>
      </c>
      <c r="AM15" s="151">
        <f>IF(AM6&gt;=1,'ARCHIVE_Control Tower'!$B$41/12*AM8,0)</f>
        <v>4111.8715833333335</v>
      </c>
      <c r="AN15" s="144">
        <f t="shared" si="0"/>
        <v>46510.000000000007</v>
      </c>
      <c r="AO15" s="144">
        <f t="shared" si="1"/>
        <v>47905.300000000017</v>
      </c>
      <c r="AP15" s="144">
        <f t="shared" si="2"/>
        <v>49342.459000000003</v>
      </c>
    </row>
    <row r="16" spans="1:42" x14ac:dyDescent="0.2">
      <c r="A16" s="148" t="s">
        <v>380</v>
      </c>
      <c r="B16" s="149" t="s">
        <v>72</v>
      </c>
      <c r="C16" s="150" t="s">
        <v>275</v>
      </c>
      <c r="D16" s="151">
        <f>IF(D6&gt;=3,'ARCHIVE_Control Tower'!$B$45/12*D8,0)</f>
        <v>0</v>
      </c>
      <c r="E16" s="151">
        <f>IF(E6&gt;=3,'ARCHIVE_Control Tower'!$B$45/12*E8,0)</f>
        <v>0</v>
      </c>
      <c r="F16" s="151">
        <f>IF(F6&gt;=3,'ARCHIVE_Control Tower'!$B$45/12*F8,0)</f>
        <v>3814.25</v>
      </c>
      <c r="G16" s="151">
        <f>IF(G6&gt;=3,'ARCHIVE_Control Tower'!$B$45/12*G8,0)</f>
        <v>3814.25</v>
      </c>
      <c r="H16" s="151">
        <f>IF(H6&gt;=3,'ARCHIVE_Control Tower'!$B$45/12*H8,0)</f>
        <v>3814.25</v>
      </c>
      <c r="I16" s="151">
        <f>IF(I6&gt;=3,'ARCHIVE_Control Tower'!$B$45/12*I8,0)</f>
        <v>3814.25</v>
      </c>
      <c r="J16" s="151">
        <f>IF(J6&gt;=3,'ARCHIVE_Control Tower'!$B$45/12*J8,0)</f>
        <v>3814.25</v>
      </c>
      <c r="K16" s="151">
        <f>IF(K6&gt;=3,'ARCHIVE_Control Tower'!$B$45/12*K8,0)</f>
        <v>3814.25</v>
      </c>
      <c r="L16" s="151">
        <f>IF(L6&gt;=3,'ARCHIVE_Control Tower'!$B$45/12*L8,0)</f>
        <v>3814.25</v>
      </c>
      <c r="M16" s="151">
        <f>IF(M6&gt;=3,'ARCHIVE_Control Tower'!$B$45/12*M8,0)</f>
        <v>3814.25</v>
      </c>
      <c r="N16" s="151">
        <f>IF(N6&gt;=3,'ARCHIVE_Control Tower'!$B$45/12*N8,0)</f>
        <v>3814.25</v>
      </c>
      <c r="O16" s="151">
        <f>IF(O6&gt;=3,'ARCHIVE_Control Tower'!$B$45/12*O8,0)</f>
        <v>3814.25</v>
      </c>
      <c r="P16" s="151">
        <f>IF(P6&gt;=3,'ARCHIVE_Control Tower'!$B$45/12*P8,0)</f>
        <v>3928.6775000000002</v>
      </c>
      <c r="Q16" s="151">
        <f>IF(Q6&gt;=3,'ARCHIVE_Control Tower'!$B$45/12*Q8,0)</f>
        <v>3928.6775000000002</v>
      </c>
      <c r="R16" s="151">
        <f>IF(R6&gt;=3,'ARCHIVE_Control Tower'!$B$45/12*R8,0)</f>
        <v>3928.6775000000002</v>
      </c>
      <c r="S16" s="151">
        <f>IF(S6&gt;=3,'ARCHIVE_Control Tower'!$B$45/12*S8,0)</f>
        <v>3928.6775000000002</v>
      </c>
      <c r="T16" s="151">
        <f>IF(T6&gt;=3,'ARCHIVE_Control Tower'!$B$45/12*T8,0)</f>
        <v>3928.6775000000002</v>
      </c>
      <c r="U16" s="151">
        <f>IF(U6&gt;=3,'ARCHIVE_Control Tower'!$B$45/12*U8,0)</f>
        <v>3928.6775000000002</v>
      </c>
      <c r="V16" s="151">
        <f>IF(V6&gt;=3,'ARCHIVE_Control Tower'!$B$45/12*V8,0)</f>
        <v>3928.6775000000002</v>
      </c>
      <c r="W16" s="151">
        <f>IF(W6&gt;=3,'ARCHIVE_Control Tower'!$B$45/12*W8,0)</f>
        <v>3928.6775000000002</v>
      </c>
      <c r="X16" s="151">
        <f>IF(X6&gt;=3,'ARCHIVE_Control Tower'!$B$45/12*X8,0)</f>
        <v>3928.6775000000002</v>
      </c>
      <c r="Y16" s="151">
        <f>IF(Y6&gt;=3,'ARCHIVE_Control Tower'!$B$45/12*Y8,0)</f>
        <v>3928.6775000000002</v>
      </c>
      <c r="Z16" s="151">
        <f>IF(Z6&gt;=3,'ARCHIVE_Control Tower'!$B$45/12*Z8,0)</f>
        <v>3928.6775000000002</v>
      </c>
      <c r="AA16" s="151">
        <f>IF(AA6&gt;=3,'ARCHIVE_Control Tower'!$B$45/12*AA8,0)</f>
        <v>3928.6775000000002</v>
      </c>
      <c r="AB16" s="151">
        <f>IF(AB6&gt;=3,'ARCHIVE_Control Tower'!$B$45/12*AB8,0)</f>
        <v>4046.5378249999999</v>
      </c>
      <c r="AC16" s="151">
        <f>IF(AC6&gt;=3,'ARCHIVE_Control Tower'!$B$45/12*AC8,0)</f>
        <v>4046.5378249999999</v>
      </c>
      <c r="AD16" s="151">
        <f>IF(AD6&gt;=3,'ARCHIVE_Control Tower'!$B$45/12*AD8,0)</f>
        <v>4046.5378249999999</v>
      </c>
      <c r="AE16" s="151">
        <f>IF(AE6&gt;=3,'ARCHIVE_Control Tower'!$B$45/12*AE8,0)</f>
        <v>4046.5378249999999</v>
      </c>
      <c r="AF16" s="151">
        <f>IF(AF6&gt;=3,'ARCHIVE_Control Tower'!$B$45/12*AF8,0)</f>
        <v>4046.5378249999999</v>
      </c>
      <c r="AG16" s="151">
        <f>IF(AG6&gt;=3,'ARCHIVE_Control Tower'!$B$45/12*AG8,0)</f>
        <v>4046.5378249999999</v>
      </c>
      <c r="AH16" s="151">
        <f>IF(AH6&gt;=3,'ARCHIVE_Control Tower'!$B$45/12*AH8,0)</f>
        <v>4046.5378249999999</v>
      </c>
      <c r="AI16" s="151">
        <f>IF(AI6&gt;=3,'ARCHIVE_Control Tower'!$B$45/12*AI8,0)</f>
        <v>4046.5378249999999</v>
      </c>
      <c r="AJ16" s="151">
        <f>IF(AJ6&gt;=3,'ARCHIVE_Control Tower'!$B$45/12*AJ8,0)</f>
        <v>4046.5378249999999</v>
      </c>
      <c r="AK16" s="151">
        <f>IF(AK6&gt;=3,'ARCHIVE_Control Tower'!$B$45/12*AK8,0)</f>
        <v>4046.5378249999999</v>
      </c>
      <c r="AL16" s="151">
        <f>IF(AL6&gt;=3,'ARCHIVE_Control Tower'!$B$45/12*AL8,0)</f>
        <v>4046.5378249999999</v>
      </c>
      <c r="AM16" s="151">
        <f>IF(AM6&gt;=3,'ARCHIVE_Control Tower'!$B$45/12*AM8,0)</f>
        <v>4046.5378249999999</v>
      </c>
      <c r="AN16" s="144">
        <f t="shared" si="0"/>
        <v>38142.5</v>
      </c>
      <c r="AO16" s="144">
        <f t="shared" si="1"/>
        <v>47144.13</v>
      </c>
      <c r="AP16" s="144">
        <f t="shared" si="2"/>
        <v>48558.4539</v>
      </c>
    </row>
    <row r="17" spans="1:42" x14ac:dyDescent="0.2">
      <c r="A17" s="148" t="s">
        <v>381</v>
      </c>
      <c r="B17" s="149" t="s">
        <v>72</v>
      </c>
      <c r="C17" s="150" t="s">
        <v>382</v>
      </c>
      <c r="D17" s="151">
        <f>MAX(0,D10-((IF(D6&gt;=1,1,0))+(IF(D6&gt;=3,1,0))))*'ARCHIVE_Control Tower'!$B$48/12*D8</f>
        <v>3845.0416666666665</v>
      </c>
      <c r="E17" s="151">
        <f>MAX(0,E10-((IF(E6&gt;=1,1,0))+(IF(E6&gt;=3,1,0))))*'ARCHIVE_Control Tower'!$B$48/12*E8</f>
        <v>3845.0416666666665</v>
      </c>
      <c r="F17" s="151">
        <f>MAX(0,F10-((IF(F6&gt;=1,1,0))+(IF(F6&gt;=3,1,0))))*'ARCHIVE_Control Tower'!$B$48/12*F8</f>
        <v>0</v>
      </c>
      <c r="G17" s="151">
        <f>MAX(0,G10-((IF(G6&gt;=1,1,0))+(IF(G6&gt;=3,1,0))))*'ARCHIVE_Control Tower'!$B$48/12*G8</f>
        <v>0</v>
      </c>
      <c r="H17" s="151">
        <f>MAX(0,H10-((IF(H6&gt;=1,1,0))+(IF(H6&gt;=3,1,0))))*'ARCHIVE_Control Tower'!$B$48/12*H8</f>
        <v>0</v>
      </c>
      <c r="I17" s="151">
        <f>MAX(0,I10-((IF(I6&gt;=1,1,0))+(IF(I6&gt;=3,1,0))))*'ARCHIVE_Control Tower'!$B$48/12*I8</f>
        <v>0</v>
      </c>
      <c r="J17" s="151">
        <f>MAX(0,J10-((IF(J6&gt;=1,1,0))+(IF(J6&gt;=3,1,0))))*'ARCHIVE_Control Tower'!$B$48/12*J8</f>
        <v>3845.0416666666665</v>
      </c>
      <c r="K17" s="151">
        <f>MAX(0,K10-((IF(K6&gt;=1,1,0))+(IF(K6&gt;=3,1,0))))*'ARCHIVE_Control Tower'!$B$48/12*K8</f>
        <v>3845.0416666666665</v>
      </c>
      <c r="L17" s="151">
        <f>MAX(0,L10-((IF(L6&gt;=1,1,0))+(IF(L6&gt;=3,1,0))))*'ARCHIVE_Control Tower'!$B$48/12*L8</f>
        <v>3845.0416666666665</v>
      </c>
      <c r="M17" s="151">
        <f>MAX(0,M10-((IF(M6&gt;=1,1,0))+(IF(M6&gt;=3,1,0))))*'ARCHIVE_Control Tower'!$B$48/12*M8</f>
        <v>3845.0416666666665</v>
      </c>
      <c r="N17" s="151">
        <f>MAX(0,N10-((IF(N6&gt;=1,1,0))+(IF(N6&gt;=3,1,0))))*'ARCHIVE_Control Tower'!$B$48/12*N8</f>
        <v>3845.0416666666665</v>
      </c>
      <c r="O17" s="151">
        <f>MAX(0,O10-((IF(O6&gt;=1,1,0))+(IF(O6&gt;=3,1,0))))*'ARCHIVE_Control Tower'!$B$48/12*O8</f>
        <v>3845.0416666666665</v>
      </c>
      <c r="P17" s="151">
        <f>MAX(0,P10-((IF(P6&gt;=1,1,0))+(IF(P6&gt;=3,1,0))))*'ARCHIVE_Control Tower'!$B$48/12*P8</f>
        <v>3960.3929166666667</v>
      </c>
      <c r="Q17" s="151">
        <f>MAX(0,Q10-((IF(Q6&gt;=1,1,0))+(IF(Q6&gt;=3,1,0))))*'ARCHIVE_Control Tower'!$B$48/12*Q8</f>
        <v>3960.3929166666667</v>
      </c>
      <c r="R17" s="151">
        <f>MAX(0,R10-((IF(R6&gt;=1,1,0))+(IF(R6&gt;=3,1,0))))*'ARCHIVE_Control Tower'!$B$48/12*R8</f>
        <v>7920.7858333333334</v>
      </c>
      <c r="S17" s="151">
        <f>MAX(0,S10-((IF(S6&gt;=1,1,0))+(IF(S6&gt;=3,1,0))))*'ARCHIVE_Control Tower'!$B$48/12*S8</f>
        <v>7920.7858333333334</v>
      </c>
      <c r="T17" s="151">
        <f>MAX(0,T10-((IF(T6&gt;=1,1,0))+(IF(T6&gt;=3,1,0))))*'ARCHIVE_Control Tower'!$B$48/12*T8</f>
        <v>7920.7858333333334</v>
      </c>
      <c r="U17" s="151">
        <f>MAX(0,U10-((IF(U6&gt;=1,1,0))+(IF(U6&gt;=3,1,0))))*'ARCHIVE_Control Tower'!$B$48/12*U8</f>
        <v>7920.7858333333334</v>
      </c>
      <c r="V17" s="151">
        <f>MAX(0,V10-((IF(V6&gt;=1,1,0))+(IF(V6&gt;=3,1,0))))*'ARCHIVE_Control Tower'!$B$48/12*V8</f>
        <v>7920.7858333333334</v>
      </c>
      <c r="W17" s="151">
        <f>MAX(0,W10-((IF(W6&gt;=1,1,0))+(IF(W6&gt;=3,1,0))))*'ARCHIVE_Control Tower'!$B$48/12*W8</f>
        <v>7920.7858333333334</v>
      </c>
      <c r="X17" s="151">
        <f>MAX(0,X10-((IF(X6&gt;=1,1,0))+(IF(X6&gt;=3,1,0))))*'ARCHIVE_Control Tower'!$B$48/12*X8</f>
        <v>7920.7858333333334</v>
      </c>
      <c r="Y17" s="151">
        <f>MAX(0,Y10-((IF(Y6&gt;=1,1,0))+(IF(Y6&gt;=3,1,0))))*'ARCHIVE_Control Tower'!$B$48/12*Y8</f>
        <v>7920.7858333333334</v>
      </c>
      <c r="Z17" s="151">
        <f>MAX(0,Z10-((IF(Z6&gt;=1,1,0))+(IF(Z6&gt;=3,1,0))))*'ARCHIVE_Control Tower'!$B$48/12*Z8</f>
        <v>11881.178750000001</v>
      </c>
      <c r="AA17" s="151">
        <f>MAX(0,AA10-((IF(AA6&gt;=1,1,0))+(IF(AA6&gt;=3,1,0))))*'ARCHIVE_Control Tower'!$B$48/12*AA8</f>
        <v>11881.178750000001</v>
      </c>
      <c r="AB17" s="151">
        <f>MAX(0,AB10-((IF(AB6&gt;=1,1,0))+(IF(AB6&gt;=3,1,0))))*'ARCHIVE_Control Tower'!$B$48/12*AB8</f>
        <v>12237.614112499999</v>
      </c>
      <c r="AC17" s="151">
        <f>MAX(0,AC10-((IF(AC6&gt;=1,1,0))+(IF(AC6&gt;=3,1,0))))*'ARCHIVE_Control Tower'!$B$48/12*AC8</f>
        <v>12237.614112499999</v>
      </c>
      <c r="AD17" s="151">
        <f>MAX(0,AD10-((IF(AD6&gt;=1,1,0))+(IF(AD6&gt;=3,1,0))))*'ARCHIVE_Control Tower'!$B$48/12*AD8</f>
        <v>12237.614112499999</v>
      </c>
      <c r="AE17" s="151">
        <f>MAX(0,AE10-((IF(AE6&gt;=1,1,0))+(IF(AE6&gt;=3,1,0))))*'ARCHIVE_Control Tower'!$B$48/12*AE8</f>
        <v>12237.614112499999</v>
      </c>
      <c r="AF17" s="151">
        <f>MAX(0,AF10-((IF(AF6&gt;=1,1,0))+(IF(AF6&gt;=3,1,0))))*'ARCHIVE_Control Tower'!$B$48/12*AF8</f>
        <v>12237.614112499999</v>
      </c>
      <c r="AG17" s="151">
        <f>MAX(0,AG10-((IF(AG6&gt;=1,1,0))+(IF(AG6&gt;=3,1,0))))*'ARCHIVE_Control Tower'!$B$48/12*AG8</f>
        <v>12237.614112499999</v>
      </c>
      <c r="AH17" s="151">
        <f>MAX(0,AH10-((IF(AH6&gt;=1,1,0))+(IF(AH6&gt;=3,1,0))))*'ARCHIVE_Control Tower'!$B$48/12*AH8</f>
        <v>12237.614112499999</v>
      </c>
      <c r="AI17" s="151">
        <f>MAX(0,AI10-((IF(AI6&gt;=1,1,0))+(IF(AI6&gt;=3,1,0))))*'ARCHIVE_Control Tower'!$B$48/12*AI8</f>
        <v>12237.614112499999</v>
      </c>
      <c r="AJ17" s="151">
        <f>MAX(0,AJ10-((IF(AJ6&gt;=1,1,0))+(IF(AJ6&gt;=3,1,0))))*'ARCHIVE_Control Tower'!$B$48/12*AJ8</f>
        <v>12237.614112499999</v>
      </c>
      <c r="AK17" s="151">
        <f>MAX(0,AK10-((IF(AK6&gt;=1,1,0))+(IF(AK6&gt;=3,1,0))))*'ARCHIVE_Control Tower'!$B$48/12*AK8</f>
        <v>12237.614112499999</v>
      </c>
      <c r="AL17" s="151">
        <f>MAX(0,AL10-((IF(AL6&gt;=1,1,0))+(IF(AL6&gt;=3,1,0))))*'ARCHIVE_Control Tower'!$B$48/12*AL8</f>
        <v>12237.614112499999</v>
      </c>
      <c r="AM17" s="151">
        <f>MAX(0,AM10-((IF(AM6&gt;=1,1,0))+(IF(AM6&gt;=3,1,0))))*'ARCHIVE_Control Tower'!$B$48/12*AM8</f>
        <v>12237.614112499999</v>
      </c>
      <c r="AN17" s="144">
        <f t="shared" si="0"/>
        <v>30760.333333333336</v>
      </c>
      <c r="AO17" s="144">
        <f t="shared" si="1"/>
        <v>95049.430000000022</v>
      </c>
      <c r="AP17" s="144">
        <f t="shared" si="2"/>
        <v>146851.36934999999</v>
      </c>
    </row>
    <row r="18" spans="1:42" x14ac:dyDescent="0.2">
      <c r="A18" s="145" t="s">
        <v>383</v>
      </c>
      <c r="B18" s="142"/>
      <c r="C18" s="142"/>
      <c r="D18" s="144">
        <f t="shared" ref="D18:AM18" si="3">SUM(D12:D17)</f>
        <v>13971.291666666666</v>
      </c>
      <c r="E18" s="144">
        <f t="shared" si="3"/>
        <v>20429.875</v>
      </c>
      <c r="F18" s="144">
        <f t="shared" si="3"/>
        <v>20399.083333333332</v>
      </c>
      <c r="G18" s="144">
        <f t="shared" si="3"/>
        <v>20399.083333333332</v>
      </c>
      <c r="H18" s="144">
        <f t="shared" si="3"/>
        <v>20399.083333333332</v>
      </c>
      <c r="I18" s="144">
        <f t="shared" si="3"/>
        <v>20399.083333333332</v>
      </c>
      <c r="J18" s="144">
        <f t="shared" si="3"/>
        <v>24244.125</v>
      </c>
      <c r="K18" s="144">
        <f t="shared" si="3"/>
        <v>24244.125</v>
      </c>
      <c r="L18" s="144">
        <f t="shared" si="3"/>
        <v>24244.125</v>
      </c>
      <c r="M18" s="144">
        <f t="shared" si="3"/>
        <v>24244.125</v>
      </c>
      <c r="N18" s="144">
        <f t="shared" si="3"/>
        <v>30598.625</v>
      </c>
      <c r="O18" s="144">
        <f t="shared" si="3"/>
        <v>30598.625</v>
      </c>
      <c r="P18" s="144">
        <f t="shared" si="3"/>
        <v>31516.583750000002</v>
      </c>
      <c r="Q18" s="144">
        <f t="shared" si="3"/>
        <v>31516.583750000002</v>
      </c>
      <c r="R18" s="144">
        <f t="shared" si="3"/>
        <v>35476.976666666669</v>
      </c>
      <c r="S18" s="144">
        <f t="shared" si="3"/>
        <v>35476.976666666669</v>
      </c>
      <c r="T18" s="144">
        <f t="shared" si="3"/>
        <v>35476.976666666669</v>
      </c>
      <c r="U18" s="144">
        <f t="shared" si="3"/>
        <v>35476.976666666669</v>
      </c>
      <c r="V18" s="144">
        <f t="shared" si="3"/>
        <v>35476.976666666669</v>
      </c>
      <c r="W18" s="144">
        <f t="shared" si="3"/>
        <v>35476.976666666669</v>
      </c>
      <c r="X18" s="144">
        <f t="shared" si="3"/>
        <v>42022.111666666671</v>
      </c>
      <c r="Y18" s="144">
        <f t="shared" si="3"/>
        <v>42022.111666666671</v>
      </c>
      <c r="Z18" s="144">
        <f t="shared" si="3"/>
        <v>45982.504583333335</v>
      </c>
      <c r="AA18" s="144">
        <f t="shared" si="3"/>
        <v>45982.504583333335</v>
      </c>
      <c r="AB18" s="144">
        <f t="shared" si="3"/>
        <v>47361.979720833333</v>
      </c>
      <c r="AC18" s="144">
        <f t="shared" si="3"/>
        <v>47361.979720833333</v>
      </c>
      <c r="AD18" s="144">
        <f t="shared" si="3"/>
        <v>47361.979720833333</v>
      </c>
      <c r="AE18" s="144">
        <f t="shared" si="3"/>
        <v>47361.979720833333</v>
      </c>
      <c r="AF18" s="144">
        <f t="shared" si="3"/>
        <v>47361.979720833333</v>
      </c>
      <c r="AG18" s="144">
        <f t="shared" si="3"/>
        <v>47361.979720833333</v>
      </c>
      <c r="AH18" s="144">
        <f t="shared" si="3"/>
        <v>47361.979720833333</v>
      </c>
      <c r="AI18" s="144">
        <f t="shared" si="3"/>
        <v>47361.979720833333</v>
      </c>
      <c r="AJ18" s="144">
        <f t="shared" si="3"/>
        <v>47361.979720833333</v>
      </c>
      <c r="AK18" s="144">
        <f t="shared" si="3"/>
        <v>47361.979720833333</v>
      </c>
      <c r="AL18" s="144">
        <f t="shared" si="3"/>
        <v>47361.979720833333</v>
      </c>
      <c r="AM18" s="144">
        <f t="shared" si="3"/>
        <v>47361.979720833333</v>
      </c>
      <c r="AN18" s="144">
        <f t="shared" si="0"/>
        <v>274171.25</v>
      </c>
      <c r="AO18" s="144">
        <f t="shared" si="1"/>
        <v>451904.26000000013</v>
      </c>
      <c r="AP18" s="144">
        <f t="shared" si="2"/>
        <v>568343.75665000011</v>
      </c>
    </row>
    <row r="19" spans="1:42" x14ac:dyDescent="0.2">
      <c r="A19" s="3" t="s">
        <v>384</v>
      </c>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row>
    <row r="20" spans="1:42" x14ac:dyDescent="0.2">
      <c r="A20" s="148" t="s">
        <v>191</v>
      </c>
      <c r="B20" s="149" t="s">
        <v>38</v>
      </c>
      <c r="C20" s="150" t="s">
        <v>270</v>
      </c>
      <c r="D20" s="151">
        <f>D7*'ARCHIVE_Control Tower'!$B$24*'ARCHIVE_Control Tower'!$B$25</f>
        <v>900</v>
      </c>
      <c r="E20" s="151">
        <f>E7*'ARCHIVE_Control Tower'!$B$24*'ARCHIVE_Control Tower'!$B$25</f>
        <v>1019.9999999999999</v>
      </c>
      <c r="F20" s="151">
        <f>F7*'ARCHIVE_Control Tower'!$B$24*'ARCHIVE_Control Tower'!$B$25</f>
        <v>1080</v>
      </c>
      <c r="G20" s="151">
        <f>G7*'ARCHIVE_Control Tower'!$B$24*'ARCHIVE_Control Tower'!$B$25</f>
        <v>1200</v>
      </c>
      <c r="H20" s="151">
        <f>H7*'ARCHIVE_Control Tower'!$B$24*'ARCHIVE_Control Tower'!$B$25</f>
        <v>1320</v>
      </c>
      <c r="I20" s="151">
        <f>I7*'ARCHIVE_Control Tower'!$B$24*'ARCHIVE_Control Tower'!$B$25</f>
        <v>1380</v>
      </c>
      <c r="J20" s="151">
        <f>J7*'ARCHIVE_Control Tower'!$B$24*'ARCHIVE_Control Tower'!$B$25</f>
        <v>1500</v>
      </c>
      <c r="K20" s="151">
        <f>K7*'ARCHIVE_Control Tower'!$B$24*'ARCHIVE_Control Tower'!$B$25</f>
        <v>1560</v>
      </c>
      <c r="L20" s="151">
        <f>L7*'ARCHIVE_Control Tower'!$B$24*'ARCHIVE_Control Tower'!$B$25</f>
        <v>1680</v>
      </c>
      <c r="M20" s="151">
        <f>M7*'ARCHIVE_Control Tower'!$B$24*'ARCHIVE_Control Tower'!$B$25</f>
        <v>1800</v>
      </c>
      <c r="N20" s="151">
        <f>N7*'ARCHIVE_Control Tower'!$B$24*'ARCHIVE_Control Tower'!$B$25</f>
        <v>1859.9999999999998</v>
      </c>
      <c r="O20" s="151">
        <f>O7*'ARCHIVE_Control Tower'!$B$24*'ARCHIVE_Control Tower'!$B$25</f>
        <v>1980</v>
      </c>
      <c r="P20" s="151">
        <f>P7*'ARCHIVE_Control Tower'!$B$24*'ARCHIVE_Control Tower'!$B$25</f>
        <v>2039.9999999999998</v>
      </c>
      <c r="Q20" s="151">
        <f>Q7*'ARCHIVE_Control Tower'!$B$24*'ARCHIVE_Control Tower'!$B$25</f>
        <v>2160</v>
      </c>
      <c r="R20" s="151">
        <f>R7*'ARCHIVE_Control Tower'!$B$24*'ARCHIVE_Control Tower'!$B$25</f>
        <v>2220</v>
      </c>
      <c r="S20" s="151">
        <f>S7*'ARCHIVE_Control Tower'!$B$24*'ARCHIVE_Control Tower'!$B$25</f>
        <v>2340</v>
      </c>
      <c r="T20" s="151">
        <f>T7*'ARCHIVE_Control Tower'!$B$24*'ARCHIVE_Control Tower'!$B$25</f>
        <v>2400</v>
      </c>
      <c r="U20" s="151">
        <f>U7*'ARCHIVE_Control Tower'!$B$24*'ARCHIVE_Control Tower'!$B$25</f>
        <v>2520</v>
      </c>
      <c r="V20" s="151">
        <f>V7*'ARCHIVE_Control Tower'!$B$24*'ARCHIVE_Control Tower'!$B$25</f>
        <v>2580</v>
      </c>
      <c r="W20" s="151">
        <f>W7*'ARCHIVE_Control Tower'!$B$24*'ARCHIVE_Control Tower'!$B$25</f>
        <v>2640</v>
      </c>
      <c r="X20" s="151">
        <f>X7*'ARCHIVE_Control Tower'!$B$24*'ARCHIVE_Control Tower'!$B$25</f>
        <v>2760</v>
      </c>
      <c r="Y20" s="151">
        <f>Y7*'ARCHIVE_Control Tower'!$B$24*'ARCHIVE_Control Tower'!$B$25</f>
        <v>2820</v>
      </c>
      <c r="Z20" s="151">
        <f>Z7*'ARCHIVE_Control Tower'!$B$24*'ARCHIVE_Control Tower'!$B$25</f>
        <v>2940</v>
      </c>
      <c r="AA20" s="151">
        <f>AA7*'ARCHIVE_Control Tower'!$B$24*'ARCHIVE_Control Tower'!$B$25</f>
        <v>3000</v>
      </c>
      <c r="AB20" s="151">
        <f>AB7*'ARCHIVE_Control Tower'!$B$24*'ARCHIVE_Control Tower'!$B$25</f>
        <v>3060</v>
      </c>
      <c r="AC20" s="151">
        <f>AC7*'ARCHIVE_Control Tower'!$B$24*'ARCHIVE_Control Tower'!$B$25</f>
        <v>3120</v>
      </c>
      <c r="AD20" s="151">
        <f>AD7*'ARCHIVE_Control Tower'!$B$24*'ARCHIVE_Control Tower'!$B$25</f>
        <v>3120</v>
      </c>
      <c r="AE20" s="151">
        <f>AE7*'ARCHIVE_Control Tower'!$B$24*'ARCHIVE_Control Tower'!$B$25</f>
        <v>3179.9999999999995</v>
      </c>
      <c r="AF20" s="151">
        <f>AF7*'ARCHIVE_Control Tower'!$B$24*'ARCHIVE_Control Tower'!$B$25</f>
        <v>3240</v>
      </c>
      <c r="AG20" s="151">
        <f>AG7*'ARCHIVE_Control Tower'!$B$24*'ARCHIVE_Control Tower'!$B$25</f>
        <v>3300</v>
      </c>
      <c r="AH20" s="151">
        <f>AH7*'ARCHIVE_Control Tower'!$B$24*'ARCHIVE_Control Tower'!$B$25</f>
        <v>3360</v>
      </c>
      <c r="AI20" s="151">
        <f>AI7*'ARCHIVE_Control Tower'!$B$24*'ARCHIVE_Control Tower'!$B$25</f>
        <v>3419.9999999999995</v>
      </c>
      <c r="AJ20" s="151">
        <f>AJ7*'ARCHIVE_Control Tower'!$B$24*'ARCHIVE_Control Tower'!$B$25</f>
        <v>3479.9999999999995</v>
      </c>
      <c r="AK20" s="151">
        <f>AK7*'ARCHIVE_Control Tower'!$B$24*'ARCHIVE_Control Tower'!$B$25</f>
        <v>3479.9999999999995</v>
      </c>
      <c r="AL20" s="151">
        <f>AL7*'ARCHIVE_Control Tower'!$B$24*'ARCHIVE_Control Tower'!$B$25</f>
        <v>3540</v>
      </c>
      <c r="AM20" s="151">
        <f>AM7*'ARCHIVE_Control Tower'!$B$24*'ARCHIVE_Control Tower'!$B$25</f>
        <v>3600</v>
      </c>
      <c r="AN20" s="144">
        <f>SUM(D20:O20)</f>
        <v>17280</v>
      </c>
      <c r="AO20" s="144">
        <f>SUM(P20:AA20)</f>
        <v>30420</v>
      </c>
      <c r="AP20" s="144">
        <f>SUM(AB20:AM20)</f>
        <v>39900</v>
      </c>
    </row>
    <row r="21" spans="1:42" x14ac:dyDescent="0.2">
      <c r="A21" s="148" t="s">
        <v>385</v>
      </c>
      <c r="B21" s="149" t="s">
        <v>43</v>
      </c>
      <c r="C21" s="150" t="s">
        <v>270</v>
      </c>
      <c r="D21" s="151">
        <f>D7*'ARCHIVE_Control Tower'!$B$26*'ARCHIVE_Control Tower'!$B$27</f>
        <v>843.75</v>
      </c>
      <c r="E21" s="151">
        <f>E7*'ARCHIVE_Control Tower'!$B$26*'ARCHIVE_Control Tower'!$B$27</f>
        <v>956.25</v>
      </c>
      <c r="F21" s="151">
        <f>F7*'ARCHIVE_Control Tower'!$B$26*'ARCHIVE_Control Tower'!$B$27</f>
        <v>1012.5</v>
      </c>
      <c r="G21" s="151">
        <f>G7*'ARCHIVE_Control Tower'!$B$26*'ARCHIVE_Control Tower'!$B$27</f>
        <v>1125</v>
      </c>
      <c r="H21" s="151">
        <f>H7*'ARCHIVE_Control Tower'!$B$26*'ARCHIVE_Control Tower'!$B$27</f>
        <v>1237.5</v>
      </c>
      <c r="I21" s="151">
        <f>I7*'ARCHIVE_Control Tower'!$B$26*'ARCHIVE_Control Tower'!$B$27</f>
        <v>1293.75</v>
      </c>
      <c r="J21" s="151">
        <f>J7*'ARCHIVE_Control Tower'!$B$26*'ARCHIVE_Control Tower'!$B$27</f>
        <v>1406.25</v>
      </c>
      <c r="K21" s="151">
        <f>K7*'ARCHIVE_Control Tower'!$B$26*'ARCHIVE_Control Tower'!$B$27</f>
        <v>1462.5</v>
      </c>
      <c r="L21" s="151">
        <f>L7*'ARCHIVE_Control Tower'!$B$26*'ARCHIVE_Control Tower'!$B$27</f>
        <v>1575</v>
      </c>
      <c r="M21" s="151">
        <f>M7*'ARCHIVE_Control Tower'!$B$26*'ARCHIVE_Control Tower'!$B$27</f>
        <v>1687.5</v>
      </c>
      <c r="N21" s="151">
        <f>N7*'ARCHIVE_Control Tower'!$B$26*'ARCHIVE_Control Tower'!$B$27</f>
        <v>1743.75</v>
      </c>
      <c r="O21" s="151">
        <f>O7*'ARCHIVE_Control Tower'!$B$26*'ARCHIVE_Control Tower'!$B$27</f>
        <v>1856.25</v>
      </c>
      <c r="P21" s="151">
        <f>P7*'ARCHIVE_Control Tower'!$B$26*'ARCHIVE_Control Tower'!$B$27</f>
        <v>1912.5</v>
      </c>
      <c r="Q21" s="151">
        <f>Q7*'ARCHIVE_Control Tower'!$B$26*'ARCHIVE_Control Tower'!$B$27</f>
        <v>2025</v>
      </c>
      <c r="R21" s="151">
        <f>R7*'ARCHIVE_Control Tower'!$B$26*'ARCHIVE_Control Tower'!$B$27</f>
        <v>2081.25</v>
      </c>
      <c r="S21" s="151">
        <f>S7*'ARCHIVE_Control Tower'!$B$26*'ARCHIVE_Control Tower'!$B$27</f>
        <v>2193.75</v>
      </c>
      <c r="T21" s="151">
        <f>T7*'ARCHIVE_Control Tower'!$B$26*'ARCHIVE_Control Tower'!$B$27</f>
        <v>2250</v>
      </c>
      <c r="U21" s="151">
        <f>U7*'ARCHIVE_Control Tower'!$B$26*'ARCHIVE_Control Tower'!$B$27</f>
        <v>2362.5</v>
      </c>
      <c r="V21" s="151">
        <f>V7*'ARCHIVE_Control Tower'!$B$26*'ARCHIVE_Control Tower'!$B$27</f>
        <v>2418.75</v>
      </c>
      <c r="W21" s="151">
        <f>W7*'ARCHIVE_Control Tower'!$B$26*'ARCHIVE_Control Tower'!$B$27</f>
        <v>2475</v>
      </c>
      <c r="X21" s="151">
        <f>X7*'ARCHIVE_Control Tower'!$B$26*'ARCHIVE_Control Tower'!$B$27</f>
        <v>2587.5</v>
      </c>
      <c r="Y21" s="151">
        <f>Y7*'ARCHIVE_Control Tower'!$B$26*'ARCHIVE_Control Tower'!$B$27</f>
        <v>2643.75</v>
      </c>
      <c r="Z21" s="151">
        <f>Z7*'ARCHIVE_Control Tower'!$B$26*'ARCHIVE_Control Tower'!$B$27</f>
        <v>2756.25</v>
      </c>
      <c r="AA21" s="151">
        <f>AA7*'ARCHIVE_Control Tower'!$B$26*'ARCHIVE_Control Tower'!$B$27</f>
        <v>2812.5</v>
      </c>
      <c r="AB21" s="151">
        <f>AB7*'ARCHIVE_Control Tower'!$B$26*'ARCHIVE_Control Tower'!$B$27</f>
        <v>2868.75</v>
      </c>
      <c r="AC21" s="151">
        <f>AC7*'ARCHIVE_Control Tower'!$B$26*'ARCHIVE_Control Tower'!$B$27</f>
        <v>2925</v>
      </c>
      <c r="AD21" s="151">
        <f>AD7*'ARCHIVE_Control Tower'!$B$26*'ARCHIVE_Control Tower'!$B$27</f>
        <v>2925</v>
      </c>
      <c r="AE21" s="151">
        <f>AE7*'ARCHIVE_Control Tower'!$B$26*'ARCHIVE_Control Tower'!$B$27</f>
        <v>2981.25</v>
      </c>
      <c r="AF21" s="151">
        <f>AF7*'ARCHIVE_Control Tower'!$B$26*'ARCHIVE_Control Tower'!$B$27</f>
        <v>3037.5</v>
      </c>
      <c r="AG21" s="151">
        <f>AG7*'ARCHIVE_Control Tower'!$B$26*'ARCHIVE_Control Tower'!$B$27</f>
        <v>3093.75</v>
      </c>
      <c r="AH21" s="151">
        <f>AH7*'ARCHIVE_Control Tower'!$B$26*'ARCHIVE_Control Tower'!$B$27</f>
        <v>3150</v>
      </c>
      <c r="AI21" s="151">
        <f>AI7*'ARCHIVE_Control Tower'!$B$26*'ARCHIVE_Control Tower'!$B$27</f>
        <v>3206.25</v>
      </c>
      <c r="AJ21" s="151">
        <f>AJ7*'ARCHIVE_Control Tower'!$B$26*'ARCHIVE_Control Tower'!$B$27</f>
        <v>3262.5</v>
      </c>
      <c r="AK21" s="151">
        <f>AK7*'ARCHIVE_Control Tower'!$B$26*'ARCHIVE_Control Tower'!$B$27</f>
        <v>3262.5</v>
      </c>
      <c r="AL21" s="151">
        <f>AL7*'ARCHIVE_Control Tower'!$B$26*'ARCHIVE_Control Tower'!$B$27</f>
        <v>3318.75</v>
      </c>
      <c r="AM21" s="151">
        <f>AM7*'ARCHIVE_Control Tower'!$B$26*'ARCHIVE_Control Tower'!$B$27</f>
        <v>3375</v>
      </c>
      <c r="AN21" s="144">
        <f>SUM(D21:O21)</f>
        <v>16200</v>
      </c>
      <c r="AO21" s="144">
        <f>SUM(P21:AA21)</f>
        <v>28518.75</v>
      </c>
      <c r="AP21" s="144">
        <f>SUM(AB21:AM21)</f>
        <v>37406.25</v>
      </c>
    </row>
    <row r="22" spans="1:42" x14ac:dyDescent="0.2">
      <c r="A22" s="148" t="s">
        <v>386</v>
      </c>
      <c r="B22" s="149" t="s">
        <v>48</v>
      </c>
      <c r="C22" s="150" t="s">
        <v>270</v>
      </c>
      <c r="D22" s="151">
        <f>D7*'ARCHIVE_Control Tower'!$B$28*'ARCHIVE_Control Tower'!$B$29</f>
        <v>1125</v>
      </c>
      <c r="E22" s="151">
        <f>E7*'ARCHIVE_Control Tower'!$B$28*'ARCHIVE_Control Tower'!$B$29</f>
        <v>1275</v>
      </c>
      <c r="F22" s="151">
        <f>F7*'ARCHIVE_Control Tower'!$B$28*'ARCHIVE_Control Tower'!$B$29</f>
        <v>1350</v>
      </c>
      <c r="G22" s="151">
        <f>G7*'ARCHIVE_Control Tower'!$B$28*'ARCHIVE_Control Tower'!$B$29</f>
        <v>1500</v>
      </c>
      <c r="H22" s="151">
        <f>H7*'ARCHIVE_Control Tower'!$B$28*'ARCHIVE_Control Tower'!$B$29</f>
        <v>1650</v>
      </c>
      <c r="I22" s="151">
        <f>I7*'ARCHIVE_Control Tower'!$B$28*'ARCHIVE_Control Tower'!$B$29</f>
        <v>1725</v>
      </c>
      <c r="J22" s="151">
        <f>J7*'ARCHIVE_Control Tower'!$B$28*'ARCHIVE_Control Tower'!$B$29</f>
        <v>1875</v>
      </c>
      <c r="K22" s="151">
        <f>K7*'ARCHIVE_Control Tower'!$B$28*'ARCHIVE_Control Tower'!$B$29</f>
        <v>1950</v>
      </c>
      <c r="L22" s="151">
        <f>L7*'ARCHIVE_Control Tower'!$B$28*'ARCHIVE_Control Tower'!$B$29</f>
        <v>2100</v>
      </c>
      <c r="M22" s="151">
        <f>M7*'ARCHIVE_Control Tower'!$B$28*'ARCHIVE_Control Tower'!$B$29</f>
        <v>2250</v>
      </c>
      <c r="N22" s="151">
        <f>N7*'ARCHIVE_Control Tower'!$B$28*'ARCHIVE_Control Tower'!$B$29</f>
        <v>2325</v>
      </c>
      <c r="O22" s="151">
        <f>O7*'ARCHIVE_Control Tower'!$B$28*'ARCHIVE_Control Tower'!$B$29</f>
        <v>2475</v>
      </c>
      <c r="P22" s="151">
        <f>P7*'ARCHIVE_Control Tower'!$B$28*'ARCHIVE_Control Tower'!$B$29</f>
        <v>2550</v>
      </c>
      <c r="Q22" s="151">
        <f>Q7*'ARCHIVE_Control Tower'!$B$28*'ARCHIVE_Control Tower'!$B$29</f>
        <v>2700</v>
      </c>
      <c r="R22" s="151">
        <f>R7*'ARCHIVE_Control Tower'!$B$28*'ARCHIVE_Control Tower'!$B$29</f>
        <v>2775</v>
      </c>
      <c r="S22" s="151">
        <f>S7*'ARCHIVE_Control Tower'!$B$28*'ARCHIVE_Control Tower'!$B$29</f>
        <v>2925</v>
      </c>
      <c r="T22" s="151">
        <f>T7*'ARCHIVE_Control Tower'!$B$28*'ARCHIVE_Control Tower'!$B$29</f>
        <v>3000</v>
      </c>
      <c r="U22" s="151">
        <f>U7*'ARCHIVE_Control Tower'!$B$28*'ARCHIVE_Control Tower'!$B$29</f>
        <v>3150</v>
      </c>
      <c r="V22" s="151">
        <f>V7*'ARCHIVE_Control Tower'!$B$28*'ARCHIVE_Control Tower'!$B$29</f>
        <v>3225</v>
      </c>
      <c r="W22" s="151">
        <f>W7*'ARCHIVE_Control Tower'!$B$28*'ARCHIVE_Control Tower'!$B$29</f>
        <v>3300</v>
      </c>
      <c r="X22" s="151">
        <f>X7*'ARCHIVE_Control Tower'!$B$28*'ARCHIVE_Control Tower'!$B$29</f>
        <v>3450</v>
      </c>
      <c r="Y22" s="151">
        <f>Y7*'ARCHIVE_Control Tower'!$B$28*'ARCHIVE_Control Tower'!$B$29</f>
        <v>3525</v>
      </c>
      <c r="Z22" s="151">
        <f>Z7*'ARCHIVE_Control Tower'!$B$28*'ARCHIVE_Control Tower'!$B$29</f>
        <v>3675</v>
      </c>
      <c r="AA22" s="151">
        <f>AA7*'ARCHIVE_Control Tower'!$B$28*'ARCHIVE_Control Tower'!$B$29</f>
        <v>3750</v>
      </c>
      <c r="AB22" s="151">
        <f>AB7*'ARCHIVE_Control Tower'!$B$28*'ARCHIVE_Control Tower'!$B$29</f>
        <v>3825</v>
      </c>
      <c r="AC22" s="151">
        <f>AC7*'ARCHIVE_Control Tower'!$B$28*'ARCHIVE_Control Tower'!$B$29</f>
        <v>3900</v>
      </c>
      <c r="AD22" s="151">
        <f>AD7*'ARCHIVE_Control Tower'!$B$28*'ARCHIVE_Control Tower'!$B$29</f>
        <v>3900</v>
      </c>
      <c r="AE22" s="151">
        <f>AE7*'ARCHIVE_Control Tower'!$B$28*'ARCHIVE_Control Tower'!$B$29</f>
        <v>3975</v>
      </c>
      <c r="AF22" s="151">
        <f>AF7*'ARCHIVE_Control Tower'!$B$28*'ARCHIVE_Control Tower'!$B$29</f>
        <v>4050</v>
      </c>
      <c r="AG22" s="151">
        <f>AG7*'ARCHIVE_Control Tower'!$B$28*'ARCHIVE_Control Tower'!$B$29</f>
        <v>4125</v>
      </c>
      <c r="AH22" s="151">
        <f>AH7*'ARCHIVE_Control Tower'!$B$28*'ARCHIVE_Control Tower'!$B$29</f>
        <v>4200</v>
      </c>
      <c r="AI22" s="151">
        <f>AI7*'ARCHIVE_Control Tower'!$B$28*'ARCHIVE_Control Tower'!$B$29</f>
        <v>4275</v>
      </c>
      <c r="AJ22" s="151">
        <f>AJ7*'ARCHIVE_Control Tower'!$B$28*'ARCHIVE_Control Tower'!$B$29</f>
        <v>4350</v>
      </c>
      <c r="AK22" s="151">
        <f>AK7*'ARCHIVE_Control Tower'!$B$28*'ARCHIVE_Control Tower'!$B$29</f>
        <v>4350</v>
      </c>
      <c r="AL22" s="151">
        <f>AL7*'ARCHIVE_Control Tower'!$B$28*'ARCHIVE_Control Tower'!$B$29</f>
        <v>4425</v>
      </c>
      <c r="AM22" s="151">
        <f>AM7*'ARCHIVE_Control Tower'!$B$28*'ARCHIVE_Control Tower'!$B$29</f>
        <v>4500</v>
      </c>
      <c r="AN22" s="144">
        <f>SUM(D22:O22)</f>
        <v>21600</v>
      </c>
      <c r="AO22" s="144">
        <f>SUM(P22:AA22)</f>
        <v>38025</v>
      </c>
      <c r="AP22" s="144">
        <f>SUM(AB22:AM22)</f>
        <v>49875</v>
      </c>
    </row>
    <row r="23" spans="1:42" x14ac:dyDescent="0.2">
      <c r="A23" s="148" t="s">
        <v>387</v>
      </c>
      <c r="B23" s="149" t="s">
        <v>52</v>
      </c>
      <c r="C23" s="150" t="s">
        <v>270</v>
      </c>
      <c r="D23" s="151">
        <f>D7*'ARCHIVE_Control Tower'!$B$30*'ARCHIVE_Control Tower'!$B$31</f>
        <v>450</v>
      </c>
      <c r="E23" s="151">
        <f>E7*'ARCHIVE_Control Tower'!$B$30*'ARCHIVE_Control Tower'!$B$31</f>
        <v>509.99999999999994</v>
      </c>
      <c r="F23" s="151">
        <f>F7*'ARCHIVE_Control Tower'!$B$30*'ARCHIVE_Control Tower'!$B$31</f>
        <v>540</v>
      </c>
      <c r="G23" s="151">
        <f>G7*'ARCHIVE_Control Tower'!$B$30*'ARCHIVE_Control Tower'!$B$31</f>
        <v>600</v>
      </c>
      <c r="H23" s="151">
        <f>H7*'ARCHIVE_Control Tower'!$B$30*'ARCHIVE_Control Tower'!$B$31</f>
        <v>660</v>
      </c>
      <c r="I23" s="151">
        <f>I7*'ARCHIVE_Control Tower'!$B$30*'ARCHIVE_Control Tower'!$B$31</f>
        <v>690</v>
      </c>
      <c r="J23" s="151">
        <f>J7*'ARCHIVE_Control Tower'!$B$30*'ARCHIVE_Control Tower'!$B$31</f>
        <v>750</v>
      </c>
      <c r="K23" s="151">
        <f>K7*'ARCHIVE_Control Tower'!$B$30*'ARCHIVE_Control Tower'!$B$31</f>
        <v>780</v>
      </c>
      <c r="L23" s="151">
        <f>L7*'ARCHIVE_Control Tower'!$B$30*'ARCHIVE_Control Tower'!$B$31</f>
        <v>840</v>
      </c>
      <c r="M23" s="151">
        <f>M7*'ARCHIVE_Control Tower'!$B$30*'ARCHIVE_Control Tower'!$B$31</f>
        <v>900</v>
      </c>
      <c r="N23" s="151">
        <f>N7*'ARCHIVE_Control Tower'!$B$30*'ARCHIVE_Control Tower'!$B$31</f>
        <v>929.99999999999989</v>
      </c>
      <c r="O23" s="151">
        <f>O7*'ARCHIVE_Control Tower'!$B$30*'ARCHIVE_Control Tower'!$B$31</f>
        <v>990</v>
      </c>
      <c r="P23" s="151">
        <f>P7*'ARCHIVE_Control Tower'!$B$30*'ARCHIVE_Control Tower'!$B$31</f>
        <v>1019.9999999999999</v>
      </c>
      <c r="Q23" s="151">
        <f>Q7*'ARCHIVE_Control Tower'!$B$30*'ARCHIVE_Control Tower'!$B$31</f>
        <v>1080</v>
      </c>
      <c r="R23" s="151">
        <f>R7*'ARCHIVE_Control Tower'!$B$30*'ARCHIVE_Control Tower'!$B$31</f>
        <v>1110</v>
      </c>
      <c r="S23" s="151">
        <f>S7*'ARCHIVE_Control Tower'!$B$30*'ARCHIVE_Control Tower'!$B$31</f>
        <v>1170</v>
      </c>
      <c r="T23" s="151">
        <f>T7*'ARCHIVE_Control Tower'!$B$30*'ARCHIVE_Control Tower'!$B$31</f>
        <v>1200</v>
      </c>
      <c r="U23" s="151">
        <f>U7*'ARCHIVE_Control Tower'!$B$30*'ARCHIVE_Control Tower'!$B$31</f>
        <v>1260</v>
      </c>
      <c r="V23" s="151">
        <f>V7*'ARCHIVE_Control Tower'!$B$30*'ARCHIVE_Control Tower'!$B$31</f>
        <v>1290</v>
      </c>
      <c r="W23" s="151">
        <f>W7*'ARCHIVE_Control Tower'!$B$30*'ARCHIVE_Control Tower'!$B$31</f>
        <v>1320</v>
      </c>
      <c r="X23" s="151">
        <f>X7*'ARCHIVE_Control Tower'!$B$30*'ARCHIVE_Control Tower'!$B$31</f>
        <v>1380</v>
      </c>
      <c r="Y23" s="151">
        <f>Y7*'ARCHIVE_Control Tower'!$B$30*'ARCHIVE_Control Tower'!$B$31</f>
        <v>1410</v>
      </c>
      <c r="Z23" s="151">
        <f>Z7*'ARCHIVE_Control Tower'!$B$30*'ARCHIVE_Control Tower'!$B$31</f>
        <v>1470</v>
      </c>
      <c r="AA23" s="151">
        <f>AA7*'ARCHIVE_Control Tower'!$B$30*'ARCHIVE_Control Tower'!$B$31</f>
        <v>1500</v>
      </c>
      <c r="AB23" s="151">
        <f>AB7*'ARCHIVE_Control Tower'!$B$30*'ARCHIVE_Control Tower'!$B$31</f>
        <v>1530</v>
      </c>
      <c r="AC23" s="151">
        <f>AC7*'ARCHIVE_Control Tower'!$B$30*'ARCHIVE_Control Tower'!$B$31</f>
        <v>1560</v>
      </c>
      <c r="AD23" s="151">
        <f>AD7*'ARCHIVE_Control Tower'!$B$30*'ARCHIVE_Control Tower'!$B$31</f>
        <v>1560</v>
      </c>
      <c r="AE23" s="151">
        <f>AE7*'ARCHIVE_Control Tower'!$B$30*'ARCHIVE_Control Tower'!$B$31</f>
        <v>1589.9999999999998</v>
      </c>
      <c r="AF23" s="151">
        <f>AF7*'ARCHIVE_Control Tower'!$B$30*'ARCHIVE_Control Tower'!$B$31</f>
        <v>1620</v>
      </c>
      <c r="AG23" s="151">
        <f>AG7*'ARCHIVE_Control Tower'!$B$30*'ARCHIVE_Control Tower'!$B$31</f>
        <v>1650</v>
      </c>
      <c r="AH23" s="151">
        <f>AH7*'ARCHIVE_Control Tower'!$B$30*'ARCHIVE_Control Tower'!$B$31</f>
        <v>1680</v>
      </c>
      <c r="AI23" s="151">
        <f>AI7*'ARCHIVE_Control Tower'!$B$30*'ARCHIVE_Control Tower'!$B$31</f>
        <v>1709.9999999999998</v>
      </c>
      <c r="AJ23" s="151">
        <f>AJ7*'ARCHIVE_Control Tower'!$B$30*'ARCHIVE_Control Tower'!$B$31</f>
        <v>1739.9999999999998</v>
      </c>
      <c r="AK23" s="151">
        <f>AK7*'ARCHIVE_Control Tower'!$B$30*'ARCHIVE_Control Tower'!$B$31</f>
        <v>1739.9999999999998</v>
      </c>
      <c r="AL23" s="151">
        <f>AL7*'ARCHIVE_Control Tower'!$B$30*'ARCHIVE_Control Tower'!$B$31</f>
        <v>1770</v>
      </c>
      <c r="AM23" s="151">
        <f>AM7*'ARCHIVE_Control Tower'!$B$30*'ARCHIVE_Control Tower'!$B$31</f>
        <v>1800</v>
      </c>
      <c r="AN23" s="144">
        <f>SUM(D23:O23)</f>
        <v>8640</v>
      </c>
      <c r="AO23" s="144">
        <f>SUM(P23:AA23)</f>
        <v>15210</v>
      </c>
      <c r="AP23" s="144">
        <f>SUM(AB23:AM23)</f>
        <v>19950</v>
      </c>
    </row>
    <row r="24" spans="1:42" x14ac:dyDescent="0.2">
      <c r="A24" s="145" t="s">
        <v>388</v>
      </c>
      <c r="B24" s="142"/>
      <c r="C24" s="142"/>
      <c r="D24" s="144">
        <f t="shared" ref="D24:AM24" si="4">SUM(D20:D23)</f>
        <v>3318.75</v>
      </c>
      <c r="E24" s="144">
        <f t="shared" si="4"/>
        <v>3761.25</v>
      </c>
      <c r="F24" s="144">
        <f t="shared" si="4"/>
        <v>3982.5</v>
      </c>
      <c r="G24" s="144">
        <f t="shared" si="4"/>
        <v>4425</v>
      </c>
      <c r="H24" s="144">
        <f t="shared" si="4"/>
        <v>4867.5</v>
      </c>
      <c r="I24" s="144">
        <f t="shared" si="4"/>
        <v>5088.75</v>
      </c>
      <c r="J24" s="144">
        <f t="shared" si="4"/>
        <v>5531.25</v>
      </c>
      <c r="K24" s="144">
        <f t="shared" si="4"/>
        <v>5752.5</v>
      </c>
      <c r="L24" s="144">
        <f t="shared" si="4"/>
        <v>6195</v>
      </c>
      <c r="M24" s="144">
        <f t="shared" si="4"/>
        <v>6637.5</v>
      </c>
      <c r="N24" s="144">
        <f t="shared" si="4"/>
        <v>6858.75</v>
      </c>
      <c r="O24" s="144">
        <f t="shared" si="4"/>
        <v>7301.25</v>
      </c>
      <c r="P24" s="144">
        <f t="shared" si="4"/>
        <v>7522.5</v>
      </c>
      <c r="Q24" s="144">
        <f t="shared" si="4"/>
        <v>7965</v>
      </c>
      <c r="R24" s="144">
        <f t="shared" si="4"/>
        <v>8186.25</v>
      </c>
      <c r="S24" s="144">
        <f t="shared" si="4"/>
        <v>8628.75</v>
      </c>
      <c r="T24" s="144">
        <f t="shared" si="4"/>
        <v>8850</v>
      </c>
      <c r="U24" s="144">
        <f t="shared" si="4"/>
        <v>9292.5</v>
      </c>
      <c r="V24" s="144">
        <f t="shared" si="4"/>
        <v>9513.75</v>
      </c>
      <c r="W24" s="144">
        <f t="shared" si="4"/>
        <v>9735</v>
      </c>
      <c r="X24" s="144">
        <f t="shared" si="4"/>
        <v>10177.5</v>
      </c>
      <c r="Y24" s="144">
        <f t="shared" si="4"/>
        <v>10398.75</v>
      </c>
      <c r="Z24" s="144">
        <f t="shared" si="4"/>
        <v>10841.25</v>
      </c>
      <c r="AA24" s="144">
        <f t="shared" si="4"/>
        <v>11062.5</v>
      </c>
      <c r="AB24" s="144">
        <f t="shared" si="4"/>
        <v>11283.75</v>
      </c>
      <c r="AC24" s="144">
        <f t="shared" si="4"/>
        <v>11505</v>
      </c>
      <c r="AD24" s="144">
        <f t="shared" si="4"/>
        <v>11505</v>
      </c>
      <c r="AE24" s="144">
        <f t="shared" si="4"/>
        <v>11726.25</v>
      </c>
      <c r="AF24" s="144">
        <f t="shared" si="4"/>
        <v>11947.5</v>
      </c>
      <c r="AG24" s="144">
        <f t="shared" si="4"/>
        <v>12168.75</v>
      </c>
      <c r="AH24" s="144">
        <f t="shared" si="4"/>
        <v>12390</v>
      </c>
      <c r="AI24" s="144">
        <f t="shared" si="4"/>
        <v>12611.25</v>
      </c>
      <c r="AJ24" s="144">
        <f t="shared" si="4"/>
        <v>12832.5</v>
      </c>
      <c r="AK24" s="144">
        <f t="shared" si="4"/>
        <v>12832.5</v>
      </c>
      <c r="AL24" s="144">
        <f t="shared" si="4"/>
        <v>13053.75</v>
      </c>
      <c r="AM24" s="144">
        <f t="shared" si="4"/>
        <v>13275</v>
      </c>
      <c r="AN24" s="144">
        <f>SUM(D24:O24)</f>
        <v>63720</v>
      </c>
      <c r="AO24" s="144">
        <f>SUM(P24:AA24)</f>
        <v>112173.75</v>
      </c>
      <c r="AP24" s="144">
        <f>SUM(AB24:AM24)</f>
        <v>147131.25</v>
      </c>
    </row>
    <row r="25" spans="1:42" x14ac:dyDescent="0.2">
      <c r="A25" s="3" t="s">
        <v>389</v>
      </c>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row>
    <row r="26" spans="1:42" x14ac:dyDescent="0.2">
      <c r="A26" s="148" t="s">
        <v>390</v>
      </c>
      <c r="B26" s="149" t="s">
        <v>67</v>
      </c>
      <c r="C26" s="150" t="s">
        <v>270</v>
      </c>
      <c r="D26" s="151">
        <f>IF(D6&gt;=1,'ARCHIVE_Control Tower'!$B$39/12*D8,0)</f>
        <v>10000</v>
      </c>
      <c r="E26" s="151">
        <f>IF(E6&gt;=1,'ARCHIVE_Control Tower'!$B$39/12*E8,0)</f>
        <v>10000</v>
      </c>
      <c r="F26" s="151">
        <f>IF(F6&gt;=1,'ARCHIVE_Control Tower'!$B$39/12*F8,0)</f>
        <v>10000</v>
      </c>
      <c r="G26" s="151">
        <f>IF(G6&gt;=1,'ARCHIVE_Control Tower'!$B$39/12*G8,0)</f>
        <v>10000</v>
      </c>
      <c r="H26" s="151">
        <f>IF(H6&gt;=1,'ARCHIVE_Control Tower'!$B$39/12*H8,0)</f>
        <v>10000</v>
      </c>
      <c r="I26" s="151">
        <f>IF(I6&gt;=1,'ARCHIVE_Control Tower'!$B$39/12*I8,0)</f>
        <v>10000</v>
      </c>
      <c r="J26" s="151">
        <f>IF(J6&gt;=1,'ARCHIVE_Control Tower'!$B$39/12*J8,0)</f>
        <v>10000</v>
      </c>
      <c r="K26" s="151">
        <f>IF(K6&gt;=1,'ARCHIVE_Control Tower'!$B$39/12*K8,0)</f>
        <v>10000</v>
      </c>
      <c r="L26" s="151">
        <f>IF(L6&gt;=1,'ARCHIVE_Control Tower'!$B$39/12*L8,0)</f>
        <v>10000</v>
      </c>
      <c r="M26" s="151">
        <f>IF(M6&gt;=1,'ARCHIVE_Control Tower'!$B$39/12*M8,0)</f>
        <v>10000</v>
      </c>
      <c r="N26" s="151">
        <f>IF(N6&gt;=1,'ARCHIVE_Control Tower'!$B$39/12*N8,0)</f>
        <v>10000</v>
      </c>
      <c r="O26" s="151">
        <f>IF(O6&gt;=1,'ARCHIVE_Control Tower'!$B$39/12*O8,0)</f>
        <v>10000</v>
      </c>
      <c r="P26" s="151">
        <f>IF(P6&gt;=1,'ARCHIVE_Control Tower'!$B$39/12*P8,0)</f>
        <v>10300</v>
      </c>
      <c r="Q26" s="151">
        <f>IF(Q6&gt;=1,'ARCHIVE_Control Tower'!$B$39/12*Q8,0)</f>
        <v>10300</v>
      </c>
      <c r="R26" s="151">
        <f>IF(R6&gt;=1,'ARCHIVE_Control Tower'!$B$39/12*R8,0)</f>
        <v>10300</v>
      </c>
      <c r="S26" s="151">
        <f>IF(S6&gt;=1,'ARCHIVE_Control Tower'!$B$39/12*S8,0)</f>
        <v>10300</v>
      </c>
      <c r="T26" s="151">
        <f>IF(T6&gt;=1,'ARCHIVE_Control Tower'!$B$39/12*T8,0)</f>
        <v>10300</v>
      </c>
      <c r="U26" s="151">
        <f>IF(U6&gt;=1,'ARCHIVE_Control Tower'!$B$39/12*U8,0)</f>
        <v>10300</v>
      </c>
      <c r="V26" s="151">
        <f>IF(V6&gt;=1,'ARCHIVE_Control Tower'!$B$39/12*V8,0)</f>
        <v>10300</v>
      </c>
      <c r="W26" s="151">
        <f>IF(W6&gt;=1,'ARCHIVE_Control Tower'!$B$39/12*W8,0)</f>
        <v>10300</v>
      </c>
      <c r="X26" s="151">
        <f>IF(X6&gt;=1,'ARCHIVE_Control Tower'!$B$39/12*X8,0)</f>
        <v>10300</v>
      </c>
      <c r="Y26" s="151">
        <f>IF(Y6&gt;=1,'ARCHIVE_Control Tower'!$B$39/12*Y8,0)</f>
        <v>10300</v>
      </c>
      <c r="Z26" s="151">
        <f>IF(Z6&gt;=1,'ARCHIVE_Control Tower'!$B$39/12*Z8,0)</f>
        <v>10300</v>
      </c>
      <c r="AA26" s="151">
        <f>IF(AA6&gt;=1,'ARCHIVE_Control Tower'!$B$39/12*AA8,0)</f>
        <v>10300</v>
      </c>
      <c r="AB26" s="151">
        <f>IF(AB6&gt;=1,'ARCHIVE_Control Tower'!$B$39/12*AB8,0)</f>
        <v>10609</v>
      </c>
      <c r="AC26" s="151">
        <f>IF(AC6&gt;=1,'ARCHIVE_Control Tower'!$B$39/12*AC8,0)</f>
        <v>10609</v>
      </c>
      <c r="AD26" s="151">
        <f>IF(AD6&gt;=1,'ARCHIVE_Control Tower'!$B$39/12*AD8,0)</f>
        <v>10609</v>
      </c>
      <c r="AE26" s="151">
        <f>IF(AE6&gt;=1,'ARCHIVE_Control Tower'!$B$39/12*AE8,0)</f>
        <v>10609</v>
      </c>
      <c r="AF26" s="151">
        <f>IF(AF6&gt;=1,'ARCHIVE_Control Tower'!$B$39/12*AF8,0)</f>
        <v>10609</v>
      </c>
      <c r="AG26" s="151">
        <f>IF(AG6&gt;=1,'ARCHIVE_Control Tower'!$B$39/12*AG8,0)</f>
        <v>10609</v>
      </c>
      <c r="AH26" s="151">
        <f>IF(AH6&gt;=1,'ARCHIVE_Control Tower'!$B$39/12*AH8,0)</f>
        <v>10609</v>
      </c>
      <c r="AI26" s="151">
        <f>IF(AI6&gt;=1,'ARCHIVE_Control Tower'!$B$39/12*AI8,0)</f>
        <v>10609</v>
      </c>
      <c r="AJ26" s="151">
        <f>IF(AJ6&gt;=1,'ARCHIVE_Control Tower'!$B$39/12*AJ8,0)</f>
        <v>10609</v>
      </c>
      <c r="AK26" s="151">
        <f>IF(AK6&gt;=1,'ARCHIVE_Control Tower'!$B$39/12*AK8,0)</f>
        <v>10609</v>
      </c>
      <c r="AL26" s="151">
        <f>IF(AL6&gt;=1,'ARCHIVE_Control Tower'!$B$39/12*AL8,0)</f>
        <v>10609</v>
      </c>
      <c r="AM26" s="151">
        <f>IF(AM6&gt;=1,'ARCHIVE_Control Tower'!$B$39/12*AM8,0)</f>
        <v>10609</v>
      </c>
      <c r="AN26" s="144">
        <f>SUM(D26:O26)</f>
        <v>120000</v>
      </c>
      <c r="AO26" s="144">
        <f>SUM(P26:AA26)</f>
        <v>123600</v>
      </c>
      <c r="AP26" s="144">
        <f>SUM(AB26:AM26)</f>
        <v>127308</v>
      </c>
    </row>
    <row r="27" spans="1:42" x14ac:dyDescent="0.2">
      <c r="A27" s="148" t="s">
        <v>391</v>
      </c>
      <c r="B27" s="149" t="s">
        <v>75</v>
      </c>
      <c r="C27" s="150" t="s">
        <v>273</v>
      </c>
      <c r="D27" s="151">
        <f>IF(D6&gt;=2,'ARCHIVE_Control Tower'!$B$43/12*D8,0)</f>
        <v>0</v>
      </c>
      <c r="E27" s="151">
        <f>IF(E6&gt;=2,'ARCHIVE_Control Tower'!$B$43/12*E8,0)</f>
        <v>4166.666666666667</v>
      </c>
      <c r="F27" s="151">
        <f>IF(F6&gt;=2,'ARCHIVE_Control Tower'!$B$43/12*F8,0)</f>
        <v>4166.666666666667</v>
      </c>
      <c r="G27" s="151">
        <f>IF(G6&gt;=2,'ARCHIVE_Control Tower'!$B$43/12*G8,0)</f>
        <v>4166.666666666667</v>
      </c>
      <c r="H27" s="151">
        <f>IF(H6&gt;=2,'ARCHIVE_Control Tower'!$B$43/12*H8,0)</f>
        <v>4166.666666666667</v>
      </c>
      <c r="I27" s="151">
        <f>IF(I6&gt;=2,'ARCHIVE_Control Tower'!$B$43/12*I8,0)</f>
        <v>4166.666666666667</v>
      </c>
      <c r="J27" s="151">
        <f>IF(J6&gt;=2,'ARCHIVE_Control Tower'!$B$43/12*J8,0)</f>
        <v>4166.666666666667</v>
      </c>
      <c r="K27" s="151">
        <f>IF(K6&gt;=2,'ARCHIVE_Control Tower'!$B$43/12*K8,0)</f>
        <v>4166.666666666667</v>
      </c>
      <c r="L27" s="151">
        <f>IF(L6&gt;=2,'ARCHIVE_Control Tower'!$B$43/12*L8,0)</f>
        <v>4166.666666666667</v>
      </c>
      <c r="M27" s="151">
        <f>IF(M6&gt;=2,'ARCHIVE_Control Tower'!$B$43/12*M8,0)</f>
        <v>4166.666666666667</v>
      </c>
      <c r="N27" s="151">
        <f>IF(N6&gt;=2,'ARCHIVE_Control Tower'!$B$43/12*N8,0)</f>
        <v>4166.666666666667</v>
      </c>
      <c r="O27" s="151">
        <f>IF(O6&gt;=2,'ARCHIVE_Control Tower'!$B$43/12*O8,0)</f>
        <v>4166.666666666667</v>
      </c>
      <c r="P27" s="151">
        <f>IF(P6&gt;=2,'ARCHIVE_Control Tower'!$B$43/12*P8,0)</f>
        <v>4291.666666666667</v>
      </c>
      <c r="Q27" s="151">
        <f>IF(Q6&gt;=2,'ARCHIVE_Control Tower'!$B$43/12*Q8,0)</f>
        <v>4291.666666666667</v>
      </c>
      <c r="R27" s="151">
        <f>IF(R6&gt;=2,'ARCHIVE_Control Tower'!$B$43/12*R8,0)</f>
        <v>4291.666666666667</v>
      </c>
      <c r="S27" s="151">
        <f>IF(S6&gt;=2,'ARCHIVE_Control Tower'!$B$43/12*S8,0)</f>
        <v>4291.666666666667</v>
      </c>
      <c r="T27" s="151">
        <f>IF(T6&gt;=2,'ARCHIVE_Control Tower'!$B$43/12*T8,0)</f>
        <v>4291.666666666667</v>
      </c>
      <c r="U27" s="151">
        <f>IF(U6&gt;=2,'ARCHIVE_Control Tower'!$B$43/12*U8,0)</f>
        <v>4291.666666666667</v>
      </c>
      <c r="V27" s="151">
        <f>IF(V6&gt;=2,'ARCHIVE_Control Tower'!$B$43/12*V8,0)</f>
        <v>4291.666666666667</v>
      </c>
      <c r="W27" s="151">
        <f>IF(W6&gt;=2,'ARCHIVE_Control Tower'!$B$43/12*W8,0)</f>
        <v>4291.666666666667</v>
      </c>
      <c r="X27" s="151">
        <f>IF(X6&gt;=2,'ARCHIVE_Control Tower'!$B$43/12*X8,0)</f>
        <v>4291.666666666667</v>
      </c>
      <c r="Y27" s="151">
        <f>IF(Y6&gt;=2,'ARCHIVE_Control Tower'!$B$43/12*Y8,0)</f>
        <v>4291.666666666667</v>
      </c>
      <c r="Z27" s="151">
        <f>IF(Z6&gt;=2,'ARCHIVE_Control Tower'!$B$43/12*Z8,0)</f>
        <v>4291.666666666667</v>
      </c>
      <c r="AA27" s="151">
        <f>IF(AA6&gt;=2,'ARCHIVE_Control Tower'!$B$43/12*AA8,0)</f>
        <v>4291.666666666667</v>
      </c>
      <c r="AB27" s="151">
        <f>IF(AB6&gt;=2,'ARCHIVE_Control Tower'!$B$43/12*AB8,0)</f>
        <v>4420.416666666667</v>
      </c>
      <c r="AC27" s="151">
        <f>IF(AC6&gt;=2,'ARCHIVE_Control Tower'!$B$43/12*AC8,0)</f>
        <v>4420.416666666667</v>
      </c>
      <c r="AD27" s="151">
        <f>IF(AD6&gt;=2,'ARCHIVE_Control Tower'!$B$43/12*AD8,0)</f>
        <v>4420.416666666667</v>
      </c>
      <c r="AE27" s="151">
        <f>IF(AE6&gt;=2,'ARCHIVE_Control Tower'!$B$43/12*AE8,0)</f>
        <v>4420.416666666667</v>
      </c>
      <c r="AF27" s="151">
        <f>IF(AF6&gt;=2,'ARCHIVE_Control Tower'!$B$43/12*AF8,0)</f>
        <v>4420.416666666667</v>
      </c>
      <c r="AG27" s="151">
        <f>IF(AG6&gt;=2,'ARCHIVE_Control Tower'!$B$43/12*AG8,0)</f>
        <v>4420.416666666667</v>
      </c>
      <c r="AH27" s="151">
        <f>IF(AH6&gt;=2,'ARCHIVE_Control Tower'!$B$43/12*AH8,0)</f>
        <v>4420.416666666667</v>
      </c>
      <c r="AI27" s="151">
        <f>IF(AI6&gt;=2,'ARCHIVE_Control Tower'!$B$43/12*AI8,0)</f>
        <v>4420.416666666667</v>
      </c>
      <c r="AJ27" s="151">
        <f>IF(AJ6&gt;=2,'ARCHIVE_Control Tower'!$B$43/12*AJ8,0)</f>
        <v>4420.416666666667</v>
      </c>
      <c r="AK27" s="151">
        <f>IF(AK6&gt;=2,'ARCHIVE_Control Tower'!$B$43/12*AK8,0)</f>
        <v>4420.416666666667</v>
      </c>
      <c r="AL27" s="151">
        <f>IF(AL6&gt;=2,'ARCHIVE_Control Tower'!$B$43/12*AL8,0)</f>
        <v>4420.416666666667</v>
      </c>
      <c r="AM27" s="151">
        <f>IF(AM6&gt;=2,'ARCHIVE_Control Tower'!$B$43/12*AM8,0)</f>
        <v>4420.416666666667</v>
      </c>
      <c r="AN27" s="144">
        <f>SUM(D27:O27)</f>
        <v>45833.333333333328</v>
      </c>
      <c r="AO27" s="144">
        <f>SUM(P27:AA27)</f>
        <v>51499.999999999993</v>
      </c>
      <c r="AP27" s="144">
        <f>SUM(AB27:AM27)</f>
        <v>53044.999999999993</v>
      </c>
    </row>
    <row r="28" spans="1:42" x14ac:dyDescent="0.2">
      <c r="A28" s="148" t="s">
        <v>392</v>
      </c>
      <c r="B28" s="149" t="s">
        <v>82</v>
      </c>
      <c r="C28" s="150" t="s">
        <v>275</v>
      </c>
      <c r="D28" s="151">
        <f>IF(D6&gt;=3,'ARCHIVE_Control Tower'!$B$46/12*D8,0)</f>
        <v>0</v>
      </c>
      <c r="E28" s="151">
        <f>IF(E6&gt;=3,'ARCHIVE_Control Tower'!$B$46/12*E8,0)</f>
        <v>0</v>
      </c>
      <c r="F28" s="151">
        <f>IF(F6&gt;=3,'ARCHIVE_Control Tower'!$B$46/12*F8,0)</f>
        <v>12500</v>
      </c>
      <c r="G28" s="151">
        <f>IF(G6&gt;=3,'ARCHIVE_Control Tower'!$B$46/12*G8,0)</f>
        <v>12500</v>
      </c>
      <c r="H28" s="151">
        <f>IF(H6&gt;=3,'ARCHIVE_Control Tower'!$B$46/12*H8,0)</f>
        <v>12500</v>
      </c>
      <c r="I28" s="151">
        <f>IF(I6&gt;=3,'ARCHIVE_Control Tower'!$B$46/12*I8,0)</f>
        <v>12500</v>
      </c>
      <c r="J28" s="151">
        <f>IF(J6&gt;=3,'ARCHIVE_Control Tower'!$B$46/12*J8,0)</f>
        <v>12500</v>
      </c>
      <c r="K28" s="151">
        <f>IF(K6&gt;=3,'ARCHIVE_Control Tower'!$B$46/12*K8,0)</f>
        <v>12500</v>
      </c>
      <c r="L28" s="151">
        <f>IF(L6&gt;=3,'ARCHIVE_Control Tower'!$B$46/12*L8,0)</f>
        <v>12500</v>
      </c>
      <c r="M28" s="151">
        <f>IF(M6&gt;=3,'ARCHIVE_Control Tower'!$B$46/12*M8,0)</f>
        <v>12500</v>
      </c>
      <c r="N28" s="151">
        <f>IF(N6&gt;=3,'ARCHIVE_Control Tower'!$B$46/12*N8,0)</f>
        <v>12500</v>
      </c>
      <c r="O28" s="151">
        <f>IF(O6&gt;=3,'ARCHIVE_Control Tower'!$B$46/12*O8,0)</f>
        <v>12500</v>
      </c>
      <c r="P28" s="151">
        <f>IF(P6&gt;=3,'ARCHIVE_Control Tower'!$B$46/12*P8,0)</f>
        <v>12875</v>
      </c>
      <c r="Q28" s="151">
        <f>IF(Q6&gt;=3,'ARCHIVE_Control Tower'!$B$46/12*Q8,0)</f>
        <v>12875</v>
      </c>
      <c r="R28" s="151">
        <f>IF(R6&gt;=3,'ARCHIVE_Control Tower'!$B$46/12*R8,0)</f>
        <v>12875</v>
      </c>
      <c r="S28" s="151">
        <f>IF(S6&gt;=3,'ARCHIVE_Control Tower'!$B$46/12*S8,0)</f>
        <v>12875</v>
      </c>
      <c r="T28" s="151">
        <f>IF(T6&gt;=3,'ARCHIVE_Control Tower'!$B$46/12*T8,0)</f>
        <v>12875</v>
      </c>
      <c r="U28" s="151">
        <f>IF(U6&gt;=3,'ARCHIVE_Control Tower'!$B$46/12*U8,0)</f>
        <v>12875</v>
      </c>
      <c r="V28" s="151">
        <f>IF(V6&gt;=3,'ARCHIVE_Control Tower'!$B$46/12*V8,0)</f>
        <v>12875</v>
      </c>
      <c r="W28" s="151">
        <f>IF(W6&gt;=3,'ARCHIVE_Control Tower'!$B$46/12*W8,0)</f>
        <v>12875</v>
      </c>
      <c r="X28" s="151">
        <f>IF(X6&gt;=3,'ARCHIVE_Control Tower'!$B$46/12*X8,0)</f>
        <v>12875</v>
      </c>
      <c r="Y28" s="151">
        <f>IF(Y6&gt;=3,'ARCHIVE_Control Tower'!$B$46/12*Y8,0)</f>
        <v>12875</v>
      </c>
      <c r="Z28" s="151">
        <f>IF(Z6&gt;=3,'ARCHIVE_Control Tower'!$B$46/12*Z8,0)</f>
        <v>12875</v>
      </c>
      <c r="AA28" s="151">
        <f>IF(AA6&gt;=3,'ARCHIVE_Control Tower'!$B$46/12*AA8,0)</f>
        <v>12875</v>
      </c>
      <c r="AB28" s="151">
        <f>IF(AB6&gt;=3,'ARCHIVE_Control Tower'!$B$46/12*AB8,0)</f>
        <v>13261.25</v>
      </c>
      <c r="AC28" s="151">
        <f>IF(AC6&gt;=3,'ARCHIVE_Control Tower'!$B$46/12*AC8,0)</f>
        <v>13261.25</v>
      </c>
      <c r="AD28" s="151">
        <f>IF(AD6&gt;=3,'ARCHIVE_Control Tower'!$B$46/12*AD8,0)</f>
        <v>13261.25</v>
      </c>
      <c r="AE28" s="151">
        <f>IF(AE6&gt;=3,'ARCHIVE_Control Tower'!$B$46/12*AE8,0)</f>
        <v>13261.25</v>
      </c>
      <c r="AF28" s="151">
        <f>IF(AF6&gt;=3,'ARCHIVE_Control Tower'!$B$46/12*AF8,0)</f>
        <v>13261.25</v>
      </c>
      <c r="AG28" s="151">
        <f>IF(AG6&gt;=3,'ARCHIVE_Control Tower'!$B$46/12*AG8,0)</f>
        <v>13261.25</v>
      </c>
      <c r="AH28" s="151">
        <f>IF(AH6&gt;=3,'ARCHIVE_Control Tower'!$B$46/12*AH8,0)</f>
        <v>13261.25</v>
      </c>
      <c r="AI28" s="151">
        <f>IF(AI6&gt;=3,'ARCHIVE_Control Tower'!$B$46/12*AI8,0)</f>
        <v>13261.25</v>
      </c>
      <c r="AJ28" s="151">
        <f>IF(AJ6&gt;=3,'ARCHIVE_Control Tower'!$B$46/12*AJ8,0)</f>
        <v>13261.25</v>
      </c>
      <c r="AK28" s="151">
        <f>IF(AK6&gt;=3,'ARCHIVE_Control Tower'!$B$46/12*AK8,0)</f>
        <v>13261.25</v>
      </c>
      <c r="AL28" s="151">
        <f>IF(AL6&gt;=3,'ARCHIVE_Control Tower'!$B$46/12*AL8,0)</f>
        <v>13261.25</v>
      </c>
      <c r="AM28" s="151">
        <f>IF(AM6&gt;=3,'ARCHIVE_Control Tower'!$B$46/12*AM8,0)</f>
        <v>13261.25</v>
      </c>
      <c r="AN28" s="144">
        <f>SUM(D28:O28)</f>
        <v>125000</v>
      </c>
      <c r="AO28" s="144">
        <f>SUM(P28:AA28)</f>
        <v>154500</v>
      </c>
      <c r="AP28" s="144">
        <f>SUM(AB28:AM28)</f>
        <v>159135</v>
      </c>
    </row>
    <row r="29" spans="1:42" x14ac:dyDescent="0.2">
      <c r="A29" s="148" t="s">
        <v>393</v>
      </c>
      <c r="B29" s="149" t="s">
        <v>78</v>
      </c>
      <c r="C29" s="150" t="s">
        <v>273</v>
      </c>
      <c r="D29" s="151">
        <f>IF(D6&gt;=2,'ARCHIVE_Control Tower'!$B$44/12*D8,0)</f>
        <v>0</v>
      </c>
      <c r="E29" s="151">
        <f>IF(E6&gt;=2,'ARCHIVE_Control Tower'!$B$44/12*E8,0)</f>
        <v>10000</v>
      </c>
      <c r="F29" s="151">
        <f>IF(F6&gt;=2,'ARCHIVE_Control Tower'!$B$44/12*F8,0)</f>
        <v>10000</v>
      </c>
      <c r="G29" s="151">
        <f>IF(G6&gt;=2,'ARCHIVE_Control Tower'!$B$44/12*G8,0)</f>
        <v>10000</v>
      </c>
      <c r="H29" s="151">
        <f>IF(H6&gt;=2,'ARCHIVE_Control Tower'!$B$44/12*H8,0)</f>
        <v>10000</v>
      </c>
      <c r="I29" s="151">
        <f>IF(I6&gt;=2,'ARCHIVE_Control Tower'!$B$44/12*I8,0)</f>
        <v>10000</v>
      </c>
      <c r="J29" s="151">
        <f>IF(J6&gt;=2,'ARCHIVE_Control Tower'!$B$44/12*J8,0)</f>
        <v>10000</v>
      </c>
      <c r="K29" s="151">
        <f>IF(K6&gt;=2,'ARCHIVE_Control Tower'!$B$44/12*K8,0)</f>
        <v>10000</v>
      </c>
      <c r="L29" s="151">
        <f>IF(L6&gt;=2,'ARCHIVE_Control Tower'!$B$44/12*L8,0)</f>
        <v>10000</v>
      </c>
      <c r="M29" s="151">
        <f>IF(M6&gt;=2,'ARCHIVE_Control Tower'!$B$44/12*M8,0)</f>
        <v>10000</v>
      </c>
      <c r="N29" s="151">
        <f>IF(N6&gt;=2,'ARCHIVE_Control Tower'!$B$44/12*N8,0)</f>
        <v>10000</v>
      </c>
      <c r="O29" s="151">
        <f>IF(O6&gt;=2,'ARCHIVE_Control Tower'!$B$44/12*O8,0)</f>
        <v>10000</v>
      </c>
      <c r="P29" s="151">
        <f>IF(P6&gt;=2,'ARCHIVE_Control Tower'!$B$44/12*P8,0)</f>
        <v>10300</v>
      </c>
      <c r="Q29" s="151">
        <f>IF(Q6&gt;=2,'ARCHIVE_Control Tower'!$B$44/12*Q8,0)</f>
        <v>10300</v>
      </c>
      <c r="R29" s="151">
        <f>IF(R6&gt;=2,'ARCHIVE_Control Tower'!$B$44/12*R8,0)</f>
        <v>10300</v>
      </c>
      <c r="S29" s="151">
        <f>IF(S6&gt;=2,'ARCHIVE_Control Tower'!$B$44/12*S8,0)</f>
        <v>10300</v>
      </c>
      <c r="T29" s="151">
        <f>IF(T6&gt;=2,'ARCHIVE_Control Tower'!$B$44/12*T8,0)</f>
        <v>10300</v>
      </c>
      <c r="U29" s="151">
        <f>IF(U6&gt;=2,'ARCHIVE_Control Tower'!$B$44/12*U8,0)</f>
        <v>10300</v>
      </c>
      <c r="V29" s="151">
        <f>IF(V6&gt;=2,'ARCHIVE_Control Tower'!$B$44/12*V8,0)</f>
        <v>10300</v>
      </c>
      <c r="W29" s="151">
        <f>IF(W6&gt;=2,'ARCHIVE_Control Tower'!$B$44/12*W8,0)</f>
        <v>10300</v>
      </c>
      <c r="X29" s="151">
        <f>IF(X6&gt;=2,'ARCHIVE_Control Tower'!$B$44/12*X8,0)</f>
        <v>10300</v>
      </c>
      <c r="Y29" s="151">
        <f>IF(Y6&gt;=2,'ARCHIVE_Control Tower'!$B$44/12*Y8,0)</f>
        <v>10300</v>
      </c>
      <c r="Z29" s="151">
        <f>IF(Z6&gt;=2,'ARCHIVE_Control Tower'!$B$44/12*Z8,0)</f>
        <v>10300</v>
      </c>
      <c r="AA29" s="151">
        <f>IF(AA6&gt;=2,'ARCHIVE_Control Tower'!$B$44/12*AA8,0)</f>
        <v>10300</v>
      </c>
      <c r="AB29" s="151">
        <f>IF(AB6&gt;=2,'ARCHIVE_Control Tower'!$B$44/12*AB8,0)</f>
        <v>10609</v>
      </c>
      <c r="AC29" s="151">
        <f>IF(AC6&gt;=2,'ARCHIVE_Control Tower'!$B$44/12*AC8,0)</f>
        <v>10609</v>
      </c>
      <c r="AD29" s="151">
        <f>IF(AD6&gt;=2,'ARCHIVE_Control Tower'!$B$44/12*AD8,0)</f>
        <v>10609</v>
      </c>
      <c r="AE29" s="151">
        <f>IF(AE6&gt;=2,'ARCHIVE_Control Tower'!$B$44/12*AE8,0)</f>
        <v>10609</v>
      </c>
      <c r="AF29" s="151">
        <f>IF(AF6&gt;=2,'ARCHIVE_Control Tower'!$B$44/12*AF8,0)</f>
        <v>10609</v>
      </c>
      <c r="AG29" s="151">
        <f>IF(AG6&gt;=2,'ARCHIVE_Control Tower'!$B$44/12*AG8,0)</f>
        <v>10609</v>
      </c>
      <c r="AH29" s="151">
        <f>IF(AH6&gt;=2,'ARCHIVE_Control Tower'!$B$44/12*AH8,0)</f>
        <v>10609</v>
      </c>
      <c r="AI29" s="151">
        <f>IF(AI6&gt;=2,'ARCHIVE_Control Tower'!$B$44/12*AI8,0)</f>
        <v>10609</v>
      </c>
      <c r="AJ29" s="151">
        <f>IF(AJ6&gt;=2,'ARCHIVE_Control Tower'!$B$44/12*AJ8,0)</f>
        <v>10609</v>
      </c>
      <c r="AK29" s="151">
        <f>IF(AK6&gt;=2,'ARCHIVE_Control Tower'!$B$44/12*AK8,0)</f>
        <v>10609</v>
      </c>
      <c r="AL29" s="151">
        <f>IF(AL6&gt;=2,'ARCHIVE_Control Tower'!$B$44/12*AL8,0)</f>
        <v>10609</v>
      </c>
      <c r="AM29" s="151">
        <f>IF(AM6&gt;=2,'ARCHIVE_Control Tower'!$B$44/12*AM8,0)</f>
        <v>10609</v>
      </c>
      <c r="AN29" s="144">
        <f>SUM(D29:O29)</f>
        <v>110000</v>
      </c>
      <c r="AO29" s="144">
        <f>SUM(P29:AA29)</f>
        <v>123600</v>
      </c>
      <c r="AP29" s="144">
        <f>SUM(AB29:AM29)</f>
        <v>127308</v>
      </c>
    </row>
    <row r="30" spans="1:42" x14ac:dyDescent="0.2">
      <c r="A30" s="145" t="s">
        <v>394</v>
      </c>
      <c r="B30" s="142"/>
      <c r="C30" s="142"/>
      <c r="D30" s="144">
        <f t="shared" ref="D30:AM30" si="5">SUM(D26:D29)</f>
        <v>10000</v>
      </c>
      <c r="E30" s="144">
        <f t="shared" si="5"/>
        <v>24166.666666666668</v>
      </c>
      <c r="F30" s="144">
        <f t="shared" si="5"/>
        <v>36666.666666666672</v>
      </c>
      <c r="G30" s="144">
        <f t="shared" si="5"/>
        <v>36666.666666666672</v>
      </c>
      <c r="H30" s="144">
        <f t="shared" si="5"/>
        <v>36666.666666666672</v>
      </c>
      <c r="I30" s="144">
        <f t="shared" si="5"/>
        <v>36666.666666666672</v>
      </c>
      <c r="J30" s="144">
        <f t="shared" si="5"/>
        <v>36666.666666666672</v>
      </c>
      <c r="K30" s="144">
        <f t="shared" si="5"/>
        <v>36666.666666666672</v>
      </c>
      <c r="L30" s="144">
        <f t="shared" si="5"/>
        <v>36666.666666666672</v>
      </c>
      <c r="M30" s="144">
        <f t="shared" si="5"/>
        <v>36666.666666666672</v>
      </c>
      <c r="N30" s="144">
        <f t="shared" si="5"/>
        <v>36666.666666666672</v>
      </c>
      <c r="O30" s="144">
        <f t="shared" si="5"/>
        <v>36666.666666666672</v>
      </c>
      <c r="P30" s="144">
        <f t="shared" si="5"/>
        <v>37766.666666666672</v>
      </c>
      <c r="Q30" s="144">
        <f t="shared" si="5"/>
        <v>37766.666666666672</v>
      </c>
      <c r="R30" s="144">
        <f t="shared" si="5"/>
        <v>37766.666666666672</v>
      </c>
      <c r="S30" s="144">
        <f t="shared" si="5"/>
        <v>37766.666666666672</v>
      </c>
      <c r="T30" s="144">
        <f t="shared" si="5"/>
        <v>37766.666666666672</v>
      </c>
      <c r="U30" s="144">
        <f t="shared" si="5"/>
        <v>37766.666666666672</v>
      </c>
      <c r="V30" s="144">
        <f t="shared" si="5"/>
        <v>37766.666666666672</v>
      </c>
      <c r="W30" s="144">
        <f t="shared" si="5"/>
        <v>37766.666666666672</v>
      </c>
      <c r="X30" s="144">
        <f t="shared" si="5"/>
        <v>37766.666666666672</v>
      </c>
      <c r="Y30" s="144">
        <f t="shared" si="5"/>
        <v>37766.666666666672</v>
      </c>
      <c r="Z30" s="144">
        <f t="shared" si="5"/>
        <v>37766.666666666672</v>
      </c>
      <c r="AA30" s="144">
        <f t="shared" si="5"/>
        <v>37766.666666666672</v>
      </c>
      <c r="AB30" s="144">
        <f t="shared" si="5"/>
        <v>38899.666666666672</v>
      </c>
      <c r="AC30" s="144">
        <f t="shared" si="5"/>
        <v>38899.666666666672</v>
      </c>
      <c r="AD30" s="144">
        <f t="shared" si="5"/>
        <v>38899.666666666672</v>
      </c>
      <c r="AE30" s="144">
        <f t="shared" si="5"/>
        <v>38899.666666666672</v>
      </c>
      <c r="AF30" s="144">
        <f t="shared" si="5"/>
        <v>38899.666666666672</v>
      </c>
      <c r="AG30" s="144">
        <f t="shared" si="5"/>
        <v>38899.666666666672</v>
      </c>
      <c r="AH30" s="144">
        <f t="shared" si="5"/>
        <v>38899.666666666672</v>
      </c>
      <c r="AI30" s="144">
        <f t="shared" si="5"/>
        <v>38899.666666666672</v>
      </c>
      <c r="AJ30" s="144">
        <f t="shared" si="5"/>
        <v>38899.666666666672</v>
      </c>
      <c r="AK30" s="144">
        <f t="shared" si="5"/>
        <v>38899.666666666672</v>
      </c>
      <c r="AL30" s="144">
        <f t="shared" si="5"/>
        <v>38899.666666666672</v>
      </c>
      <c r="AM30" s="144">
        <f t="shared" si="5"/>
        <v>38899.666666666672</v>
      </c>
      <c r="AN30" s="144">
        <f>SUM(D30:O30)</f>
        <v>400833.33333333349</v>
      </c>
      <c r="AO30" s="144">
        <f>SUM(P30:AA30)</f>
        <v>453200.00000000017</v>
      </c>
      <c r="AP30" s="144">
        <f>SUM(AB30:AM30)</f>
        <v>466796.00000000017</v>
      </c>
    </row>
    <row r="31" spans="1:42" x14ac:dyDescent="0.2">
      <c r="A31" s="3" t="s">
        <v>395</v>
      </c>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row>
    <row r="32" spans="1:42" x14ac:dyDescent="0.2">
      <c r="A32" s="148" t="s">
        <v>396</v>
      </c>
      <c r="B32" s="149" t="s">
        <v>60</v>
      </c>
      <c r="C32" s="150" t="s">
        <v>397</v>
      </c>
      <c r="D32" s="151">
        <f>IF(AND(D6&gt;=1,D6&lt;=2),'ARCHIVE_Control Tower'!$B$35,0)</f>
        <v>2500</v>
      </c>
      <c r="E32" s="151">
        <f>IF(AND(E6&gt;=1,E6&lt;=2),'ARCHIVE_Control Tower'!$B$35,0)</f>
        <v>2500</v>
      </c>
      <c r="F32" s="151">
        <f>IF(AND(F6&gt;=1,F6&lt;=2),'ARCHIVE_Control Tower'!$B$35,0)</f>
        <v>0</v>
      </c>
      <c r="G32" s="151">
        <f>IF(AND(G6&gt;=1,G6&lt;=2),'ARCHIVE_Control Tower'!$B$35,0)</f>
        <v>0</v>
      </c>
      <c r="H32" s="151">
        <f>IF(AND(H6&gt;=1,H6&lt;=2),'ARCHIVE_Control Tower'!$B$35,0)</f>
        <v>0</v>
      </c>
      <c r="I32" s="151">
        <f>IF(AND(I6&gt;=1,I6&lt;=2),'ARCHIVE_Control Tower'!$B$35,0)</f>
        <v>0</v>
      </c>
      <c r="J32" s="151">
        <f>IF(AND(J6&gt;=1,J6&lt;=2),'ARCHIVE_Control Tower'!$B$35,0)</f>
        <v>0</v>
      </c>
      <c r="K32" s="151">
        <f>IF(AND(K6&gt;=1,K6&lt;=2),'ARCHIVE_Control Tower'!$B$35,0)</f>
        <v>0</v>
      </c>
      <c r="L32" s="151">
        <f>IF(AND(L6&gt;=1,L6&lt;=2),'ARCHIVE_Control Tower'!$B$35,0)</f>
        <v>0</v>
      </c>
      <c r="M32" s="151">
        <f>IF(AND(M6&gt;=1,M6&lt;=2),'ARCHIVE_Control Tower'!$B$35,0)</f>
        <v>0</v>
      </c>
      <c r="N32" s="151">
        <f>IF(AND(N6&gt;=1,N6&lt;=2),'ARCHIVE_Control Tower'!$B$35,0)</f>
        <v>0</v>
      </c>
      <c r="O32" s="151">
        <f>IF(AND(O6&gt;=1,O6&lt;=2),'ARCHIVE_Control Tower'!$B$35,0)</f>
        <v>0</v>
      </c>
      <c r="P32" s="151">
        <f>IF(AND(P6&gt;=1,P6&lt;=2),'ARCHIVE_Control Tower'!$B$35,0)</f>
        <v>0</v>
      </c>
      <c r="Q32" s="151">
        <f>IF(AND(Q6&gt;=1,Q6&lt;=2),'ARCHIVE_Control Tower'!$B$35,0)</f>
        <v>0</v>
      </c>
      <c r="R32" s="151">
        <f>IF(AND(R6&gt;=1,R6&lt;=2),'ARCHIVE_Control Tower'!$B$35,0)</f>
        <v>0</v>
      </c>
      <c r="S32" s="151">
        <f>IF(AND(S6&gt;=1,S6&lt;=2),'ARCHIVE_Control Tower'!$B$35,0)</f>
        <v>0</v>
      </c>
      <c r="T32" s="151">
        <f>IF(AND(T6&gt;=1,T6&lt;=2),'ARCHIVE_Control Tower'!$B$35,0)</f>
        <v>0</v>
      </c>
      <c r="U32" s="151">
        <f>IF(AND(U6&gt;=1,U6&lt;=2),'ARCHIVE_Control Tower'!$B$35,0)</f>
        <v>0</v>
      </c>
      <c r="V32" s="151">
        <f>IF(AND(V6&gt;=1,V6&lt;=2),'ARCHIVE_Control Tower'!$B$35,0)</f>
        <v>0</v>
      </c>
      <c r="W32" s="151">
        <f>IF(AND(W6&gt;=1,W6&lt;=2),'ARCHIVE_Control Tower'!$B$35,0)</f>
        <v>0</v>
      </c>
      <c r="X32" s="151">
        <f>IF(AND(X6&gt;=1,X6&lt;=2),'ARCHIVE_Control Tower'!$B$35,0)</f>
        <v>0</v>
      </c>
      <c r="Y32" s="151">
        <f>IF(AND(Y6&gt;=1,Y6&lt;=2),'ARCHIVE_Control Tower'!$B$35,0)</f>
        <v>0</v>
      </c>
      <c r="Z32" s="151">
        <f>IF(AND(Z6&gt;=1,Z6&lt;=2),'ARCHIVE_Control Tower'!$B$35,0)</f>
        <v>0</v>
      </c>
      <c r="AA32" s="151">
        <f>IF(AND(AA6&gt;=1,AA6&lt;=2),'ARCHIVE_Control Tower'!$B$35,0)</f>
        <v>0</v>
      </c>
      <c r="AB32" s="151">
        <f>IF(AND(AB6&gt;=1,AB6&lt;=2),'ARCHIVE_Control Tower'!$B$35,0)</f>
        <v>0</v>
      </c>
      <c r="AC32" s="151">
        <f>IF(AND(AC6&gt;=1,AC6&lt;=2),'ARCHIVE_Control Tower'!$B$35,0)</f>
        <v>0</v>
      </c>
      <c r="AD32" s="151">
        <f>IF(AND(AD6&gt;=1,AD6&lt;=2),'ARCHIVE_Control Tower'!$B$35,0)</f>
        <v>0</v>
      </c>
      <c r="AE32" s="151">
        <f>IF(AND(AE6&gt;=1,AE6&lt;=2),'ARCHIVE_Control Tower'!$B$35,0)</f>
        <v>0</v>
      </c>
      <c r="AF32" s="151">
        <f>IF(AND(AF6&gt;=1,AF6&lt;=2),'ARCHIVE_Control Tower'!$B$35,0)</f>
        <v>0</v>
      </c>
      <c r="AG32" s="151">
        <f>IF(AND(AG6&gt;=1,AG6&lt;=2),'ARCHIVE_Control Tower'!$B$35,0)</f>
        <v>0</v>
      </c>
      <c r="AH32" s="151">
        <f>IF(AND(AH6&gt;=1,AH6&lt;=2),'ARCHIVE_Control Tower'!$B$35,0)</f>
        <v>0</v>
      </c>
      <c r="AI32" s="151">
        <f>IF(AND(AI6&gt;=1,AI6&lt;=2),'ARCHIVE_Control Tower'!$B$35,0)</f>
        <v>0</v>
      </c>
      <c r="AJ32" s="151">
        <f>IF(AND(AJ6&gt;=1,AJ6&lt;=2),'ARCHIVE_Control Tower'!$B$35,0)</f>
        <v>0</v>
      </c>
      <c r="AK32" s="151">
        <f>IF(AND(AK6&gt;=1,AK6&lt;=2),'ARCHIVE_Control Tower'!$B$35,0)</f>
        <v>0</v>
      </c>
      <c r="AL32" s="151">
        <f>IF(AND(AL6&gt;=1,AL6&lt;=2),'ARCHIVE_Control Tower'!$B$35,0)</f>
        <v>0</v>
      </c>
      <c r="AM32" s="151">
        <f>IF(AND(AM6&gt;=1,AM6&lt;=2),'ARCHIVE_Control Tower'!$B$35,0)</f>
        <v>0</v>
      </c>
      <c r="AN32" s="144">
        <f>SUM(D32:O32)</f>
        <v>5000</v>
      </c>
      <c r="AO32" s="144">
        <f>SUM(P32:AA32)</f>
        <v>0</v>
      </c>
      <c r="AP32" s="144">
        <f>SUM(AB32:AM32)</f>
        <v>0</v>
      </c>
    </row>
    <row r="33" spans="1:42" x14ac:dyDescent="0.2">
      <c r="A33" s="148" t="s">
        <v>398</v>
      </c>
      <c r="B33" s="149" t="s">
        <v>63</v>
      </c>
      <c r="C33" s="150" t="s">
        <v>270</v>
      </c>
      <c r="D33" s="151">
        <f>IF(D6=1,'ARCHIVE_Control Tower'!$B$36,0)</f>
        <v>1500</v>
      </c>
      <c r="E33" s="151">
        <f>IF(E6=1,'ARCHIVE_Control Tower'!$B$36,0)</f>
        <v>0</v>
      </c>
      <c r="F33" s="151">
        <f>IF(F6=1,'ARCHIVE_Control Tower'!$B$36,0)</f>
        <v>0</v>
      </c>
      <c r="G33" s="151">
        <f>IF(G6=1,'ARCHIVE_Control Tower'!$B$36,0)</f>
        <v>0</v>
      </c>
      <c r="H33" s="151">
        <f>IF(H6=1,'ARCHIVE_Control Tower'!$B$36,0)</f>
        <v>0</v>
      </c>
      <c r="I33" s="151">
        <f>IF(I6=1,'ARCHIVE_Control Tower'!$B$36,0)</f>
        <v>0</v>
      </c>
      <c r="J33" s="151">
        <f>IF(J6=1,'ARCHIVE_Control Tower'!$B$36,0)</f>
        <v>0</v>
      </c>
      <c r="K33" s="151">
        <f>IF(K6=1,'ARCHIVE_Control Tower'!$B$36,0)</f>
        <v>0</v>
      </c>
      <c r="L33" s="151">
        <f>IF(L6=1,'ARCHIVE_Control Tower'!$B$36,0)</f>
        <v>0</v>
      </c>
      <c r="M33" s="151">
        <f>IF(M6=1,'ARCHIVE_Control Tower'!$B$36,0)</f>
        <v>0</v>
      </c>
      <c r="N33" s="151">
        <f>IF(N6=1,'ARCHIVE_Control Tower'!$B$36,0)</f>
        <v>0</v>
      </c>
      <c r="O33" s="151">
        <f>IF(O6=1,'ARCHIVE_Control Tower'!$B$36,0)</f>
        <v>0</v>
      </c>
      <c r="P33" s="151">
        <f>IF(P6=1,'ARCHIVE_Control Tower'!$B$36,0)</f>
        <v>0</v>
      </c>
      <c r="Q33" s="151">
        <f>IF(Q6=1,'ARCHIVE_Control Tower'!$B$36,0)</f>
        <v>0</v>
      </c>
      <c r="R33" s="151">
        <f>IF(R6=1,'ARCHIVE_Control Tower'!$B$36,0)</f>
        <v>0</v>
      </c>
      <c r="S33" s="151">
        <f>IF(S6=1,'ARCHIVE_Control Tower'!$B$36,0)</f>
        <v>0</v>
      </c>
      <c r="T33" s="151">
        <f>IF(T6=1,'ARCHIVE_Control Tower'!$B$36,0)</f>
        <v>0</v>
      </c>
      <c r="U33" s="151">
        <f>IF(U6=1,'ARCHIVE_Control Tower'!$B$36,0)</f>
        <v>0</v>
      </c>
      <c r="V33" s="151">
        <f>IF(V6=1,'ARCHIVE_Control Tower'!$B$36,0)</f>
        <v>0</v>
      </c>
      <c r="W33" s="151">
        <f>IF(W6=1,'ARCHIVE_Control Tower'!$B$36,0)</f>
        <v>0</v>
      </c>
      <c r="X33" s="151">
        <f>IF(X6=1,'ARCHIVE_Control Tower'!$B$36,0)</f>
        <v>0</v>
      </c>
      <c r="Y33" s="151">
        <f>IF(Y6=1,'ARCHIVE_Control Tower'!$B$36,0)</f>
        <v>0</v>
      </c>
      <c r="Z33" s="151">
        <f>IF(Z6=1,'ARCHIVE_Control Tower'!$B$36,0)</f>
        <v>0</v>
      </c>
      <c r="AA33" s="151">
        <f>IF(AA6=1,'ARCHIVE_Control Tower'!$B$36,0)</f>
        <v>0</v>
      </c>
      <c r="AB33" s="151">
        <f>IF(AB6=1,'ARCHIVE_Control Tower'!$B$36,0)</f>
        <v>0</v>
      </c>
      <c r="AC33" s="151">
        <f>IF(AC6=1,'ARCHIVE_Control Tower'!$B$36,0)</f>
        <v>0</v>
      </c>
      <c r="AD33" s="151">
        <f>IF(AD6=1,'ARCHIVE_Control Tower'!$B$36,0)</f>
        <v>0</v>
      </c>
      <c r="AE33" s="151">
        <f>IF(AE6=1,'ARCHIVE_Control Tower'!$B$36,0)</f>
        <v>0</v>
      </c>
      <c r="AF33" s="151">
        <f>IF(AF6=1,'ARCHIVE_Control Tower'!$B$36,0)</f>
        <v>0</v>
      </c>
      <c r="AG33" s="151">
        <f>IF(AG6=1,'ARCHIVE_Control Tower'!$B$36,0)</f>
        <v>0</v>
      </c>
      <c r="AH33" s="151">
        <f>IF(AH6=1,'ARCHIVE_Control Tower'!$B$36,0)</f>
        <v>0</v>
      </c>
      <c r="AI33" s="151">
        <f>IF(AI6=1,'ARCHIVE_Control Tower'!$B$36,0)</f>
        <v>0</v>
      </c>
      <c r="AJ33" s="151">
        <f>IF(AJ6=1,'ARCHIVE_Control Tower'!$B$36,0)</f>
        <v>0</v>
      </c>
      <c r="AK33" s="151">
        <f>IF(AK6=1,'ARCHIVE_Control Tower'!$B$36,0)</f>
        <v>0</v>
      </c>
      <c r="AL33" s="151">
        <f>IF(AL6=1,'ARCHIVE_Control Tower'!$B$36,0)</f>
        <v>0</v>
      </c>
      <c r="AM33" s="151">
        <f>IF(AM6=1,'ARCHIVE_Control Tower'!$B$36,0)</f>
        <v>0</v>
      </c>
      <c r="AN33" s="144">
        <f>SUM(D33:O33)</f>
        <v>1500</v>
      </c>
      <c r="AO33" s="144">
        <f>SUM(P33:AA33)</f>
        <v>0</v>
      </c>
      <c r="AP33" s="144">
        <f>SUM(AB33:AM33)</f>
        <v>0</v>
      </c>
    </row>
    <row r="34" spans="1:42" x14ac:dyDescent="0.2">
      <c r="A34" s="148" t="s">
        <v>220</v>
      </c>
      <c r="B34" s="149" t="s">
        <v>57</v>
      </c>
      <c r="C34" s="150" t="s">
        <v>270</v>
      </c>
      <c r="D34" s="151">
        <f>'ARCHIVE_Control Tower'!$B$34</f>
        <v>4000</v>
      </c>
      <c r="E34" s="151">
        <f>'ARCHIVE_Control Tower'!$B$34</f>
        <v>4000</v>
      </c>
      <c r="F34" s="151">
        <f>'ARCHIVE_Control Tower'!$B$34</f>
        <v>4000</v>
      </c>
      <c r="G34" s="151">
        <f>'ARCHIVE_Control Tower'!$B$34</f>
        <v>4000</v>
      </c>
      <c r="H34" s="151">
        <f>'ARCHIVE_Control Tower'!$B$34</f>
        <v>4000</v>
      </c>
      <c r="I34" s="151">
        <f>'ARCHIVE_Control Tower'!$B$34</f>
        <v>4000</v>
      </c>
      <c r="J34" s="151">
        <f>'ARCHIVE_Control Tower'!$B$34</f>
        <v>4000</v>
      </c>
      <c r="K34" s="151">
        <f>'ARCHIVE_Control Tower'!$B$34</f>
        <v>4000</v>
      </c>
      <c r="L34" s="151">
        <f>'ARCHIVE_Control Tower'!$B$34</f>
        <v>4000</v>
      </c>
      <c r="M34" s="151">
        <f>'ARCHIVE_Control Tower'!$B$34</f>
        <v>4000</v>
      </c>
      <c r="N34" s="151">
        <f>'ARCHIVE_Control Tower'!$B$34</f>
        <v>4000</v>
      </c>
      <c r="O34" s="151">
        <f>'ARCHIVE_Control Tower'!$B$34</f>
        <v>4000</v>
      </c>
      <c r="P34" s="151">
        <f>'ARCHIVE_Control Tower'!$B$34</f>
        <v>4000</v>
      </c>
      <c r="Q34" s="151">
        <f>'ARCHIVE_Control Tower'!$B$34</f>
        <v>4000</v>
      </c>
      <c r="R34" s="151">
        <f>'ARCHIVE_Control Tower'!$B$34</f>
        <v>4000</v>
      </c>
      <c r="S34" s="151">
        <f>'ARCHIVE_Control Tower'!$B$34</f>
        <v>4000</v>
      </c>
      <c r="T34" s="151">
        <f>'ARCHIVE_Control Tower'!$B$34</f>
        <v>4000</v>
      </c>
      <c r="U34" s="151">
        <f>'ARCHIVE_Control Tower'!$B$34</f>
        <v>4000</v>
      </c>
      <c r="V34" s="151">
        <f>'ARCHIVE_Control Tower'!$B$34</f>
        <v>4000</v>
      </c>
      <c r="W34" s="151">
        <f>'ARCHIVE_Control Tower'!$B$34</f>
        <v>4000</v>
      </c>
      <c r="X34" s="151">
        <f>'ARCHIVE_Control Tower'!$B$34</f>
        <v>4000</v>
      </c>
      <c r="Y34" s="151">
        <f>'ARCHIVE_Control Tower'!$B$34</f>
        <v>4000</v>
      </c>
      <c r="Z34" s="151">
        <f>'ARCHIVE_Control Tower'!$B$34</f>
        <v>4000</v>
      </c>
      <c r="AA34" s="151">
        <f>'ARCHIVE_Control Tower'!$B$34</f>
        <v>4000</v>
      </c>
      <c r="AB34" s="151">
        <f>'ARCHIVE_Control Tower'!$B$34</f>
        <v>4000</v>
      </c>
      <c r="AC34" s="151">
        <f>'ARCHIVE_Control Tower'!$B$34</f>
        <v>4000</v>
      </c>
      <c r="AD34" s="151">
        <f>'ARCHIVE_Control Tower'!$B$34</f>
        <v>4000</v>
      </c>
      <c r="AE34" s="151">
        <f>'ARCHIVE_Control Tower'!$B$34</f>
        <v>4000</v>
      </c>
      <c r="AF34" s="151">
        <f>'ARCHIVE_Control Tower'!$B$34</f>
        <v>4000</v>
      </c>
      <c r="AG34" s="151">
        <f>'ARCHIVE_Control Tower'!$B$34</f>
        <v>4000</v>
      </c>
      <c r="AH34" s="151">
        <f>'ARCHIVE_Control Tower'!$B$34</f>
        <v>4000</v>
      </c>
      <c r="AI34" s="151">
        <f>'ARCHIVE_Control Tower'!$B$34</f>
        <v>4000</v>
      </c>
      <c r="AJ34" s="151">
        <f>'ARCHIVE_Control Tower'!$B$34</f>
        <v>4000</v>
      </c>
      <c r="AK34" s="151">
        <f>'ARCHIVE_Control Tower'!$B$34</f>
        <v>4000</v>
      </c>
      <c r="AL34" s="151">
        <f>'ARCHIVE_Control Tower'!$B$34</f>
        <v>4000</v>
      </c>
      <c r="AM34" s="151">
        <f>'ARCHIVE_Control Tower'!$B$34</f>
        <v>4000</v>
      </c>
      <c r="AN34" s="144">
        <f>SUM(D34:O34)</f>
        <v>48000</v>
      </c>
      <c r="AO34" s="144">
        <f>SUM(P34:AA34)</f>
        <v>48000</v>
      </c>
      <c r="AP34" s="144">
        <f>SUM(AB34:AM34)</f>
        <v>48000</v>
      </c>
    </row>
    <row r="35" spans="1:42" x14ac:dyDescent="0.2">
      <c r="A35" s="145" t="s">
        <v>399</v>
      </c>
      <c r="B35" s="142"/>
      <c r="C35" s="142"/>
      <c r="D35" s="144">
        <f t="shared" ref="D35:AM35" si="6">SUM(D32:D34)</f>
        <v>8000</v>
      </c>
      <c r="E35" s="144">
        <f t="shared" si="6"/>
        <v>6500</v>
      </c>
      <c r="F35" s="144">
        <f t="shared" si="6"/>
        <v>4000</v>
      </c>
      <c r="G35" s="144">
        <f t="shared" si="6"/>
        <v>4000</v>
      </c>
      <c r="H35" s="144">
        <f t="shared" si="6"/>
        <v>4000</v>
      </c>
      <c r="I35" s="144">
        <f t="shared" si="6"/>
        <v>4000</v>
      </c>
      <c r="J35" s="144">
        <f t="shared" si="6"/>
        <v>4000</v>
      </c>
      <c r="K35" s="144">
        <f t="shared" si="6"/>
        <v>4000</v>
      </c>
      <c r="L35" s="144">
        <f t="shared" si="6"/>
        <v>4000</v>
      </c>
      <c r="M35" s="144">
        <f t="shared" si="6"/>
        <v>4000</v>
      </c>
      <c r="N35" s="144">
        <f t="shared" si="6"/>
        <v>4000</v>
      </c>
      <c r="O35" s="144">
        <f t="shared" si="6"/>
        <v>4000</v>
      </c>
      <c r="P35" s="144">
        <f t="shared" si="6"/>
        <v>4000</v>
      </c>
      <c r="Q35" s="144">
        <f t="shared" si="6"/>
        <v>4000</v>
      </c>
      <c r="R35" s="144">
        <f t="shared" si="6"/>
        <v>4000</v>
      </c>
      <c r="S35" s="144">
        <f t="shared" si="6"/>
        <v>4000</v>
      </c>
      <c r="T35" s="144">
        <f t="shared" si="6"/>
        <v>4000</v>
      </c>
      <c r="U35" s="144">
        <f t="shared" si="6"/>
        <v>4000</v>
      </c>
      <c r="V35" s="144">
        <f t="shared" si="6"/>
        <v>4000</v>
      </c>
      <c r="W35" s="144">
        <f t="shared" si="6"/>
        <v>4000</v>
      </c>
      <c r="X35" s="144">
        <f t="shared" si="6"/>
        <v>4000</v>
      </c>
      <c r="Y35" s="144">
        <f t="shared" si="6"/>
        <v>4000</v>
      </c>
      <c r="Z35" s="144">
        <f t="shared" si="6"/>
        <v>4000</v>
      </c>
      <c r="AA35" s="144">
        <f t="shared" si="6"/>
        <v>4000</v>
      </c>
      <c r="AB35" s="144">
        <f t="shared" si="6"/>
        <v>4000</v>
      </c>
      <c r="AC35" s="144">
        <f t="shared" si="6"/>
        <v>4000</v>
      </c>
      <c r="AD35" s="144">
        <f t="shared" si="6"/>
        <v>4000</v>
      </c>
      <c r="AE35" s="144">
        <f t="shared" si="6"/>
        <v>4000</v>
      </c>
      <c r="AF35" s="144">
        <f t="shared" si="6"/>
        <v>4000</v>
      </c>
      <c r="AG35" s="144">
        <f t="shared" si="6"/>
        <v>4000</v>
      </c>
      <c r="AH35" s="144">
        <f t="shared" si="6"/>
        <v>4000</v>
      </c>
      <c r="AI35" s="144">
        <f t="shared" si="6"/>
        <v>4000</v>
      </c>
      <c r="AJ35" s="144">
        <f t="shared" si="6"/>
        <v>4000</v>
      </c>
      <c r="AK35" s="144">
        <f t="shared" si="6"/>
        <v>4000</v>
      </c>
      <c r="AL35" s="144">
        <f t="shared" si="6"/>
        <v>4000</v>
      </c>
      <c r="AM35" s="144">
        <f t="shared" si="6"/>
        <v>4000</v>
      </c>
      <c r="AN35" s="144">
        <f>SUM(D35:O35)</f>
        <v>54500</v>
      </c>
      <c r="AO35" s="144">
        <f>SUM(P35:AA35)</f>
        <v>48000</v>
      </c>
      <c r="AP35" s="144">
        <f>SUM(AB35:AM35)</f>
        <v>48000</v>
      </c>
    </row>
    <row r="36" spans="1:42" x14ac:dyDescent="0.2">
      <c r="A36" s="3" t="s">
        <v>400</v>
      </c>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row>
    <row r="37" spans="1:42" x14ac:dyDescent="0.2">
      <c r="A37" s="147" t="s">
        <v>401</v>
      </c>
      <c r="B37" s="66"/>
      <c r="C37" s="66"/>
      <c r="D37" s="93">
        <f t="shared" ref="D37:AM37" si="7">D18+D24+D30</f>
        <v>27290.041666666664</v>
      </c>
      <c r="E37" s="93">
        <f t="shared" si="7"/>
        <v>48357.791666666672</v>
      </c>
      <c r="F37" s="93">
        <f t="shared" si="7"/>
        <v>61048.25</v>
      </c>
      <c r="G37" s="93">
        <f t="shared" si="7"/>
        <v>61490.75</v>
      </c>
      <c r="H37" s="93">
        <f t="shared" si="7"/>
        <v>61933.25</v>
      </c>
      <c r="I37" s="93">
        <f t="shared" si="7"/>
        <v>62154.5</v>
      </c>
      <c r="J37" s="93">
        <f t="shared" si="7"/>
        <v>66442.041666666672</v>
      </c>
      <c r="K37" s="93">
        <f t="shared" si="7"/>
        <v>66663.291666666672</v>
      </c>
      <c r="L37" s="93">
        <f t="shared" si="7"/>
        <v>67105.791666666672</v>
      </c>
      <c r="M37" s="93">
        <f t="shared" si="7"/>
        <v>67548.291666666672</v>
      </c>
      <c r="N37" s="93">
        <f t="shared" si="7"/>
        <v>74124.041666666672</v>
      </c>
      <c r="O37" s="93">
        <f t="shared" si="7"/>
        <v>74566.541666666672</v>
      </c>
      <c r="P37" s="93">
        <f t="shared" si="7"/>
        <v>76805.750416666677</v>
      </c>
      <c r="Q37" s="93">
        <f t="shared" si="7"/>
        <v>77248.250416666677</v>
      </c>
      <c r="R37" s="93">
        <f t="shared" si="7"/>
        <v>81429.893333333341</v>
      </c>
      <c r="S37" s="93">
        <f t="shared" si="7"/>
        <v>81872.393333333341</v>
      </c>
      <c r="T37" s="93">
        <f t="shared" si="7"/>
        <v>82093.643333333341</v>
      </c>
      <c r="U37" s="93">
        <f t="shared" si="7"/>
        <v>82536.143333333341</v>
      </c>
      <c r="V37" s="93">
        <f t="shared" si="7"/>
        <v>82757.393333333341</v>
      </c>
      <c r="W37" s="93">
        <f t="shared" si="7"/>
        <v>82978.643333333341</v>
      </c>
      <c r="X37" s="93">
        <f t="shared" si="7"/>
        <v>89966.27833333335</v>
      </c>
      <c r="Y37" s="93">
        <f t="shared" si="7"/>
        <v>90187.52833333335</v>
      </c>
      <c r="Z37" s="93">
        <f t="shared" si="7"/>
        <v>94590.421250000014</v>
      </c>
      <c r="AA37" s="93">
        <f t="shared" si="7"/>
        <v>94811.671250000014</v>
      </c>
      <c r="AB37" s="93">
        <f t="shared" si="7"/>
        <v>97545.396387500004</v>
      </c>
      <c r="AC37" s="93">
        <f t="shared" si="7"/>
        <v>97766.646387500004</v>
      </c>
      <c r="AD37" s="93">
        <f t="shared" si="7"/>
        <v>97766.646387500004</v>
      </c>
      <c r="AE37" s="93">
        <f t="shared" si="7"/>
        <v>97987.896387500004</v>
      </c>
      <c r="AF37" s="93">
        <f t="shared" si="7"/>
        <v>98209.146387500004</v>
      </c>
      <c r="AG37" s="93">
        <f t="shared" si="7"/>
        <v>98430.396387500004</v>
      </c>
      <c r="AH37" s="93">
        <f t="shared" si="7"/>
        <v>98651.646387500004</v>
      </c>
      <c r="AI37" s="93">
        <f t="shared" si="7"/>
        <v>98872.896387500004</v>
      </c>
      <c r="AJ37" s="93">
        <f t="shared" si="7"/>
        <v>99094.146387500004</v>
      </c>
      <c r="AK37" s="93">
        <f t="shared" si="7"/>
        <v>99094.146387500004</v>
      </c>
      <c r="AL37" s="93">
        <f t="shared" si="7"/>
        <v>99315.396387500004</v>
      </c>
      <c r="AM37" s="93">
        <f t="shared" si="7"/>
        <v>99536.646387500004</v>
      </c>
      <c r="AN37" s="66"/>
      <c r="AO37" s="66"/>
      <c r="AP37" s="66"/>
    </row>
    <row r="38" spans="1:42" x14ac:dyDescent="0.2">
      <c r="A38" s="7" t="s">
        <v>226</v>
      </c>
      <c r="B38" s="9" t="s">
        <v>4</v>
      </c>
      <c r="C38" s="24"/>
      <c r="D38" s="71">
        <f>D37*'ARCHIVE_Control Tower'!$B$5</f>
        <v>2087.6881874999999</v>
      </c>
      <c r="E38" s="71">
        <f>E37*'ARCHIVE_Control Tower'!$B$5</f>
        <v>3699.3710625000003</v>
      </c>
      <c r="F38" s="71">
        <f>F37*'ARCHIVE_Control Tower'!$B$5</f>
        <v>4670.1911250000003</v>
      </c>
      <c r="G38" s="71">
        <f>G37*'ARCHIVE_Control Tower'!$B$5</f>
        <v>4704.042375</v>
      </c>
      <c r="H38" s="71">
        <f>H37*'ARCHIVE_Control Tower'!$B$5</f>
        <v>4737.8936249999997</v>
      </c>
      <c r="I38" s="71">
        <f>I37*'ARCHIVE_Control Tower'!$B$5</f>
        <v>4754.8192499999996</v>
      </c>
      <c r="J38" s="71">
        <f>J37*'ARCHIVE_Control Tower'!$B$5</f>
        <v>5082.8161875000005</v>
      </c>
      <c r="K38" s="71">
        <f>K37*'ARCHIVE_Control Tower'!$B$5</f>
        <v>5099.7418125000004</v>
      </c>
      <c r="L38" s="71">
        <f>L37*'ARCHIVE_Control Tower'!$B$5</f>
        <v>5133.5930625000001</v>
      </c>
      <c r="M38" s="71">
        <f>M37*'ARCHIVE_Control Tower'!$B$5</f>
        <v>5167.4443125000007</v>
      </c>
      <c r="N38" s="71">
        <f>N37*'ARCHIVE_Control Tower'!$B$5</f>
        <v>5670.4891875000003</v>
      </c>
      <c r="O38" s="71">
        <f>O37*'ARCHIVE_Control Tower'!$B$5</f>
        <v>5704.3404375</v>
      </c>
      <c r="P38" s="71">
        <f>P37*'ARCHIVE_Control Tower'!$B$5</f>
        <v>5875.6399068750006</v>
      </c>
      <c r="Q38" s="71">
        <f>Q37*'ARCHIVE_Control Tower'!$B$5</f>
        <v>5909.4911568750003</v>
      </c>
      <c r="R38" s="71">
        <f>R37*'ARCHIVE_Control Tower'!$B$5</f>
        <v>6229.3868400000001</v>
      </c>
      <c r="S38" s="71">
        <f>S37*'ARCHIVE_Control Tower'!$B$5</f>
        <v>6263.2380900000007</v>
      </c>
      <c r="T38" s="71">
        <f>T37*'ARCHIVE_Control Tower'!$B$5</f>
        <v>6280.1637150000006</v>
      </c>
      <c r="U38" s="71">
        <f>U37*'ARCHIVE_Control Tower'!$B$5</f>
        <v>6314.0149650000003</v>
      </c>
      <c r="V38" s="71">
        <f>V37*'ARCHIVE_Control Tower'!$B$5</f>
        <v>6330.9405900000002</v>
      </c>
      <c r="W38" s="71">
        <f>W37*'ARCHIVE_Control Tower'!$B$5</f>
        <v>6347.866215</v>
      </c>
      <c r="X38" s="71">
        <f>X37*'ARCHIVE_Control Tower'!$B$5</f>
        <v>6882.4202925000009</v>
      </c>
      <c r="Y38" s="71">
        <f>Y37*'ARCHIVE_Control Tower'!$B$5</f>
        <v>6899.3459175000007</v>
      </c>
      <c r="Z38" s="71">
        <f>Z37*'ARCHIVE_Control Tower'!$B$5</f>
        <v>7236.1672256250013</v>
      </c>
      <c r="AA38" s="71">
        <f>AA37*'ARCHIVE_Control Tower'!$B$5</f>
        <v>7253.0928506250011</v>
      </c>
      <c r="AB38" s="71">
        <f>AB37*'ARCHIVE_Control Tower'!$B$5</f>
        <v>7462.2228236437504</v>
      </c>
      <c r="AC38" s="71">
        <f>AC37*'ARCHIVE_Control Tower'!$B$5</f>
        <v>7479.1484486437503</v>
      </c>
      <c r="AD38" s="71">
        <f>AD37*'ARCHIVE_Control Tower'!$B$5</f>
        <v>7479.1484486437503</v>
      </c>
      <c r="AE38" s="71">
        <f>AE37*'ARCHIVE_Control Tower'!$B$5</f>
        <v>7496.0740736437501</v>
      </c>
      <c r="AF38" s="71">
        <f>AF37*'ARCHIVE_Control Tower'!$B$5</f>
        <v>7512.99969864375</v>
      </c>
      <c r="AG38" s="71">
        <f>AG37*'ARCHIVE_Control Tower'!$B$5</f>
        <v>7529.9253236437498</v>
      </c>
      <c r="AH38" s="71">
        <f>AH37*'ARCHIVE_Control Tower'!$B$5</f>
        <v>7546.8509486437506</v>
      </c>
      <c r="AI38" s="71">
        <f>AI37*'ARCHIVE_Control Tower'!$B$5</f>
        <v>7563.7765736437505</v>
      </c>
      <c r="AJ38" s="71">
        <f>AJ37*'ARCHIVE_Control Tower'!$B$5</f>
        <v>7580.7021986437503</v>
      </c>
      <c r="AK38" s="71">
        <f>AK37*'ARCHIVE_Control Tower'!$B$5</f>
        <v>7580.7021986437503</v>
      </c>
      <c r="AL38" s="71">
        <f>AL37*'ARCHIVE_Control Tower'!$B$5</f>
        <v>7597.6278236437502</v>
      </c>
      <c r="AM38" s="71">
        <f>AM37*'ARCHIVE_Control Tower'!$B$5</f>
        <v>7614.55344864375</v>
      </c>
      <c r="AN38" s="144">
        <f>SUM(D38:O38)</f>
        <v>56512.430625000008</v>
      </c>
      <c r="AO38" s="144">
        <f>SUM(P38:AA38)</f>
        <v>77821.767765000011</v>
      </c>
      <c r="AP38" s="144">
        <f>SUM(AB38:AM38)</f>
        <v>90443.732008725012</v>
      </c>
    </row>
    <row r="39" spans="1:42" x14ac:dyDescent="0.2">
      <c r="A39" s="86" t="s">
        <v>402</v>
      </c>
      <c r="B39" s="94" t="s">
        <v>228</v>
      </c>
      <c r="C39" s="95"/>
      <c r="D39" s="88">
        <f>D37*'ARCHIVE_Control Tower'!$B$6</f>
        <v>504.86577083333327</v>
      </c>
      <c r="E39" s="88">
        <f>E37*'ARCHIVE_Control Tower'!$B$6</f>
        <v>894.61914583333339</v>
      </c>
      <c r="F39" s="88">
        <f>F37*'ARCHIVE_Control Tower'!$B$6</f>
        <v>1129.392625</v>
      </c>
      <c r="G39" s="88">
        <f>G37*'ARCHIVE_Control Tower'!$B$6</f>
        <v>1137.5788749999999</v>
      </c>
      <c r="H39" s="88">
        <f>H37*'ARCHIVE_Control Tower'!$B$6</f>
        <v>1145.7651249999999</v>
      </c>
      <c r="I39" s="88">
        <f>I37*'ARCHIVE_Control Tower'!$B$6</f>
        <v>1149.85825</v>
      </c>
      <c r="J39" s="88">
        <f>J37*'ARCHIVE_Control Tower'!$B$6</f>
        <v>1229.1777708333334</v>
      </c>
      <c r="K39" s="88">
        <f>K37*'ARCHIVE_Control Tower'!$B$6</f>
        <v>1233.2708958333333</v>
      </c>
      <c r="L39" s="88">
        <f>L37*'ARCHIVE_Control Tower'!$B$6</f>
        <v>1241.4571458333335</v>
      </c>
      <c r="M39" s="88">
        <f>M37*'ARCHIVE_Control Tower'!$B$6</f>
        <v>1249.6433958333334</v>
      </c>
      <c r="N39" s="88">
        <f>N37*'ARCHIVE_Control Tower'!$B$6</f>
        <v>1371.2947708333334</v>
      </c>
      <c r="O39" s="88">
        <f>O37*'ARCHIVE_Control Tower'!$B$6</f>
        <v>1379.4810208333333</v>
      </c>
      <c r="P39" s="88">
        <f>P37*'ARCHIVE_Control Tower'!$B$6</f>
        <v>1420.9063827083335</v>
      </c>
      <c r="Q39" s="88">
        <f>Q37*'ARCHIVE_Control Tower'!$B$6</f>
        <v>1429.0926327083334</v>
      </c>
      <c r="R39" s="88">
        <f>R37*'ARCHIVE_Control Tower'!$B$6</f>
        <v>1506.4530266666668</v>
      </c>
      <c r="S39" s="88">
        <f>S37*'ARCHIVE_Control Tower'!$B$6</f>
        <v>1514.6392766666668</v>
      </c>
      <c r="T39" s="88">
        <f>T37*'ARCHIVE_Control Tower'!$B$6</f>
        <v>1518.7324016666666</v>
      </c>
      <c r="U39" s="88">
        <f>U37*'ARCHIVE_Control Tower'!$B$6</f>
        <v>1526.9186516666666</v>
      </c>
      <c r="V39" s="88">
        <f>V37*'ARCHIVE_Control Tower'!$B$6</f>
        <v>1531.0117766666667</v>
      </c>
      <c r="W39" s="88">
        <f>W37*'ARCHIVE_Control Tower'!$B$6</f>
        <v>1535.1049016666668</v>
      </c>
      <c r="X39" s="88">
        <f>X37*'ARCHIVE_Control Tower'!$B$6</f>
        <v>1664.3761491666669</v>
      </c>
      <c r="Y39" s="88">
        <f>Y37*'ARCHIVE_Control Tower'!$B$6</f>
        <v>1668.469274166667</v>
      </c>
      <c r="Z39" s="88">
        <f>Z37*'ARCHIVE_Control Tower'!$B$6</f>
        <v>1749.9227931250002</v>
      </c>
      <c r="AA39" s="88">
        <f>AA37*'ARCHIVE_Control Tower'!$B$6</f>
        <v>1754.0159181250001</v>
      </c>
      <c r="AB39" s="88">
        <f>AB37*'ARCHIVE_Control Tower'!$B$6</f>
        <v>1804.5898331687499</v>
      </c>
      <c r="AC39" s="88">
        <f>AC37*'ARCHIVE_Control Tower'!$B$6</f>
        <v>1808.68295816875</v>
      </c>
      <c r="AD39" s="88">
        <f>AD37*'ARCHIVE_Control Tower'!$B$6</f>
        <v>1808.68295816875</v>
      </c>
      <c r="AE39" s="88">
        <f>AE37*'ARCHIVE_Control Tower'!$B$6</f>
        <v>1812.7760831687499</v>
      </c>
      <c r="AF39" s="88">
        <f>AF37*'ARCHIVE_Control Tower'!$B$6</f>
        <v>1816.86920816875</v>
      </c>
      <c r="AG39" s="88">
        <f>AG37*'ARCHIVE_Control Tower'!$B$6</f>
        <v>1820.9623331687501</v>
      </c>
      <c r="AH39" s="88">
        <f>AH37*'ARCHIVE_Control Tower'!$B$6</f>
        <v>1825.05545816875</v>
      </c>
      <c r="AI39" s="88">
        <f>AI37*'ARCHIVE_Control Tower'!$B$6</f>
        <v>1829.1485831687501</v>
      </c>
      <c r="AJ39" s="88">
        <f>AJ37*'ARCHIVE_Control Tower'!$B$6</f>
        <v>1833.2417081687499</v>
      </c>
      <c r="AK39" s="88">
        <f>AK37*'ARCHIVE_Control Tower'!$B$6</f>
        <v>1833.2417081687499</v>
      </c>
      <c r="AL39" s="88">
        <f>AL37*'ARCHIVE_Control Tower'!$B$6</f>
        <v>1837.33483316875</v>
      </c>
      <c r="AM39" s="88">
        <f>AM37*'ARCHIVE_Control Tower'!$B$6</f>
        <v>1841.4279581687499</v>
      </c>
      <c r="AN39" s="144">
        <f>SUM(D39:O39)</f>
        <v>13666.404791666668</v>
      </c>
      <c r="AO39" s="144">
        <f>SUM(P39:AA39)</f>
        <v>18819.643185000001</v>
      </c>
      <c r="AP39" s="144">
        <f>SUM(AB39:AM39)</f>
        <v>21872.013623024999</v>
      </c>
    </row>
    <row r="40" spans="1:42" x14ac:dyDescent="0.2">
      <c r="A40" s="86" t="s">
        <v>9</v>
      </c>
      <c r="B40" s="94" t="s">
        <v>232</v>
      </c>
      <c r="C40" s="95"/>
      <c r="D40" s="88">
        <f>D37*'ARCHIVE_Control Tower'!$B$7</f>
        <v>818.70124999999985</v>
      </c>
      <c r="E40" s="88">
        <f>E37*'ARCHIVE_Control Tower'!$B$7</f>
        <v>1450.7337500000001</v>
      </c>
      <c r="F40" s="88">
        <f>F37*'ARCHIVE_Control Tower'!$B$7</f>
        <v>1831.4475</v>
      </c>
      <c r="G40" s="88">
        <f>G37*'ARCHIVE_Control Tower'!$B$7</f>
        <v>1844.7224999999999</v>
      </c>
      <c r="H40" s="88">
        <f>H37*'ARCHIVE_Control Tower'!$B$7</f>
        <v>1857.9974999999999</v>
      </c>
      <c r="I40" s="88">
        <f>I37*'ARCHIVE_Control Tower'!$B$7</f>
        <v>1864.635</v>
      </c>
      <c r="J40" s="88">
        <f>J37*'ARCHIVE_Control Tower'!$B$7</f>
        <v>1993.26125</v>
      </c>
      <c r="K40" s="88">
        <f>K37*'ARCHIVE_Control Tower'!$B$7</f>
        <v>1999.8987500000001</v>
      </c>
      <c r="L40" s="88">
        <f>L37*'ARCHIVE_Control Tower'!$B$7</f>
        <v>2013.1737500000002</v>
      </c>
      <c r="M40" s="88">
        <f>M37*'ARCHIVE_Control Tower'!$B$7</f>
        <v>2026.44875</v>
      </c>
      <c r="N40" s="88">
        <f>N37*'ARCHIVE_Control Tower'!$B$7</f>
        <v>2223.7212500000001</v>
      </c>
      <c r="O40" s="88">
        <f>O37*'ARCHIVE_Control Tower'!$B$7</f>
        <v>2236.9962500000001</v>
      </c>
      <c r="P40" s="88">
        <f>P37*'ARCHIVE_Control Tower'!$B$7</f>
        <v>2304.1725125000003</v>
      </c>
      <c r="Q40" s="88">
        <f>Q37*'ARCHIVE_Control Tower'!$B$7</f>
        <v>2317.4475125000004</v>
      </c>
      <c r="R40" s="88">
        <f>R37*'ARCHIVE_Control Tower'!$B$7</f>
        <v>2442.8968</v>
      </c>
      <c r="S40" s="88">
        <f>S37*'ARCHIVE_Control Tower'!$B$7</f>
        <v>2456.1718000000001</v>
      </c>
      <c r="T40" s="88">
        <f>T37*'ARCHIVE_Control Tower'!$B$7</f>
        <v>2462.8093000000003</v>
      </c>
      <c r="U40" s="88">
        <f>U37*'ARCHIVE_Control Tower'!$B$7</f>
        <v>2476.0843</v>
      </c>
      <c r="V40" s="88">
        <f>V37*'ARCHIVE_Control Tower'!$B$7</f>
        <v>2482.7218000000003</v>
      </c>
      <c r="W40" s="88">
        <f>W37*'ARCHIVE_Control Tower'!$B$7</f>
        <v>2489.3593000000001</v>
      </c>
      <c r="X40" s="88">
        <f>X37*'ARCHIVE_Control Tower'!$B$7</f>
        <v>2698.9883500000005</v>
      </c>
      <c r="Y40" s="88">
        <f>Y37*'ARCHIVE_Control Tower'!$B$7</f>
        <v>2705.6258500000004</v>
      </c>
      <c r="Z40" s="88">
        <f>Z37*'ARCHIVE_Control Tower'!$B$7</f>
        <v>2837.7126375000003</v>
      </c>
      <c r="AA40" s="88">
        <f>AA37*'ARCHIVE_Control Tower'!$B$7</f>
        <v>2844.3501375000005</v>
      </c>
      <c r="AB40" s="88">
        <f>AB37*'ARCHIVE_Control Tower'!$B$7</f>
        <v>2926.3618916250002</v>
      </c>
      <c r="AC40" s="88">
        <f>AC37*'ARCHIVE_Control Tower'!$B$7</f>
        <v>2932.999391625</v>
      </c>
      <c r="AD40" s="88">
        <f>AD37*'ARCHIVE_Control Tower'!$B$7</f>
        <v>2932.999391625</v>
      </c>
      <c r="AE40" s="88">
        <f>AE37*'ARCHIVE_Control Tower'!$B$7</f>
        <v>2939.6368916249999</v>
      </c>
      <c r="AF40" s="88">
        <f>AF37*'ARCHIVE_Control Tower'!$B$7</f>
        <v>2946.2743916250001</v>
      </c>
      <c r="AG40" s="88">
        <f>AG37*'ARCHIVE_Control Tower'!$B$7</f>
        <v>2952.911891625</v>
      </c>
      <c r="AH40" s="88">
        <f>AH37*'ARCHIVE_Control Tower'!$B$7</f>
        <v>2959.5493916250002</v>
      </c>
      <c r="AI40" s="88">
        <f>AI37*'ARCHIVE_Control Tower'!$B$7</f>
        <v>2966.186891625</v>
      </c>
      <c r="AJ40" s="88">
        <f>AJ37*'ARCHIVE_Control Tower'!$B$7</f>
        <v>2972.8243916249999</v>
      </c>
      <c r="AK40" s="88">
        <f>AK37*'ARCHIVE_Control Tower'!$B$7</f>
        <v>2972.8243916249999</v>
      </c>
      <c r="AL40" s="88">
        <f>AL37*'ARCHIVE_Control Tower'!$B$7</f>
        <v>2979.4618916250001</v>
      </c>
      <c r="AM40" s="88">
        <f>AM37*'ARCHIVE_Control Tower'!$B$7</f>
        <v>2986.099391625</v>
      </c>
      <c r="AN40" s="144">
        <f>SUM(D40:O40)</f>
        <v>22161.737499999999</v>
      </c>
      <c r="AO40" s="144">
        <f>SUM(P40:AA40)</f>
        <v>30518.340300000003</v>
      </c>
      <c r="AP40" s="144">
        <f>SUM(AB40:AM40)</f>
        <v>35468.130199499996</v>
      </c>
    </row>
    <row r="41" spans="1:42" x14ac:dyDescent="0.2">
      <c r="A41" s="7" t="s">
        <v>223</v>
      </c>
      <c r="B41" s="9" t="s">
        <v>13</v>
      </c>
      <c r="C41" s="24"/>
      <c r="D41" s="71">
        <f>('ARCHIVE_Control Tower'!$B$8)*(IF(D6&gt;=1,3,0)+IF(D6&gt;=2,3,0)+IF(D6&gt;=3,2,0)+MAX(0,D9-((IF(D6&gt;=1,1,0))+(IF(D6&gt;=2,1,0))))+MAX(0,D10-((IF(D6&gt;=1,1,0))+(IF(D6&gt;=3,1,0)))))</f>
        <v>2000</v>
      </c>
      <c r="E41" s="71">
        <f>('ARCHIVE_Control Tower'!$B$8)*(IF(E6&gt;=1,3,0)+IF(E6&gt;=2,3,0)+IF(E6&gt;=3,2,0)+MAX(0,E9-((IF(E6&gt;=1,1,0))+(IF(E6&gt;=2,1,0))))+MAX(0,E10-((IF(E6&gt;=1,1,0))+(IF(E6&gt;=3,1,0)))))</f>
        <v>3500</v>
      </c>
      <c r="F41" s="71">
        <f>('ARCHIVE_Control Tower'!$B$8)*(IF(F6&gt;=1,3,0)+IF(F6&gt;=2,3,0)+IF(F6&gt;=3,2,0)+MAX(0,F9-((IF(F6&gt;=1,1,0))+(IF(F6&gt;=2,1,0))))+MAX(0,F10-((IF(F6&gt;=1,1,0))+(IF(F6&gt;=3,1,0)))))</f>
        <v>4000</v>
      </c>
      <c r="G41" s="71">
        <f>('ARCHIVE_Control Tower'!$B$8)*(IF(G6&gt;=1,3,0)+IF(G6&gt;=2,3,0)+IF(G6&gt;=3,2,0)+MAX(0,G9-((IF(G6&gt;=1,1,0))+(IF(G6&gt;=2,1,0))))+MAX(0,G10-((IF(G6&gt;=1,1,0))+(IF(G6&gt;=3,1,0)))))</f>
        <v>4000</v>
      </c>
      <c r="H41" s="71">
        <f>('ARCHIVE_Control Tower'!$B$8)*(IF(H6&gt;=1,3,0)+IF(H6&gt;=2,3,0)+IF(H6&gt;=3,2,0)+MAX(0,H9-((IF(H6&gt;=1,1,0))+(IF(H6&gt;=2,1,0))))+MAX(0,H10-((IF(H6&gt;=1,1,0))+(IF(H6&gt;=3,1,0)))))</f>
        <v>4000</v>
      </c>
      <c r="I41" s="71">
        <f>('ARCHIVE_Control Tower'!$B$8)*(IF(I6&gt;=1,3,0)+IF(I6&gt;=2,3,0)+IF(I6&gt;=3,2,0)+MAX(0,I9-((IF(I6&gt;=1,1,0))+(IF(I6&gt;=2,1,0))))+MAX(0,I10-((IF(I6&gt;=1,1,0))+(IF(I6&gt;=3,1,0)))))</f>
        <v>4000</v>
      </c>
      <c r="J41" s="71">
        <f>('ARCHIVE_Control Tower'!$B$8)*(IF(J6&gt;=1,3,0)+IF(J6&gt;=2,3,0)+IF(J6&gt;=3,2,0)+MAX(0,J9-((IF(J6&gt;=1,1,0))+(IF(J6&gt;=2,1,0))))+MAX(0,J10-((IF(J6&gt;=1,1,0))+(IF(J6&gt;=3,1,0)))))</f>
        <v>4500</v>
      </c>
      <c r="K41" s="71">
        <f>('ARCHIVE_Control Tower'!$B$8)*(IF(K6&gt;=1,3,0)+IF(K6&gt;=2,3,0)+IF(K6&gt;=3,2,0)+MAX(0,K9-((IF(K6&gt;=1,1,0))+(IF(K6&gt;=2,1,0))))+MAX(0,K10-((IF(K6&gt;=1,1,0))+(IF(K6&gt;=3,1,0)))))</f>
        <v>4500</v>
      </c>
      <c r="L41" s="71">
        <f>('ARCHIVE_Control Tower'!$B$8)*(IF(L6&gt;=1,3,0)+IF(L6&gt;=2,3,0)+IF(L6&gt;=3,2,0)+MAX(0,L9-((IF(L6&gt;=1,1,0))+(IF(L6&gt;=2,1,0))))+MAX(0,L10-((IF(L6&gt;=1,1,0))+(IF(L6&gt;=3,1,0)))))</f>
        <v>4500</v>
      </c>
      <c r="M41" s="71">
        <f>('ARCHIVE_Control Tower'!$B$8)*(IF(M6&gt;=1,3,0)+IF(M6&gt;=2,3,0)+IF(M6&gt;=3,2,0)+MAX(0,M9-((IF(M6&gt;=1,1,0))+(IF(M6&gt;=2,1,0))))+MAX(0,M10-((IF(M6&gt;=1,1,0))+(IF(M6&gt;=3,1,0)))))</f>
        <v>4500</v>
      </c>
      <c r="N41" s="71">
        <f>('ARCHIVE_Control Tower'!$B$8)*(IF(N6&gt;=1,3,0)+IF(N6&gt;=2,3,0)+IF(N6&gt;=3,2,0)+MAX(0,N9-((IF(N6&gt;=1,1,0))+(IF(N6&gt;=2,1,0))))+MAX(0,N10-((IF(N6&gt;=1,1,0))+(IF(N6&gt;=3,1,0)))))</f>
        <v>5000</v>
      </c>
      <c r="O41" s="71">
        <f>('ARCHIVE_Control Tower'!$B$8)*(IF(O6&gt;=1,3,0)+IF(O6&gt;=2,3,0)+IF(O6&gt;=3,2,0)+MAX(0,O9-((IF(O6&gt;=1,1,0))+(IF(O6&gt;=2,1,0))))+MAX(0,O10-((IF(O6&gt;=1,1,0))+(IF(O6&gt;=3,1,0)))))</f>
        <v>5000</v>
      </c>
      <c r="P41" s="71">
        <f>('ARCHIVE_Control Tower'!$B$8)*(IF(P6&gt;=1,3,0)+IF(P6&gt;=2,3,0)+IF(P6&gt;=3,2,0)+MAX(0,P9-((IF(P6&gt;=1,1,0))+(IF(P6&gt;=2,1,0))))+MAX(0,P10-((IF(P6&gt;=1,1,0))+(IF(P6&gt;=3,1,0)))))</f>
        <v>5000</v>
      </c>
      <c r="Q41" s="71">
        <f>('ARCHIVE_Control Tower'!$B$8)*(IF(Q6&gt;=1,3,0)+IF(Q6&gt;=2,3,0)+IF(Q6&gt;=3,2,0)+MAX(0,Q9-((IF(Q6&gt;=1,1,0))+(IF(Q6&gt;=2,1,0))))+MAX(0,Q10-((IF(Q6&gt;=1,1,0))+(IF(Q6&gt;=3,1,0)))))</f>
        <v>5000</v>
      </c>
      <c r="R41" s="71">
        <f>('ARCHIVE_Control Tower'!$B$8)*(IF(R6&gt;=1,3,0)+IF(R6&gt;=2,3,0)+IF(R6&gt;=3,2,0)+MAX(0,R9-((IF(R6&gt;=1,1,0))+(IF(R6&gt;=2,1,0))))+MAX(0,R10-((IF(R6&gt;=1,1,0))+(IF(R6&gt;=3,1,0)))))</f>
        <v>5500</v>
      </c>
      <c r="S41" s="71">
        <f>('ARCHIVE_Control Tower'!$B$8)*(IF(S6&gt;=1,3,0)+IF(S6&gt;=2,3,0)+IF(S6&gt;=3,2,0)+MAX(0,S9-((IF(S6&gt;=1,1,0))+(IF(S6&gt;=2,1,0))))+MAX(0,S10-((IF(S6&gt;=1,1,0))+(IF(S6&gt;=3,1,0)))))</f>
        <v>5500</v>
      </c>
      <c r="T41" s="71">
        <f>('ARCHIVE_Control Tower'!$B$8)*(IF(T6&gt;=1,3,0)+IF(T6&gt;=2,3,0)+IF(T6&gt;=3,2,0)+MAX(0,T9-((IF(T6&gt;=1,1,0))+(IF(T6&gt;=2,1,0))))+MAX(0,T10-((IF(T6&gt;=1,1,0))+(IF(T6&gt;=3,1,0)))))</f>
        <v>5500</v>
      </c>
      <c r="U41" s="71">
        <f>('ARCHIVE_Control Tower'!$B$8)*(IF(U6&gt;=1,3,0)+IF(U6&gt;=2,3,0)+IF(U6&gt;=3,2,0)+MAX(0,U9-((IF(U6&gt;=1,1,0))+(IF(U6&gt;=2,1,0))))+MAX(0,U10-((IF(U6&gt;=1,1,0))+(IF(U6&gt;=3,1,0)))))</f>
        <v>5500</v>
      </c>
      <c r="V41" s="71">
        <f>('ARCHIVE_Control Tower'!$B$8)*(IF(V6&gt;=1,3,0)+IF(V6&gt;=2,3,0)+IF(V6&gt;=3,2,0)+MAX(0,V9-((IF(V6&gt;=1,1,0))+(IF(V6&gt;=2,1,0))))+MAX(0,V10-((IF(V6&gt;=1,1,0))+(IF(V6&gt;=3,1,0)))))</f>
        <v>5500</v>
      </c>
      <c r="W41" s="71">
        <f>('ARCHIVE_Control Tower'!$B$8)*(IF(W6&gt;=1,3,0)+IF(W6&gt;=2,3,0)+IF(W6&gt;=3,2,0)+MAX(0,W9-((IF(W6&gt;=1,1,0))+(IF(W6&gt;=2,1,0))))+MAX(0,W10-((IF(W6&gt;=1,1,0))+(IF(W6&gt;=3,1,0)))))</f>
        <v>5500</v>
      </c>
      <c r="X41" s="71">
        <f>('ARCHIVE_Control Tower'!$B$8)*(IF(X6&gt;=1,3,0)+IF(X6&gt;=2,3,0)+IF(X6&gt;=3,2,0)+MAX(0,X9-((IF(X6&gt;=1,1,0))+(IF(X6&gt;=2,1,0))))+MAX(0,X10-((IF(X6&gt;=1,1,0))+(IF(X6&gt;=3,1,0)))))</f>
        <v>6000</v>
      </c>
      <c r="Y41" s="71">
        <f>('ARCHIVE_Control Tower'!$B$8)*(IF(Y6&gt;=1,3,0)+IF(Y6&gt;=2,3,0)+IF(Y6&gt;=3,2,0)+MAX(0,Y9-((IF(Y6&gt;=1,1,0))+(IF(Y6&gt;=2,1,0))))+MAX(0,Y10-((IF(Y6&gt;=1,1,0))+(IF(Y6&gt;=3,1,0)))))</f>
        <v>6000</v>
      </c>
      <c r="Z41" s="71">
        <f>('ARCHIVE_Control Tower'!$B$8)*(IF(Z6&gt;=1,3,0)+IF(Z6&gt;=2,3,0)+IF(Z6&gt;=3,2,0)+MAX(0,Z9-((IF(Z6&gt;=1,1,0))+(IF(Z6&gt;=2,1,0))))+MAX(0,Z10-((IF(Z6&gt;=1,1,0))+(IF(Z6&gt;=3,1,0)))))</f>
        <v>6500</v>
      </c>
      <c r="AA41" s="71">
        <f>('ARCHIVE_Control Tower'!$B$8)*(IF(AA6&gt;=1,3,0)+IF(AA6&gt;=2,3,0)+IF(AA6&gt;=3,2,0)+MAX(0,AA9-((IF(AA6&gt;=1,1,0))+(IF(AA6&gt;=2,1,0))))+MAX(0,AA10-((IF(AA6&gt;=1,1,0))+(IF(AA6&gt;=3,1,0)))))</f>
        <v>6500</v>
      </c>
      <c r="AB41" s="71">
        <f>('ARCHIVE_Control Tower'!$B$8)*(IF(AB6&gt;=1,3,0)+IF(AB6&gt;=2,3,0)+IF(AB6&gt;=3,2,0)+MAX(0,AB9-((IF(AB6&gt;=1,1,0))+(IF(AB6&gt;=2,1,0))))+MAX(0,AB10-((IF(AB6&gt;=1,1,0))+(IF(AB6&gt;=3,1,0)))))</f>
        <v>6500</v>
      </c>
      <c r="AC41" s="71">
        <f>('ARCHIVE_Control Tower'!$B$8)*(IF(AC6&gt;=1,3,0)+IF(AC6&gt;=2,3,0)+IF(AC6&gt;=3,2,0)+MAX(0,AC9-((IF(AC6&gt;=1,1,0))+(IF(AC6&gt;=2,1,0))))+MAX(0,AC10-((IF(AC6&gt;=1,1,0))+(IF(AC6&gt;=3,1,0)))))</f>
        <v>6500</v>
      </c>
      <c r="AD41" s="71">
        <f>('ARCHIVE_Control Tower'!$B$8)*(IF(AD6&gt;=1,3,0)+IF(AD6&gt;=2,3,0)+IF(AD6&gt;=3,2,0)+MAX(0,AD9-((IF(AD6&gt;=1,1,0))+(IF(AD6&gt;=2,1,0))))+MAX(0,AD10-((IF(AD6&gt;=1,1,0))+(IF(AD6&gt;=3,1,0)))))</f>
        <v>6500</v>
      </c>
      <c r="AE41" s="71">
        <f>('ARCHIVE_Control Tower'!$B$8)*(IF(AE6&gt;=1,3,0)+IF(AE6&gt;=2,3,0)+IF(AE6&gt;=3,2,0)+MAX(0,AE9-((IF(AE6&gt;=1,1,0))+(IF(AE6&gt;=2,1,0))))+MAX(0,AE10-((IF(AE6&gt;=1,1,0))+(IF(AE6&gt;=3,1,0)))))</f>
        <v>6500</v>
      </c>
      <c r="AF41" s="71">
        <f>('ARCHIVE_Control Tower'!$B$8)*(IF(AF6&gt;=1,3,0)+IF(AF6&gt;=2,3,0)+IF(AF6&gt;=3,2,0)+MAX(0,AF9-((IF(AF6&gt;=1,1,0))+(IF(AF6&gt;=2,1,0))))+MAX(0,AF10-((IF(AF6&gt;=1,1,0))+(IF(AF6&gt;=3,1,0)))))</f>
        <v>6500</v>
      </c>
      <c r="AG41" s="71">
        <f>('ARCHIVE_Control Tower'!$B$8)*(IF(AG6&gt;=1,3,0)+IF(AG6&gt;=2,3,0)+IF(AG6&gt;=3,2,0)+MAX(0,AG9-((IF(AG6&gt;=1,1,0))+(IF(AG6&gt;=2,1,0))))+MAX(0,AG10-((IF(AG6&gt;=1,1,0))+(IF(AG6&gt;=3,1,0)))))</f>
        <v>6500</v>
      </c>
      <c r="AH41" s="71">
        <f>('ARCHIVE_Control Tower'!$B$8)*(IF(AH6&gt;=1,3,0)+IF(AH6&gt;=2,3,0)+IF(AH6&gt;=3,2,0)+MAX(0,AH9-((IF(AH6&gt;=1,1,0))+(IF(AH6&gt;=2,1,0))))+MAX(0,AH10-((IF(AH6&gt;=1,1,0))+(IF(AH6&gt;=3,1,0)))))</f>
        <v>6500</v>
      </c>
      <c r="AI41" s="71">
        <f>('ARCHIVE_Control Tower'!$B$8)*(IF(AI6&gt;=1,3,0)+IF(AI6&gt;=2,3,0)+IF(AI6&gt;=3,2,0)+MAX(0,AI9-((IF(AI6&gt;=1,1,0))+(IF(AI6&gt;=2,1,0))))+MAX(0,AI10-((IF(AI6&gt;=1,1,0))+(IF(AI6&gt;=3,1,0)))))</f>
        <v>6500</v>
      </c>
      <c r="AJ41" s="71">
        <f>('ARCHIVE_Control Tower'!$B$8)*(IF(AJ6&gt;=1,3,0)+IF(AJ6&gt;=2,3,0)+IF(AJ6&gt;=3,2,0)+MAX(0,AJ9-((IF(AJ6&gt;=1,1,0))+(IF(AJ6&gt;=2,1,0))))+MAX(0,AJ10-((IF(AJ6&gt;=1,1,0))+(IF(AJ6&gt;=3,1,0)))))</f>
        <v>6500</v>
      </c>
      <c r="AK41" s="71">
        <f>('ARCHIVE_Control Tower'!$B$8)*(IF(AK6&gt;=1,3,0)+IF(AK6&gt;=2,3,0)+IF(AK6&gt;=3,2,0)+MAX(0,AK9-((IF(AK6&gt;=1,1,0))+(IF(AK6&gt;=2,1,0))))+MAX(0,AK10-((IF(AK6&gt;=1,1,0))+(IF(AK6&gt;=3,1,0)))))</f>
        <v>6500</v>
      </c>
      <c r="AL41" s="71">
        <f>('ARCHIVE_Control Tower'!$B$8)*(IF(AL6&gt;=1,3,0)+IF(AL6&gt;=2,3,0)+IF(AL6&gt;=3,2,0)+MAX(0,AL9-((IF(AL6&gt;=1,1,0))+(IF(AL6&gt;=2,1,0))))+MAX(0,AL10-((IF(AL6&gt;=1,1,0))+(IF(AL6&gt;=3,1,0)))))</f>
        <v>6500</v>
      </c>
      <c r="AM41" s="71">
        <f>('ARCHIVE_Control Tower'!$B$8)*(IF(AM6&gt;=1,3,0)+IF(AM6&gt;=2,3,0)+IF(AM6&gt;=3,2,0)+MAX(0,AM9-((IF(AM6&gt;=1,1,0))+(IF(AM6&gt;=2,1,0))))+MAX(0,AM10-((IF(AM6&gt;=1,1,0))+(IF(AM6&gt;=3,1,0)))))</f>
        <v>6500</v>
      </c>
      <c r="AN41" s="144">
        <f>SUM(D41:O41)</f>
        <v>49500</v>
      </c>
      <c r="AO41" s="144">
        <f>SUM(P41:AA41)</f>
        <v>68000</v>
      </c>
      <c r="AP41" s="144">
        <f>SUM(AB41:AM41)</f>
        <v>78000</v>
      </c>
    </row>
    <row r="42" spans="1:42" x14ac:dyDescent="0.2">
      <c r="A42" s="145" t="s">
        <v>403</v>
      </c>
      <c r="B42" s="142"/>
      <c r="C42" s="142"/>
      <c r="D42" s="144">
        <f t="shared" ref="D42:AM42" si="8">SUM(D38:D41)</f>
        <v>5411.255208333333</v>
      </c>
      <c r="E42" s="144">
        <f t="shared" si="8"/>
        <v>9544.7239583333339</v>
      </c>
      <c r="F42" s="144">
        <f t="shared" si="8"/>
        <v>11631.03125</v>
      </c>
      <c r="G42" s="144">
        <f t="shared" si="8"/>
        <v>11686.34375</v>
      </c>
      <c r="H42" s="144">
        <f t="shared" si="8"/>
        <v>11741.65625</v>
      </c>
      <c r="I42" s="144">
        <f t="shared" si="8"/>
        <v>11769.3125</v>
      </c>
      <c r="J42" s="144">
        <f t="shared" si="8"/>
        <v>12805.255208333334</v>
      </c>
      <c r="K42" s="144">
        <f t="shared" si="8"/>
        <v>12832.911458333334</v>
      </c>
      <c r="L42" s="144">
        <f t="shared" si="8"/>
        <v>12888.223958333334</v>
      </c>
      <c r="M42" s="144">
        <f t="shared" si="8"/>
        <v>12943.536458333334</v>
      </c>
      <c r="N42" s="144">
        <f t="shared" si="8"/>
        <v>14265.505208333334</v>
      </c>
      <c r="O42" s="144">
        <f t="shared" si="8"/>
        <v>14320.817708333334</v>
      </c>
      <c r="P42" s="144">
        <f t="shared" si="8"/>
        <v>14600.718802083335</v>
      </c>
      <c r="Q42" s="144">
        <f t="shared" si="8"/>
        <v>14656.031302083335</v>
      </c>
      <c r="R42" s="144">
        <f t="shared" si="8"/>
        <v>15678.736666666668</v>
      </c>
      <c r="S42" s="144">
        <f t="shared" si="8"/>
        <v>15734.049166666668</v>
      </c>
      <c r="T42" s="144">
        <f t="shared" si="8"/>
        <v>15761.705416666668</v>
      </c>
      <c r="U42" s="144">
        <f t="shared" si="8"/>
        <v>15817.017916666668</v>
      </c>
      <c r="V42" s="144">
        <f t="shared" si="8"/>
        <v>15844.674166666668</v>
      </c>
      <c r="W42" s="144">
        <f t="shared" si="8"/>
        <v>15872.330416666668</v>
      </c>
      <c r="X42" s="144">
        <f t="shared" si="8"/>
        <v>17245.784791666669</v>
      </c>
      <c r="Y42" s="144">
        <f t="shared" si="8"/>
        <v>17273.441041666669</v>
      </c>
      <c r="Z42" s="144">
        <f t="shared" si="8"/>
        <v>18323.802656250002</v>
      </c>
      <c r="AA42" s="144">
        <f t="shared" si="8"/>
        <v>18351.458906250002</v>
      </c>
      <c r="AB42" s="144">
        <f t="shared" si="8"/>
        <v>18693.174548437499</v>
      </c>
      <c r="AC42" s="144">
        <f t="shared" si="8"/>
        <v>18720.830798437499</v>
      </c>
      <c r="AD42" s="144">
        <f t="shared" si="8"/>
        <v>18720.830798437499</v>
      </c>
      <c r="AE42" s="144">
        <f t="shared" si="8"/>
        <v>18748.487048437499</v>
      </c>
      <c r="AF42" s="144">
        <f t="shared" si="8"/>
        <v>18776.143298437499</v>
      </c>
      <c r="AG42" s="144">
        <f t="shared" si="8"/>
        <v>18803.799548437499</v>
      </c>
      <c r="AH42" s="144">
        <f t="shared" si="8"/>
        <v>18831.455798437499</v>
      </c>
      <c r="AI42" s="144">
        <f t="shared" si="8"/>
        <v>18859.112048437499</v>
      </c>
      <c r="AJ42" s="144">
        <f t="shared" si="8"/>
        <v>18886.768298437499</v>
      </c>
      <c r="AK42" s="144">
        <f t="shared" si="8"/>
        <v>18886.768298437499</v>
      </c>
      <c r="AL42" s="144">
        <f t="shared" si="8"/>
        <v>18914.424548437499</v>
      </c>
      <c r="AM42" s="144">
        <f t="shared" si="8"/>
        <v>18942.080798437499</v>
      </c>
      <c r="AN42" s="144">
        <f>SUM(D42:O42)</f>
        <v>141840.57291666666</v>
      </c>
      <c r="AO42" s="144">
        <f>SUM(P42:AA42)</f>
        <v>195159.75125000003</v>
      </c>
      <c r="AP42" s="144">
        <f>SUM(AB42:AM42)</f>
        <v>225783.87583124998</v>
      </c>
    </row>
    <row r="43" spans="1:42" x14ac:dyDescent="0.2">
      <c r="A43" s="96" t="s">
        <v>404</v>
      </c>
      <c r="B43" s="96"/>
      <c r="C43" s="96"/>
      <c r="D43" s="96"/>
      <c r="E43" s="96"/>
      <c r="F43" s="96"/>
      <c r="G43" s="96"/>
      <c r="H43" s="96"/>
      <c r="I43" s="96"/>
      <c r="J43" s="96"/>
      <c r="K43" s="96"/>
      <c r="L43" s="96"/>
      <c r="M43" s="96"/>
      <c r="N43" s="96"/>
      <c r="O43" s="96"/>
      <c r="P43" s="96"/>
      <c r="Q43" s="96"/>
      <c r="R43" s="96"/>
      <c r="S43" s="96"/>
      <c r="T43" s="96"/>
      <c r="U43" s="96"/>
      <c r="V43" s="96"/>
      <c r="W43" s="96"/>
      <c r="X43" s="96"/>
      <c r="Y43" s="96"/>
      <c r="Z43" s="96"/>
      <c r="AA43" s="96"/>
      <c r="AB43" s="96"/>
      <c r="AC43" s="96"/>
      <c r="AD43" s="96"/>
      <c r="AE43" s="96"/>
      <c r="AF43" s="96"/>
      <c r="AG43" s="96"/>
      <c r="AH43" s="96"/>
      <c r="AI43" s="96"/>
      <c r="AJ43" s="96"/>
      <c r="AK43" s="96"/>
      <c r="AL43" s="96"/>
      <c r="AM43" s="96"/>
      <c r="AN43" s="96"/>
      <c r="AO43" s="96"/>
      <c r="AP43" s="96"/>
    </row>
    <row r="44" spans="1:42" x14ac:dyDescent="0.2">
      <c r="A44" s="145" t="s">
        <v>405</v>
      </c>
      <c r="B44" s="142"/>
      <c r="C44" s="142"/>
      <c r="D44" s="144">
        <f t="shared" ref="D44:AM44" si="9">D18+D24+D30+D35+D42</f>
        <v>40701.296875</v>
      </c>
      <c r="E44" s="144">
        <f t="shared" si="9"/>
        <v>64402.515625000007</v>
      </c>
      <c r="F44" s="144">
        <f t="shared" si="9"/>
        <v>76679.28125</v>
      </c>
      <c r="G44" s="144">
        <f t="shared" si="9"/>
        <v>77177.09375</v>
      </c>
      <c r="H44" s="144">
        <f t="shared" si="9"/>
        <v>77674.90625</v>
      </c>
      <c r="I44" s="144">
        <f t="shared" si="9"/>
        <v>77923.8125</v>
      </c>
      <c r="J44" s="144">
        <f t="shared" si="9"/>
        <v>83247.296875</v>
      </c>
      <c r="K44" s="144">
        <f t="shared" si="9"/>
        <v>83496.203125</v>
      </c>
      <c r="L44" s="144">
        <f t="shared" si="9"/>
        <v>83994.015625</v>
      </c>
      <c r="M44" s="144">
        <f t="shared" si="9"/>
        <v>84491.828125</v>
      </c>
      <c r="N44" s="144">
        <f t="shared" si="9"/>
        <v>92389.546875</v>
      </c>
      <c r="O44" s="144">
        <f t="shared" si="9"/>
        <v>92887.359375</v>
      </c>
      <c r="P44" s="144">
        <f t="shared" si="9"/>
        <v>95406.469218750019</v>
      </c>
      <c r="Q44" s="144">
        <f t="shared" si="9"/>
        <v>95904.281718750019</v>
      </c>
      <c r="R44" s="144">
        <f t="shared" si="9"/>
        <v>101108.63</v>
      </c>
      <c r="S44" s="144">
        <f t="shared" si="9"/>
        <v>101606.4425</v>
      </c>
      <c r="T44" s="144">
        <f t="shared" si="9"/>
        <v>101855.34875</v>
      </c>
      <c r="U44" s="144">
        <f t="shared" si="9"/>
        <v>102353.16125</v>
      </c>
      <c r="V44" s="144">
        <f t="shared" si="9"/>
        <v>102602.0675</v>
      </c>
      <c r="W44" s="144">
        <f t="shared" si="9"/>
        <v>102850.97375</v>
      </c>
      <c r="X44" s="144">
        <f t="shared" si="9"/>
        <v>111212.06312500002</v>
      </c>
      <c r="Y44" s="144">
        <f t="shared" si="9"/>
        <v>111460.96937500002</v>
      </c>
      <c r="Z44" s="144">
        <f t="shared" si="9"/>
        <v>116914.22390625002</v>
      </c>
      <c r="AA44" s="144">
        <f t="shared" si="9"/>
        <v>117163.13015625002</v>
      </c>
      <c r="AB44" s="144">
        <f t="shared" si="9"/>
        <v>120238.5709359375</v>
      </c>
      <c r="AC44" s="144">
        <f t="shared" si="9"/>
        <v>120487.4771859375</v>
      </c>
      <c r="AD44" s="144">
        <f t="shared" si="9"/>
        <v>120487.4771859375</v>
      </c>
      <c r="AE44" s="144">
        <f t="shared" si="9"/>
        <v>120736.3834359375</v>
      </c>
      <c r="AF44" s="144">
        <f t="shared" si="9"/>
        <v>120985.2896859375</v>
      </c>
      <c r="AG44" s="144">
        <f t="shared" si="9"/>
        <v>121234.1959359375</v>
      </c>
      <c r="AH44" s="144">
        <f t="shared" si="9"/>
        <v>121483.1021859375</v>
      </c>
      <c r="AI44" s="144">
        <f t="shared" si="9"/>
        <v>121732.0084359375</v>
      </c>
      <c r="AJ44" s="144">
        <f t="shared" si="9"/>
        <v>121980.9146859375</v>
      </c>
      <c r="AK44" s="144">
        <f t="shared" si="9"/>
        <v>121980.9146859375</v>
      </c>
      <c r="AL44" s="144">
        <f t="shared" si="9"/>
        <v>122229.8209359375</v>
      </c>
      <c r="AM44" s="144">
        <f t="shared" si="9"/>
        <v>122478.7271859375</v>
      </c>
      <c r="AN44" s="97">
        <f>SUM(D44:O44)</f>
        <v>935065.15625</v>
      </c>
      <c r="AO44" s="97">
        <f>SUM(P44:AA44)</f>
        <v>1260437.76125</v>
      </c>
      <c r="AP44" s="97">
        <f>SUM(AB44:AM44)</f>
        <v>1456054.8824812502</v>
      </c>
    </row>
    <row r="45" spans="1:42" x14ac:dyDescent="0.2">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row>
    <row r="46" spans="1:42" x14ac:dyDescent="0.2">
      <c r="A46" s="98" t="s">
        <v>406</v>
      </c>
      <c r="B46" s="98"/>
      <c r="C46" s="98"/>
      <c r="D46" s="98"/>
      <c r="E46" s="98"/>
      <c r="F46" s="98"/>
      <c r="G46" s="98"/>
      <c r="H46" s="98"/>
      <c r="I46" s="98"/>
      <c r="J46" s="98"/>
      <c r="K46" s="98"/>
      <c r="L46" s="98"/>
      <c r="M46" s="98"/>
      <c r="N46" s="98"/>
      <c r="O46" s="98"/>
      <c r="P46" s="98"/>
      <c r="Q46" s="98"/>
      <c r="R46" s="98"/>
      <c r="S46" s="98"/>
      <c r="T46" s="98"/>
      <c r="U46" s="98"/>
      <c r="V46" s="98"/>
      <c r="W46" s="98"/>
      <c r="X46" s="98"/>
      <c r="Y46" s="98"/>
      <c r="Z46" s="98"/>
      <c r="AA46" s="98"/>
      <c r="AB46" s="98"/>
      <c r="AC46" s="98"/>
      <c r="AD46" s="98"/>
      <c r="AE46" s="98"/>
      <c r="AF46" s="98"/>
      <c r="AG46" s="98"/>
      <c r="AH46" s="98"/>
      <c r="AI46" s="98"/>
      <c r="AJ46" s="98"/>
      <c r="AK46" s="98"/>
      <c r="AL46" s="98"/>
      <c r="AM46" s="98"/>
      <c r="AN46" s="98"/>
      <c r="AO46" s="98"/>
      <c r="AP46" s="98"/>
    </row>
    <row r="47" spans="1:42" x14ac:dyDescent="0.2">
      <c r="A47" s="147" t="s">
        <v>407</v>
      </c>
      <c r="B47" s="66"/>
      <c r="C47" s="66"/>
      <c r="D47" s="93">
        <f t="shared" ref="D47:AM47" si="10">D18+D24</f>
        <v>17290.041666666664</v>
      </c>
      <c r="E47" s="93">
        <f t="shared" si="10"/>
        <v>24191.125</v>
      </c>
      <c r="F47" s="93">
        <f t="shared" si="10"/>
        <v>24381.583333333332</v>
      </c>
      <c r="G47" s="93">
        <f t="shared" si="10"/>
        <v>24824.083333333332</v>
      </c>
      <c r="H47" s="93">
        <f t="shared" si="10"/>
        <v>25266.583333333332</v>
      </c>
      <c r="I47" s="93">
        <f t="shared" si="10"/>
        <v>25487.833333333332</v>
      </c>
      <c r="J47" s="93">
        <f t="shared" si="10"/>
        <v>29775.375</v>
      </c>
      <c r="K47" s="93">
        <f t="shared" si="10"/>
        <v>29996.625</v>
      </c>
      <c r="L47" s="93">
        <f t="shared" si="10"/>
        <v>30439.125</v>
      </c>
      <c r="M47" s="93">
        <f t="shared" si="10"/>
        <v>30881.625</v>
      </c>
      <c r="N47" s="93">
        <f t="shared" si="10"/>
        <v>37457.375</v>
      </c>
      <c r="O47" s="93">
        <f t="shared" si="10"/>
        <v>37899.875</v>
      </c>
      <c r="P47" s="93">
        <f t="shared" si="10"/>
        <v>39039.083750000005</v>
      </c>
      <c r="Q47" s="93">
        <f t="shared" si="10"/>
        <v>39481.583750000005</v>
      </c>
      <c r="R47" s="93">
        <f t="shared" si="10"/>
        <v>43663.226666666669</v>
      </c>
      <c r="S47" s="93">
        <f t="shared" si="10"/>
        <v>44105.726666666669</v>
      </c>
      <c r="T47" s="93">
        <f t="shared" si="10"/>
        <v>44326.976666666669</v>
      </c>
      <c r="U47" s="93">
        <f t="shared" si="10"/>
        <v>44769.476666666669</v>
      </c>
      <c r="V47" s="93">
        <f t="shared" si="10"/>
        <v>44990.726666666669</v>
      </c>
      <c r="W47" s="93">
        <f t="shared" si="10"/>
        <v>45211.976666666669</v>
      </c>
      <c r="X47" s="93">
        <f t="shared" si="10"/>
        <v>52199.611666666671</v>
      </c>
      <c r="Y47" s="93">
        <f t="shared" si="10"/>
        <v>52420.861666666671</v>
      </c>
      <c r="Z47" s="93">
        <f t="shared" si="10"/>
        <v>56823.754583333335</v>
      </c>
      <c r="AA47" s="93">
        <f t="shared" si="10"/>
        <v>57045.004583333335</v>
      </c>
      <c r="AB47" s="93">
        <f t="shared" si="10"/>
        <v>58645.729720833333</v>
      </c>
      <c r="AC47" s="93">
        <f t="shared" si="10"/>
        <v>58866.979720833333</v>
      </c>
      <c r="AD47" s="93">
        <f t="shared" si="10"/>
        <v>58866.979720833333</v>
      </c>
      <c r="AE47" s="93">
        <f t="shared" si="10"/>
        <v>59088.229720833333</v>
      </c>
      <c r="AF47" s="93">
        <f t="shared" si="10"/>
        <v>59309.479720833333</v>
      </c>
      <c r="AG47" s="93">
        <f t="shared" si="10"/>
        <v>59530.729720833333</v>
      </c>
      <c r="AH47" s="93">
        <f t="shared" si="10"/>
        <v>59751.979720833333</v>
      </c>
      <c r="AI47" s="93">
        <f t="shared" si="10"/>
        <v>59973.229720833333</v>
      </c>
      <c r="AJ47" s="93">
        <f t="shared" si="10"/>
        <v>60194.479720833333</v>
      </c>
      <c r="AK47" s="93">
        <f t="shared" si="10"/>
        <v>60194.479720833333</v>
      </c>
      <c r="AL47" s="93">
        <f t="shared" si="10"/>
        <v>60415.729720833333</v>
      </c>
      <c r="AM47" s="93">
        <f t="shared" si="10"/>
        <v>60636.979720833333</v>
      </c>
      <c r="AN47" s="66"/>
      <c r="AO47" s="66"/>
      <c r="AP47" s="66"/>
    </row>
    <row r="48" spans="1:42" x14ac:dyDescent="0.2">
      <c r="A48" s="152" t="s">
        <v>408</v>
      </c>
      <c r="B48" s="66"/>
      <c r="C48" s="66"/>
      <c r="D48" s="99">
        <f>IF(D7=0,0,D47/(D7*'ARCHIVE_Control Tower'!$B$21))</f>
        <v>37.916758040935669</v>
      </c>
      <c r="E48" s="99">
        <f>IF(E7=0,0,E47/(E7*'ARCHIVE_Control Tower'!$B$21))</f>
        <v>46.80945239938081</v>
      </c>
      <c r="F48" s="99">
        <f>IF(F7=0,0,F47/(F7*'ARCHIVE_Control Tower'!$B$21))</f>
        <v>44.556987085769983</v>
      </c>
      <c r="G48" s="99">
        <f>IF(G7=0,0,G47/(G7*'ARCHIVE_Control Tower'!$B$21))</f>
        <v>40.829084429824562</v>
      </c>
      <c r="H48" s="99">
        <f>IF(H7=0,0,H47/(H7*'ARCHIVE_Control Tower'!$B$21))</f>
        <v>37.778982256778313</v>
      </c>
      <c r="I48" s="99">
        <f>IF(I7=0,0,I47/(I7*'ARCHIVE_Control Tower'!$B$21))</f>
        <v>36.452850877192986</v>
      </c>
      <c r="J48" s="99">
        <f>IF(J7=0,0,J47/(J7*'ARCHIVE_Control Tower'!$B$21))</f>
        <v>39.178125000000001</v>
      </c>
      <c r="K48" s="99">
        <f>IF(K7=0,0,K47/(K7*'ARCHIVE_Control Tower'!$B$21))</f>
        <v>37.951195597165992</v>
      </c>
      <c r="L48" s="99">
        <f>IF(L7=0,0,L47/(L7*'ARCHIVE_Control Tower'!$B$21))</f>
        <v>35.760250234962406</v>
      </c>
      <c r="M48" s="99">
        <f>IF(M7=0,0,M47/(M7*'ARCHIVE_Control Tower'!$B$21))</f>
        <v>33.86143092105263</v>
      </c>
      <c r="N48" s="99">
        <f>IF(N7=0,0,N47/(N7*'ARCHIVE_Control Tower'!$B$21))</f>
        <v>39.746790110356535</v>
      </c>
      <c r="O48" s="99">
        <f>IF(O7=0,0,O47/(O7*'ARCHIVE_Control Tower'!$B$21))</f>
        <v>37.778982256778313</v>
      </c>
      <c r="P48" s="99">
        <f>IF(P7=0,0,P47/(P7*'ARCHIVE_Control Tower'!$B$21))</f>
        <v>37.770011368034062</v>
      </c>
      <c r="Q48" s="99">
        <f>IF(Q7=0,0,Q47/(Q7*'ARCHIVE_Control Tower'!$B$21))</f>
        <v>36.076008543494162</v>
      </c>
      <c r="R48" s="99">
        <f>IF(R7=0,0,R47/(R7*'ARCHIVE_Control Tower'!$B$21))</f>
        <v>38.818658131816029</v>
      </c>
      <c r="S48" s="99">
        <f>IF(S7=0,0,S47/(S7*'ARCHIVE_Control Tower'!$B$21))</f>
        <v>37.201186459739098</v>
      </c>
      <c r="T48" s="99">
        <f>IF(T7=0,0,T47/(T7*'ARCHIVE_Control Tower'!$B$21))</f>
        <v>36.45310581140351</v>
      </c>
      <c r="U48" s="99">
        <f>IF(U7=0,0,U47/(U7*'ARCHIVE_Control Tower'!$B$21))</f>
        <v>35.063813178780286</v>
      </c>
      <c r="V48" s="99">
        <f>IF(V7=0,0,V47/(V7*'ARCHIVE_Control Tower'!$B$21))</f>
        <v>34.41763055895553</v>
      </c>
      <c r="W48" s="99">
        <f>IF(W7=0,0,W47/(W7*'ARCHIVE_Control Tower'!$B$21))</f>
        <v>33.800819876395536</v>
      </c>
      <c r="X48" s="99">
        <f>IF(X7=0,0,X47/(X7*'ARCHIVE_Control Tower'!$B$21))</f>
        <v>37.328097587719306</v>
      </c>
      <c r="Y48" s="99">
        <f>IF(Y7=0,0,Y47/(Y7*'ARCHIVE_Control Tower'!$B$21))</f>
        <v>36.688732969391566</v>
      </c>
      <c r="Z48" s="99">
        <f>IF(Z7=0,0,Z47/(Z7*'ARCHIVE_Control Tower'!$B$21))</f>
        <v>38.146988844880063</v>
      </c>
      <c r="AA48" s="99">
        <f>IF(AA7=0,0,AA47/(AA7*'ARCHIVE_Control Tower'!$B$21))</f>
        <v>37.529608278508775</v>
      </c>
      <c r="AB48" s="99">
        <f>IF(AB7=0,0,AB47/(AB7*'ARCHIVE_Control Tower'!$B$21))</f>
        <v>37.826193060393017</v>
      </c>
      <c r="AC48" s="99">
        <f>IF(AC7=0,0,AC47/(AC7*'ARCHIVE_Control Tower'!$B$21))</f>
        <v>37.2387270501223</v>
      </c>
      <c r="AD48" s="99">
        <f>IF(AD7=0,0,AD47/(AD7*'ARCHIVE_Control Tower'!$B$21))</f>
        <v>37.2387270501223</v>
      </c>
      <c r="AE48" s="99">
        <f>IF(AE7=0,0,AE47/(AE7*'ARCHIVE_Control Tower'!$B$21))</f>
        <v>36.673429568541053</v>
      </c>
      <c r="AF48" s="99">
        <f>IF(AF7=0,0,AF47/(AF7*'ARCHIVE_Control Tower'!$B$21))</f>
        <v>36.129069030722064</v>
      </c>
      <c r="AG48" s="99">
        <f>IF(AG7=0,0,AG47/(AG7*'ARCHIVE_Control Tower'!$B$21))</f>
        <v>35.604503421551037</v>
      </c>
      <c r="AH48" s="99">
        <f>IF(AH7=0,0,AH47/(AH7*'ARCHIVE_Control Tower'!$B$21))</f>
        <v>35.098672298421839</v>
      </c>
      <c r="AI48" s="99">
        <f>IF(AI7=0,0,AI47/(AI7*'ARCHIVE_Control Tower'!$B$21))</f>
        <v>34.610589635753307</v>
      </c>
      <c r="AJ48" s="99">
        <f>IF(AJ7=0,0,AJ47/(AJ7*'ARCHIVE_Control Tower'!$B$21))</f>
        <v>34.139337409728526</v>
      </c>
      <c r="AK48" s="99">
        <f>IF(AK7=0,0,AK47/(AK7*'ARCHIVE_Control Tower'!$B$21))</f>
        <v>34.139337409728526</v>
      </c>
      <c r="AL48" s="99">
        <f>IF(AL7=0,0,AL47/(AL7*'ARCHIVE_Control Tower'!$B$21))</f>
        <v>33.684059835433395</v>
      </c>
      <c r="AM48" s="99">
        <f>IF(AM7=0,0,AM47/(AM7*'ARCHIVE_Control Tower'!$B$21))</f>
        <v>33.243958180281432</v>
      </c>
      <c r="AN48" s="66"/>
      <c r="AO48" s="66"/>
      <c r="AP48" s="66"/>
    </row>
  </sheetData>
  <mergeCells count="10">
    <mergeCell ref="A25:AP25"/>
    <mergeCell ref="A31:AP31"/>
    <mergeCell ref="A36:AP36"/>
    <mergeCell ref="A43:AP43"/>
    <mergeCell ref="A46:AP46"/>
    <mergeCell ref="A1:AP1"/>
    <mergeCell ref="A2:AP2"/>
    <mergeCell ref="A5:AP5"/>
    <mergeCell ref="A11:AP11"/>
    <mergeCell ref="A19:AP19"/>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P88"/>
  <sheetViews>
    <sheetView showGridLines="0" zoomScaleNormal="100" workbookViewId="0">
      <pane xSplit="2" ySplit="4" topLeftCell="C5" activePane="bottomRight" state="frozen"/>
      <selection pane="topRight" activeCell="C1" sqref="C1"/>
      <selection pane="bottomLeft" activeCell="A5" sqref="A5"/>
      <selection pane="bottomRight" activeCell="P34" sqref="P34"/>
    </sheetView>
  </sheetViews>
  <sheetFormatPr baseColWidth="10" defaultColWidth="8.6640625" defaultRowHeight="15" x14ac:dyDescent="0.2"/>
  <cols>
    <col min="1" max="1" width="41.6640625" customWidth="1"/>
    <col min="2" max="2" width="13.33203125" customWidth="1"/>
    <col min="3" max="38" width="11.6640625" customWidth="1"/>
    <col min="39" max="41" width="14.1640625" customWidth="1"/>
  </cols>
  <sheetData>
    <row r="1" spans="1:42" ht="25.5" customHeight="1" x14ac:dyDescent="0.25">
      <c r="A1" s="100" t="s">
        <v>504</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2"/>
    </row>
    <row r="2" spans="1:42" x14ac:dyDescent="0.2">
      <c r="A2" s="153" t="s">
        <v>512</v>
      </c>
      <c r="B2" s="101"/>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101"/>
      <c r="AN2" s="101"/>
      <c r="AO2" s="101"/>
      <c r="AP2" s="2"/>
    </row>
    <row r="3" spans="1:42" x14ac:dyDescent="0.2">
      <c r="A3" s="154"/>
      <c r="B3" s="154" t="s">
        <v>505</v>
      </c>
      <c r="C3" s="155" t="s">
        <v>271</v>
      </c>
      <c r="D3" s="155"/>
      <c r="E3" s="155"/>
      <c r="F3" s="155"/>
      <c r="G3" s="155"/>
      <c r="H3" s="155"/>
      <c r="I3" s="155"/>
      <c r="J3" s="155"/>
      <c r="K3" s="155"/>
      <c r="L3" s="155"/>
      <c r="M3" s="155"/>
      <c r="N3" s="155"/>
      <c r="O3" s="155" t="s">
        <v>287</v>
      </c>
      <c r="P3" s="155"/>
      <c r="Q3" s="155"/>
      <c r="R3" s="155"/>
      <c r="S3" s="155"/>
      <c r="T3" s="155"/>
      <c r="U3" s="155"/>
      <c r="V3" s="155"/>
      <c r="W3" s="155"/>
      <c r="X3" s="155"/>
      <c r="Y3" s="155"/>
      <c r="Z3" s="155"/>
      <c r="AA3" s="155" t="s">
        <v>301</v>
      </c>
      <c r="AB3" s="155"/>
      <c r="AC3" s="155"/>
      <c r="AD3" s="155"/>
      <c r="AE3" s="155"/>
      <c r="AF3" s="155"/>
      <c r="AG3" s="155"/>
      <c r="AH3" s="155"/>
      <c r="AI3" s="155"/>
      <c r="AJ3" s="155"/>
      <c r="AK3" s="155"/>
      <c r="AL3" s="155"/>
      <c r="AM3" s="155" t="s">
        <v>506</v>
      </c>
      <c r="AN3" s="155"/>
      <c r="AO3" s="155"/>
      <c r="AP3" s="155" t="s">
        <v>592</v>
      </c>
    </row>
    <row r="4" spans="1:42" x14ac:dyDescent="0.2">
      <c r="A4" s="156"/>
      <c r="B4" s="156"/>
      <c r="C4" s="157" t="s">
        <v>270</v>
      </c>
      <c r="D4" s="157" t="s">
        <v>273</v>
      </c>
      <c r="E4" s="157" t="s">
        <v>275</v>
      </c>
      <c r="F4" s="157" t="s">
        <v>276</v>
      </c>
      <c r="G4" s="157" t="s">
        <v>277</v>
      </c>
      <c r="H4" s="157" t="s">
        <v>278</v>
      </c>
      <c r="I4" s="157" t="s">
        <v>279</v>
      </c>
      <c r="J4" s="157" t="s">
        <v>280</v>
      </c>
      <c r="K4" s="157" t="s">
        <v>281</v>
      </c>
      <c r="L4" s="157" t="s">
        <v>282</v>
      </c>
      <c r="M4" s="157" t="s">
        <v>283</v>
      </c>
      <c r="N4" s="157" t="s">
        <v>284</v>
      </c>
      <c r="O4" s="157" t="s">
        <v>286</v>
      </c>
      <c r="P4" s="157" t="s">
        <v>288</v>
      </c>
      <c r="Q4" s="157" t="s">
        <v>289</v>
      </c>
      <c r="R4" s="157" t="s">
        <v>290</v>
      </c>
      <c r="S4" s="157" t="s">
        <v>291</v>
      </c>
      <c r="T4" s="157" t="s">
        <v>292</v>
      </c>
      <c r="U4" s="157" t="s">
        <v>293</v>
      </c>
      <c r="V4" s="157" t="s">
        <v>294</v>
      </c>
      <c r="W4" s="157" t="s">
        <v>295</v>
      </c>
      <c r="X4" s="157" t="s">
        <v>296</v>
      </c>
      <c r="Y4" s="157" t="s">
        <v>297</v>
      </c>
      <c r="Z4" s="157" t="s">
        <v>298</v>
      </c>
      <c r="AA4" s="157" t="s">
        <v>300</v>
      </c>
      <c r="AB4" s="157" t="s">
        <v>302</v>
      </c>
      <c r="AC4" s="157" t="s">
        <v>303</v>
      </c>
      <c r="AD4" s="157" t="s">
        <v>304</v>
      </c>
      <c r="AE4" s="157" t="s">
        <v>305</v>
      </c>
      <c r="AF4" s="157" t="s">
        <v>306</v>
      </c>
      <c r="AG4" s="157" t="s">
        <v>307</v>
      </c>
      <c r="AH4" s="157" t="s">
        <v>308</v>
      </c>
      <c r="AI4" s="157" t="s">
        <v>309</v>
      </c>
      <c r="AJ4" s="157" t="s">
        <v>310</v>
      </c>
      <c r="AK4" s="157" t="s">
        <v>311</v>
      </c>
      <c r="AL4" s="157" t="s">
        <v>312</v>
      </c>
      <c r="AM4" s="157" t="s">
        <v>271</v>
      </c>
      <c r="AN4" s="157" t="s">
        <v>287</v>
      </c>
      <c r="AO4" s="157" t="s">
        <v>301</v>
      </c>
      <c r="AP4" s="157" t="s">
        <v>593</v>
      </c>
    </row>
    <row r="5" spans="1:42" x14ac:dyDescent="0.2">
      <c r="A5" s="158" t="s">
        <v>467</v>
      </c>
      <c r="B5" s="159"/>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row>
    <row r="6" spans="1:42" x14ac:dyDescent="0.2">
      <c r="A6" s="160" t="s">
        <v>513</v>
      </c>
      <c r="B6" s="160"/>
      <c r="C6" s="161">
        <f>'ARCHIVE_Revenue Model'!C18</f>
        <v>15</v>
      </c>
      <c r="D6" s="161">
        <f>'ARCHIVE_Revenue Model'!D18</f>
        <v>17</v>
      </c>
      <c r="E6" s="161">
        <f>'ARCHIVE_Revenue Model'!E18</f>
        <v>18</v>
      </c>
      <c r="F6" s="161">
        <f>'ARCHIVE_Revenue Model'!F18</f>
        <v>20</v>
      </c>
      <c r="G6" s="161">
        <f>'ARCHIVE_Revenue Model'!G18</f>
        <v>22</v>
      </c>
      <c r="H6" s="161">
        <f>'ARCHIVE_Revenue Model'!H18</f>
        <v>23</v>
      </c>
      <c r="I6" s="161">
        <f>'ARCHIVE_Revenue Model'!I18</f>
        <v>25</v>
      </c>
      <c r="J6" s="161">
        <f>'ARCHIVE_Revenue Model'!J18</f>
        <v>26</v>
      </c>
      <c r="K6" s="161">
        <f>'ARCHIVE_Revenue Model'!K18</f>
        <v>28</v>
      </c>
      <c r="L6" s="161">
        <f>'ARCHIVE_Revenue Model'!L18</f>
        <v>30</v>
      </c>
      <c r="M6" s="161">
        <f>'ARCHIVE_Revenue Model'!M18</f>
        <v>31</v>
      </c>
      <c r="N6" s="161">
        <f>'ARCHIVE_Revenue Model'!N18</f>
        <v>33</v>
      </c>
      <c r="O6" s="161">
        <f>'ARCHIVE_Revenue Model'!O18</f>
        <v>34</v>
      </c>
      <c r="P6" s="161">
        <f>'ARCHIVE_Revenue Model'!P18</f>
        <v>36</v>
      </c>
      <c r="Q6" s="161">
        <f>'ARCHIVE_Revenue Model'!Q18</f>
        <v>37</v>
      </c>
      <c r="R6" s="161">
        <f>'ARCHIVE_Revenue Model'!R18</f>
        <v>39</v>
      </c>
      <c r="S6" s="161">
        <f>'ARCHIVE_Revenue Model'!S18</f>
        <v>40</v>
      </c>
      <c r="T6" s="161">
        <f>'ARCHIVE_Revenue Model'!T18</f>
        <v>42</v>
      </c>
      <c r="U6" s="161">
        <f>'ARCHIVE_Revenue Model'!U18</f>
        <v>43</v>
      </c>
      <c r="V6" s="161">
        <f>'ARCHIVE_Revenue Model'!V18</f>
        <v>44</v>
      </c>
      <c r="W6" s="161">
        <f>'ARCHIVE_Revenue Model'!W18</f>
        <v>46</v>
      </c>
      <c r="X6" s="161">
        <f>'ARCHIVE_Revenue Model'!X18</f>
        <v>47</v>
      </c>
      <c r="Y6" s="161">
        <f>'ARCHIVE_Revenue Model'!Y18</f>
        <v>49</v>
      </c>
      <c r="Z6" s="161">
        <f>'ARCHIVE_Revenue Model'!Z18</f>
        <v>50</v>
      </c>
      <c r="AA6" s="161">
        <f>'ARCHIVE_Revenue Model'!AA18</f>
        <v>51</v>
      </c>
      <c r="AB6" s="161">
        <f>'ARCHIVE_Revenue Model'!AB18</f>
        <v>52</v>
      </c>
      <c r="AC6" s="161">
        <f>'ARCHIVE_Revenue Model'!AC18</f>
        <v>52</v>
      </c>
      <c r="AD6" s="161">
        <f>'ARCHIVE_Revenue Model'!AD18</f>
        <v>53</v>
      </c>
      <c r="AE6" s="161">
        <f>'ARCHIVE_Revenue Model'!AE18</f>
        <v>54</v>
      </c>
      <c r="AF6" s="161">
        <f>'ARCHIVE_Revenue Model'!AF18</f>
        <v>55</v>
      </c>
      <c r="AG6" s="161">
        <f>'ARCHIVE_Revenue Model'!AG18</f>
        <v>56</v>
      </c>
      <c r="AH6" s="161">
        <f>'ARCHIVE_Revenue Model'!AH18</f>
        <v>57</v>
      </c>
      <c r="AI6" s="161">
        <f>'ARCHIVE_Revenue Model'!AI18</f>
        <v>58</v>
      </c>
      <c r="AJ6" s="161">
        <f>'ARCHIVE_Revenue Model'!AJ18</f>
        <v>58</v>
      </c>
      <c r="AK6" s="161">
        <f>'ARCHIVE_Revenue Model'!AK18</f>
        <v>59</v>
      </c>
      <c r="AL6" s="161">
        <f>'ARCHIVE_Revenue Model'!AL18</f>
        <v>60</v>
      </c>
      <c r="AM6" s="161">
        <f>AVERAGE(C6:N6)</f>
        <v>24</v>
      </c>
      <c r="AN6" s="161">
        <f>AVERAGE(O6:Z6)</f>
        <v>42.25</v>
      </c>
      <c r="AO6" s="161">
        <f>AVERAGE(AA6:AL6)</f>
        <v>55.416666666666664</v>
      </c>
      <c r="AP6" s="2"/>
    </row>
    <row r="7" spans="1:42" x14ac:dyDescent="0.2">
      <c r="A7" s="160" t="s">
        <v>514</v>
      </c>
      <c r="B7" s="160"/>
      <c r="C7" s="162">
        <f>'ARCHIVE_Revenue Model'!C20</f>
        <v>456</v>
      </c>
      <c r="D7" s="162">
        <f>'ARCHIVE_Revenue Model'!D20</f>
        <v>516.79999999999995</v>
      </c>
      <c r="E7" s="162">
        <f>'ARCHIVE_Revenue Model'!E20</f>
        <v>547.19999999999993</v>
      </c>
      <c r="F7" s="162">
        <f>'ARCHIVE_Revenue Model'!F20</f>
        <v>608</v>
      </c>
      <c r="G7" s="162">
        <f>'ARCHIVE_Revenue Model'!G20</f>
        <v>668.8</v>
      </c>
      <c r="H7" s="162">
        <f>'ARCHIVE_Revenue Model'!H20</f>
        <v>699.19999999999993</v>
      </c>
      <c r="I7" s="162">
        <f>'ARCHIVE_Revenue Model'!I20</f>
        <v>760</v>
      </c>
      <c r="J7" s="162">
        <f>'ARCHIVE_Revenue Model'!J20</f>
        <v>790.4</v>
      </c>
      <c r="K7" s="162">
        <f>'ARCHIVE_Revenue Model'!K20</f>
        <v>851.19999999999993</v>
      </c>
      <c r="L7" s="162">
        <f>'ARCHIVE_Revenue Model'!L20</f>
        <v>912</v>
      </c>
      <c r="M7" s="162">
        <f>'ARCHIVE_Revenue Model'!M20</f>
        <v>942.4</v>
      </c>
      <c r="N7" s="162">
        <f>'ARCHIVE_Revenue Model'!N20</f>
        <v>1003.1999999999999</v>
      </c>
      <c r="O7" s="162">
        <f>'ARCHIVE_Revenue Model'!O20</f>
        <v>1033.5999999999999</v>
      </c>
      <c r="P7" s="162">
        <f>'ARCHIVE_Revenue Model'!P20</f>
        <v>1094.3999999999999</v>
      </c>
      <c r="Q7" s="162">
        <f>'ARCHIVE_Revenue Model'!Q20</f>
        <v>1124.8</v>
      </c>
      <c r="R7" s="162">
        <f>'ARCHIVE_Revenue Model'!R20</f>
        <v>1185.5999999999999</v>
      </c>
      <c r="S7" s="162">
        <f>'ARCHIVE_Revenue Model'!S20</f>
        <v>1216</v>
      </c>
      <c r="T7" s="162">
        <f>'ARCHIVE_Revenue Model'!T20</f>
        <v>1276.8</v>
      </c>
      <c r="U7" s="162">
        <f>'ARCHIVE_Revenue Model'!U20</f>
        <v>1307.2</v>
      </c>
      <c r="V7" s="162">
        <f>'ARCHIVE_Revenue Model'!V20</f>
        <v>1337.6</v>
      </c>
      <c r="W7" s="162">
        <f>'ARCHIVE_Revenue Model'!W20</f>
        <v>1398.3999999999999</v>
      </c>
      <c r="X7" s="162">
        <f>'ARCHIVE_Revenue Model'!X20</f>
        <v>1428.8</v>
      </c>
      <c r="Y7" s="162">
        <f>'ARCHIVE_Revenue Model'!Y20</f>
        <v>1489.6</v>
      </c>
      <c r="Z7" s="162">
        <f>'ARCHIVE_Revenue Model'!Z20</f>
        <v>1520</v>
      </c>
      <c r="AA7" s="162">
        <f>'ARCHIVE_Revenue Model'!AA20</f>
        <v>1550.3999999999999</v>
      </c>
      <c r="AB7" s="162">
        <f>'ARCHIVE_Revenue Model'!AB20</f>
        <v>1580.8</v>
      </c>
      <c r="AC7" s="162">
        <f>'ARCHIVE_Revenue Model'!AC20</f>
        <v>1580.8</v>
      </c>
      <c r="AD7" s="162">
        <f>'ARCHIVE_Revenue Model'!AD20</f>
        <v>1611.1999999999998</v>
      </c>
      <c r="AE7" s="162">
        <f>'ARCHIVE_Revenue Model'!AE20</f>
        <v>1641.6</v>
      </c>
      <c r="AF7" s="162">
        <f>'ARCHIVE_Revenue Model'!AF20</f>
        <v>1672</v>
      </c>
      <c r="AG7" s="162">
        <f>'ARCHIVE_Revenue Model'!AG20</f>
        <v>1702.3999999999999</v>
      </c>
      <c r="AH7" s="162">
        <f>'ARCHIVE_Revenue Model'!AH20</f>
        <v>1732.8</v>
      </c>
      <c r="AI7" s="162">
        <f>'ARCHIVE_Revenue Model'!AI20</f>
        <v>1763.1999999999998</v>
      </c>
      <c r="AJ7" s="162">
        <f>'ARCHIVE_Revenue Model'!AJ20</f>
        <v>1763.1999999999998</v>
      </c>
      <c r="AK7" s="162">
        <f>'ARCHIVE_Revenue Model'!AK20</f>
        <v>1793.6</v>
      </c>
      <c r="AL7" s="162">
        <f>'ARCHIVE_Revenue Model'!AL20</f>
        <v>1824</v>
      </c>
      <c r="AM7" s="162">
        <f>'ARCHIVE_Revenue Model'!AM20</f>
        <v>8755.1999999999989</v>
      </c>
      <c r="AN7" s="162">
        <f>'ARCHIVE_Revenue Model'!AN20</f>
        <v>15412.8</v>
      </c>
      <c r="AO7" s="162">
        <f>'ARCHIVE_Revenue Model'!AO20</f>
        <v>20215.999999999996</v>
      </c>
      <c r="AP7" s="2"/>
    </row>
    <row r="8" spans="1:42" x14ac:dyDescent="0.2">
      <c r="A8" s="160" t="s">
        <v>515</v>
      </c>
      <c r="B8" s="163">
        <v>3000</v>
      </c>
      <c r="C8" s="164">
        <f>'ARCHIVE_Revenue Model'!C21</f>
        <v>84013.939254336001</v>
      </c>
      <c r="D8" s="164">
        <f>'ARCHIVE_Revenue Model'!D21</f>
        <v>95215.797821580796</v>
      </c>
      <c r="E8" s="164">
        <f>'ARCHIVE_Revenue Model'!E21</f>
        <v>100816.7271052032</v>
      </c>
      <c r="F8" s="164">
        <f>'ARCHIVE_Revenue Model'!F21</f>
        <v>112018.58567244801</v>
      </c>
      <c r="G8" s="164">
        <f>'ARCHIVE_Revenue Model'!G21</f>
        <v>123220.44423969281</v>
      </c>
      <c r="H8" s="164">
        <f>'ARCHIVE_Revenue Model'!H21</f>
        <v>128821.3735233152</v>
      </c>
      <c r="I8" s="164">
        <f>'ARCHIVE_Revenue Model'!I21</f>
        <v>140023.23209056002</v>
      </c>
      <c r="J8" s="164">
        <f>'ARCHIVE_Revenue Model'!J21</f>
        <v>145624.16137418241</v>
      </c>
      <c r="K8" s="164">
        <f>'ARCHIVE_Revenue Model'!K21</f>
        <v>156826.01994142719</v>
      </c>
      <c r="L8" s="164">
        <f>'ARCHIVE_Revenue Model'!L21</f>
        <v>168027.878508672</v>
      </c>
      <c r="M8" s="164">
        <f>'ARCHIVE_Revenue Model'!M21</f>
        <v>173628.80779229442</v>
      </c>
      <c r="N8" s="164">
        <f>'ARCHIVE_Revenue Model'!N21</f>
        <v>184830.6663595392</v>
      </c>
      <c r="O8" s="164">
        <f>'ARCHIVE_Revenue Model'!O21</f>
        <v>190431.59564316159</v>
      </c>
      <c r="P8" s="164">
        <f>'ARCHIVE_Revenue Model'!P21</f>
        <v>201633.4542104064</v>
      </c>
      <c r="Q8" s="164">
        <f>'ARCHIVE_Revenue Model'!Q21</f>
        <v>207234.38349402882</v>
      </c>
      <c r="R8" s="164">
        <f>'ARCHIVE_Revenue Model'!R21</f>
        <v>218436.2420612736</v>
      </c>
      <c r="S8" s="164">
        <f>'ARCHIVE_Revenue Model'!S21</f>
        <v>224037.17134489602</v>
      </c>
      <c r="T8" s="164">
        <f>'ARCHIVE_Revenue Model'!T21</f>
        <v>235239.0299121408</v>
      </c>
      <c r="U8" s="164">
        <f>'ARCHIVE_Revenue Model'!U21</f>
        <v>240839.95919576322</v>
      </c>
      <c r="V8" s="164">
        <f>'ARCHIVE_Revenue Model'!V21</f>
        <v>246440.88847938561</v>
      </c>
      <c r="W8" s="164">
        <f>'ARCHIVE_Revenue Model'!W21</f>
        <v>257642.74704663039</v>
      </c>
      <c r="X8" s="164">
        <f>'ARCHIVE_Revenue Model'!X21</f>
        <v>263243.67633025284</v>
      </c>
      <c r="Y8" s="164">
        <f>'ARCHIVE_Revenue Model'!Y21</f>
        <v>274445.53489749762</v>
      </c>
      <c r="Z8" s="164">
        <f>'ARCHIVE_Revenue Model'!Z21</f>
        <v>280046.46418112004</v>
      </c>
      <c r="AA8" s="164">
        <f>'ARCHIVE_Revenue Model'!AA21</f>
        <v>285647.3934647424</v>
      </c>
      <c r="AB8" s="164">
        <f>'ARCHIVE_Revenue Model'!AB21</f>
        <v>291248.32274836482</v>
      </c>
      <c r="AC8" s="164">
        <f>'ARCHIVE_Revenue Model'!AC21</f>
        <v>291248.32274836482</v>
      </c>
      <c r="AD8" s="164">
        <f>'ARCHIVE_Revenue Model'!AD21</f>
        <v>296849.25203198718</v>
      </c>
      <c r="AE8" s="164">
        <f>'ARCHIVE_Revenue Model'!AE21</f>
        <v>302450.1813156096</v>
      </c>
      <c r="AF8" s="164">
        <f>'ARCHIVE_Revenue Model'!AF21</f>
        <v>308051.11059923202</v>
      </c>
      <c r="AG8" s="164">
        <f>'ARCHIVE_Revenue Model'!AG21</f>
        <v>313652.03988285438</v>
      </c>
      <c r="AH8" s="164">
        <f>'ARCHIVE_Revenue Model'!AH21</f>
        <v>319252.9691664768</v>
      </c>
      <c r="AI8" s="164">
        <f>'ARCHIVE_Revenue Model'!AI21</f>
        <v>324853.89845009922</v>
      </c>
      <c r="AJ8" s="164">
        <f>'ARCHIVE_Revenue Model'!AJ21</f>
        <v>324853.89845009922</v>
      </c>
      <c r="AK8" s="164">
        <f>'ARCHIVE_Revenue Model'!AK21</f>
        <v>330454.82773372164</v>
      </c>
      <c r="AL8" s="164">
        <f>'ARCHIVE_Revenue Model'!AL21</f>
        <v>336055.757017344</v>
      </c>
      <c r="AM8" s="164">
        <f>'ARCHIVE_Revenue Model'!AM21</f>
        <v>1613067.6336832512</v>
      </c>
      <c r="AN8" s="164">
        <f>'ARCHIVE_Revenue Model'!AN21</f>
        <v>2839671.1467965576</v>
      </c>
      <c r="AO8" s="164">
        <f>'ARCHIVE_Revenue Model'!AO21</f>
        <v>3724617.9736088961</v>
      </c>
      <c r="AP8" s="102">
        <f>IF(AO$10=0,0,AO8/AO$10)</f>
        <v>1.015228426395939</v>
      </c>
    </row>
    <row r="9" spans="1:42" x14ac:dyDescent="0.2">
      <c r="A9" s="160" t="s">
        <v>516</v>
      </c>
      <c r="B9" s="163">
        <v>3900</v>
      </c>
      <c r="C9" s="165">
        <f>'ARCHIVE_Revenue Model'!C22</f>
        <v>-1260.2090888150399</v>
      </c>
      <c r="D9" s="165">
        <f>'ARCHIVE_Revenue Model'!D22</f>
        <v>-1428.236967323712</v>
      </c>
      <c r="E9" s="165">
        <f>'ARCHIVE_Revenue Model'!E22</f>
        <v>-1512.250906578048</v>
      </c>
      <c r="F9" s="165">
        <f>'ARCHIVE_Revenue Model'!F22</f>
        <v>-1680.2787850867201</v>
      </c>
      <c r="G9" s="165">
        <f>'ARCHIVE_Revenue Model'!G22</f>
        <v>-1848.3066635953919</v>
      </c>
      <c r="H9" s="165">
        <f>'ARCHIVE_Revenue Model'!H22</f>
        <v>-1932.3206028497279</v>
      </c>
      <c r="I9" s="165">
        <f>'ARCHIVE_Revenue Model'!I22</f>
        <v>-2100.3484813584</v>
      </c>
      <c r="J9" s="165">
        <f>'ARCHIVE_Revenue Model'!J22</f>
        <v>-2184.3624206127361</v>
      </c>
      <c r="K9" s="165">
        <f>'ARCHIVE_Revenue Model'!K22</f>
        <v>-2352.3902991214077</v>
      </c>
      <c r="L9" s="165">
        <f>'ARCHIVE_Revenue Model'!L22</f>
        <v>-2520.4181776300798</v>
      </c>
      <c r="M9" s="165">
        <f>'ARCHIVE_Revenue Model'!M22</f>
        <v>-2604.4321168844162</v>
      </c>
      <c r="N9" s="165">
        <f>'ARCHIVE_Revenue Model'!N22</f>
        <v>-2772.4599953930879</v>
      </c>
      <c r="O9" s="165">
        <f>'ARCHIVE_Revenue Model'!O22</f>
        <v>-2856.4739346474239</v>
      </c>
      <c r="P9" s="165">
        <f>'ARCHIVE_Revenue Model'!P22</f>
        <v>-3024.501813156096</v>
      </c>
      <c r="Q9" s="165">
        <f>'ARCHIVE_Revenue Model'!Q22</f>
        <v>-3108.515752410432</v>
      </c>
      <c r="R9" s="165">
        <f>'ARCHIVE_Revenue Model'!R22</f>
        <v>-3276.5436309191041</v>
      </c>
      <c r="S9" s="165">
        <f>'ARCHIVE_Revenue Model'!S22</f>
        <v>-3360.5575701734401</v>
      </c>
      <c r="T9" s="165">
        <f>'ARCHIVE_Revenue Model'!T22</f>
        <v>-3528.5854486821117</v>
      </c>
      <c r="U9" s="165">
        <f>'ARCHIVE_Revenue Model'!U22</f>
        <v>-3612.5993879364482</v>
      </c>
      <c r="V9" s="165">
        <f>'ARCHIVE_Revenue Model'!V22</f>
        <v>-3696.6133271907838</v>
      </c>
      <c r="W9" s="165">
        <f>'ARCHIVE_Revenue Model'!W22</f>
        <v>-3864.6412056994559</v>
      </c>
      <c r="X9" s="165">
        <f>'ARCHIVE_Revenue Model'!X22</f>
        <v>-3948.6551449537924</v>
      </c>
      <c r="Y9" s="165">
        <f>'ARCHIVE_Revenue Model'!Y22</f>
        <v>-4116.683023462464</v>
      </c>
      <c r="Z9" s="165">
        <f>'ARCHIVE_Revenue Model'!Z22</f>
        <v>-4200.6969627168</v>
      </c>
      <c r="AA9" s="165">
        <f>'ARCHIVE_Revenue Model'!AA22</f>
        <v>-4284.7109019711361</v>
      </c>
      <c r="AB9" s="165">
        <f>'ARCHIVE_Revenue Model'!AB22</f>
        <v>-4368.7248412254721</v>
      </c>
      <c r="AC9" s="165">
        <f>'ARCHIVE_Revenue Model'!AC22</f>
        <v>-4368.7248412254721</v>
      </c>
      <c r="AD9" s="165">
        <f>'ARCHIVE_Revenue Model'!AD22</f>
        <v>-4452.7387804798072</v>
      </c>
      <c r="AE9" s="165">
        <f>'ARCHIVE_Revenue Model'!AE22</f>
        <v>-4536.7527197341442</v>
      </c>
      <c r="AF9" s="165">
        <f>'ARCHIVE_Revenue Model'!AF22</f>
        <v>-4620.7666589884802</v>
      </c>
      <c r="AG9" s="165">
        <f>'ARCHIVE_Revenue Model'!AG22</f>
        <v>-4704.7805982428154</v>
      </c>
      <c r="AH9" s="165">
        <f>'ARCHIVE_Revenue Model'!AH22</f>
        <v>-4788.7945374971523</v>
      </c>
      <c r="AI9" s="165">
        <f>'ARCHIVE_Revenue Model'!AI22</f>
        <v>-4872.8084767514883</v>
      </c>
      <c r="AJ9" s="165">
        <f>'ARCHIVE_Revenue Model'!AJ22</f>
        <v>-4872.8084767514883</v>
      </c>
      <c r="AK9" s="165">
        <f>'ARCHIVE_Revenue Model'!AK22</f>
        <v>-4956.8224160058244</v>
      </c>
      <c r="AL9" s="165">
        <f>'ARCHIVE_Revenue Model'!AL22</f>
        <v>-5040.8363552601595</v>
      </c>
      <c r="AM9" s="165">
        <f>'ARCHIVE_Revenue Model'!AM22</f>
        <v>-24196.014505248771</v>
      </c>
      <c r="AN9" s="165">
        <f>'ARCHIVE_Revenue Model'!AN22</f>
        <v>-42595.067201948346</v>
      </c>
      <c r="AO9" s="165">
        <f>'ARCHIVE_Revenue Model'!AO22</f>
        <v>-55869.269604133435</v>
      </c>
      <c r="AP9" s="102">
        <f>IF(AO$10=0,0,AO9/AO$10)</f>
        <v>-1.5228426395939085E-2</v>
      </c>
    </row>
    <row r="10" spans="1:42" ht="16" thickBot="1" x14ac:dyDescent="0.25">
      <c r="A10" s="166" t="s">
        <v>517</v>
      </c>
      <c r="B10" s="160"/>
      <c r="C10" s="167">
        <f>'ARCHIVE_Revenue Model'!C23</f>
        <v>82753.730165520959</v>
      </c>
      <c r="D10" s="167">
        <f>'ARCHIVE_Revenue Model'!D23</f>
        <v>93787.560854257084</v>
      </c>
      <c r="E10" s="167">
        <f>'ARCHIVE_Revenue Model'!E23</f>
        <v>99304.476198625154</v>
      </c>
      <c r="F10" s="167">
        <f>'ARCHIVE_Revenue Model'!F23</f>
        <v>110338.30688736129</v>
      </c>
      <c r="G10" s="167">
        <f>'ARCHIVE_Revenue Model'!G23</f>
        <v>121372.13757609742</v>
      </c>
      <c r="H10" s="167">
        <f>'ARCHIVE_Revenue Model'!H23</f>
        <v>126889.05292046547</v>
      </c>
      <c r="I10" s="167">
        <f>'ARCHIVE_Revenue Model'!I23</f>
        <v>137922.88360920161</v>
      </c>
      <c r="J10" s="167">
        <f>'ARCHIVE_Revenue Model'!J23</f>
        <v>143439.79895356967</v>
      </c>
      <c r="K10" s="167">
        <f>'ARCHIVE_Revenue Model'!K23</f>
        <v>154473.62964230578</v>
      </c>
      <c r="L10" s="167">
        <f>'ARCHIVE_Revenue Model'!L23</f>
        <v>165507.46033104192</v>
      </c>
      <c r="M10" s="167">
        <f>'ARCHIVE_Revenue Model'!M23</f>
        <v>171024.37567541</v>
      </c>
      <c r="N10" s="167">
        <f>'ARCHIVE_Revenue Model'!N23</f>
        <v>182058.20636414611</v>
      </c>
      <c r="O10" s="167">
        <f>'ARCHIVE_Revenue Model'!O23</f>
        <v>187575.12170851417</v>
      </c>
      <c r="P10" s="167">
        <f>'ARCHIVE_Revenue Model'!P23</f>
        <v>198608.95239725031</v>
      </c>
      <c r="Q10" s="167">
        <f>'ARCHIVE_Revenue Model'!Q23</f>
        <v>204125.86774161839</v>
      </c>
      <c r="R10" s="167">
        <f>'ARCHIVE_Revenue Model'!R23</f>
        <v>215159.6984303545</v>
      </c>
      <c r="S10" s="167">
        <f>'ARCHIVE_Revenue Model'!S23</f>
        <v>220676.61377472259</v>
      </c>
      <c r="T10" s="167">
        <f>'ARCHIVE_Revenue Model'!T23</f>
        <v>231710.4444634587</v>
      </c>
      <c r="U10" s="167">
        <f>'ARCHIVE_Revenue Model'!U23</f>
        <v>237227.35980782678</v>
      </c>
      <c r="V10" s="167">
        <f>'ARCHIVE_Revenue Model'!V23</f>
        <v>242744.27515219484</v>
      </c>
      <c r="W10" s="167">
        <f>'ARCHIVE_Revenue Model'!W23</f>
        <v>253778.10584093095</v>
      </c>
      <c r="X10" s="167">
        <f>'ARCHIVE_Revenue Model'!X23</f>
        <v>259295.02118529906</v>
      </c>
      <c r="Y10" s="167">
        <f>'ARCHIVE_Revenue Model'!Y23</f>
        <v>270328.85187403514</v>
      </c>
      <c r="Z10" s="167">
        <f>'ARCHIVE_Revenue Model'!Z23</f>
        <v>275845.76721840323</v>
      </c>
      <c r="AA10" s="167">
        <f>'ARCHIVE_Revenue Model'!AA23</f>
        <v>281362.68256277125</v>
      </c>
      <c r="AB10" s="167">
        <f>'ARCHIVE_Revenue Model'!AB23</f>
        <v>286879.59790713934</v>
      </c>
      <c r="AC10" s="167">
        <f>'ARCHIVE_Revenue Model'!AC23</f>
        <v>286879.59790713934</v>
      </c>
      <c r="AD10" s="167">
        <f>'ARCHIVE_Revenue Model'!AD23</f>
        <v>292396.51325150736</v>
      </c>
      <c r="AE10" s="167">
        <f>'ARCHIVE_Revenue Model'!AE23</f>
        <v>297913.42859587545</v>
      </c>
      <c r="AF10" s="167">
        <f>'ARCHIVE_Revenue Model'!AF23</f>
        <v>303430.34394024353</v>
      </c>
      <c r="AG10" s="167">
        <f>'ARCHIVE_Revenue Model'!AG23</f>
        <v>308947.25928461156</v>
      </c>
      <c r="AH10" s="167">
        <f>'ARCHIVE_Revenue Model'!AH23</f>
        <v>314464.17462897964</v>
      </c>
      <c r="AI10" s="167">
        <f>'ARCHIVE_Revenue Model'!AI23</f>
        <v>319981.08997334773</v>
      </c>
      <c r="AJ10" s="167">
        <f>'ARCHIVE_Revenue Model'!AJ23</f>
        <v>319981.08997334773</v>
      </c>
      <c r="AK10" s="167">
        <f>'ARCHIVE_Revenue Model'!AK23</f>
        <v>325498.00531771581</v>
      </c>
      <c r="AL10" s="167">
        <f>'ARCHIVE_Revenue Model'!AL23</f>
        <v>331014.92066208384</v>
      </c>
      <c r="AM10" s="167">
        <f>'ARCHIVE_Revenue Model'!AM23</f>
        <v>1588871.6191780025</v>
      </c>
      <c r="AN10" s="167">
        <f>'ARCHIVE_Revenue Model'!AN23</f>
        <v>2797076.0795946084</v>
      </c>
      <c r="AO10" s="167">
        <f>'ARCHIVE_Revenue Model'!AO23</f>
        <v>3668748.7040047627</v>
      </c>
      <c r="AP10" s="103">
        <f>IF(AO$10=0,0,AO10/AO$10)</f>
        <v>1</v>
      </c>
    </row>
    <row r="11" spans="1:42" ht="16" thickTop="1" x14ac:dyDescent="0.2">
      <c r="A11" s="104"/>
      <c r="B11" s="104"/>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row>
    <row r="12" spans="1:42" x14ac:dyDescent="0.2">
      <c r="A12" s="158" t="s">
        <v>509</v>
      </c>
      <c r="B12" s="159"/>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row>
    <row r="13" spans="1:42" x14ac:dyDescent="0.2">
      <c r="A13" s="168" t="s">
        <v>518</v>
      </c>
      <c r="B13" s="160"/>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row>
    <row r="14" spans="1:42" x14ac:dyDescent="0.2">
      <c r="A14" s="160" t="s">
        <v>519</v>
      </c>
      <c r="B14" s="163" t="s">
        <v>520</v>
      </c>
      <c r="C14" s="165">
        <f>'ARCHIVE_Staffing Summary'!D12+'ARCHIVE_Staffing Summary'!D13+'ARCHIVE_Staffing Summary'!D14</f>
        <v>6250.416666666667</v>
      </c>
      <c r="D14" s="165">
        <f>'ARCHIVE_Staffing Summary'!E12+'ARCHIVE_Staffing Summary'!E13+'ARCHIVE_Staffing Summary'!E14</f>
        <v>12709</v>
      </c>
      <c r="E14" s="165">
        <f>'ARCHIVE_Staffing Summary'!F12+'ARCHIVE_Staffing Summary'!F13+'ARCHIVE_Staffing Summary'!F14</f>
        <v>12709</v>
      </c>
      <c r="F14" s="165">
        <f>'ARCHIVE_Staffing Summary'!G12+'ARCHIVE_Staffing Summary'!G13+'ARCHIVE_Staffing Summary'!G14</f>
        <v>12709</v>
      </c>
      <c r="G14" s="165">
        <f>'ARCHIVE_Staffing Summary'!H12+'ARCHIVE_Staffing Summary'!H13+'ARCHIVE_Staffing Summary'!H14</f>
        <v>12709</v>
      </c>
      <c r="H14" s="165">
        <f>'ARCHIVE_Staffing Summary'!I12+'ARCHIVE_Staffing Summary'!I13+'ARCHIVE_Staffing Summary'!I14</f>
        <v>12709</v>
      </c>
      <c r="I14" s="165">
        <f>'ARCHIVE_Staffing Summary'!J12+'ARCHIVE_Staffing Summary'!J13+'ARCHIVE_Staffing Summary'!J14</f>
        <v>12709</v>
      </c>
      <c r="J14" s="165">
        <f>'ARCHIVE_Staffing Summary'!K12+'ARCHIVE_Staffing Summary'!K13+'ARCHIVE_Staffing Summary'!K14</f>
        <v>12709</v>
      </c>
      <c r="K14" s="165">
        <f>'ARCHIVE_Staffing Summary'!L12+'ARCHIVE_Staffing Summary'!L13+'ARCHIVE_Staffing Summary'!L14</f>
        <v>12709</v>
      </c>
      <c r="L14" s="165">
        <f>'ARCHIVE_Staffing Summary'!M12+'ARCHIVE_Staffing Summary'!M13+'ARCHIVE_Staffing Summary'!M14</f>
        <v>12709</v>
      </c>
      <c r="M14" s="165">
        <f>'ARCHIVE_Staffing Summary'!N12+'ARCHIVE_Staffing Summary'!N13+'ARCHIVE_Staffing Summary'!N14</f>
        <v>19063.5</v>
      </c>
      <c r="N14" s="165">
        <f>'ARCHIVE_Staffing Summary'!O12+'ARCHIVE_Staffing Summary'!O13+'ARCHIVE_Staffing Summary'!O14</f>
        <v>19063.5</v>
      </c>
      <c r="O14" s="165">
        <f>'ARCHIVE_Staffing Summary'!P12+'ARCHIVE_Staffing Summary'!P13+'ARCHIVE_Staffing Summary'!P14</f>
        <v>19635.404999999999</v>
      </c>
      <c r="P14" s="165">
        <f>'ARCHIVE_Staffing Summary'!Q12+'ARCHIVE_Staffing Summary'!Q13+'ARCHIVE_Staffing Summary'!Q14</f>
        <v>19635.404999999999</v>
      </c>
      <c r="Q14" s="165">
        <f>'ARCHIVE_Staffing Summary'!R12+'ARCHIVE_Staffing Summary'!R13+'ARCHIVE_Staffing Summary'!R14</f>
        <v>19635.404999999999</v>
      </c>
      <c r="R14" s="165">
        <f>'ARCHIVE_Staffing Summary'!S12+'ARCHIVE_Staffing Summary'!S13+'ARCHIVE_Staffing Summary'!S14</f>
        <v>19635.404999999999</v>
      </c>
      <c r="S14" s="165">
        <f>'ARCHIVE_Staffing Summary'!T12+'ARCHIVE_Staffing Summary'!T13+'ARCHIVE_Staffing Summary'!T14</f>
        <v>19635.404999999999</v>
      </c>
      <c r="T14" s="165">
        <f>'ARCHIVE_Staffing Summary'!U12+'ARCHIVE_Staffing Summary'!U13+'ARCHIVE_Staffing Summary'!U14</f>
        <v>19635.404999999999</v>
      </c>
      <c r="U14" s="165">
        <f>'ARCHIVE_Staffing Summary'!V12+'ARCHIVE_Staffing Summary'!V13+'ARCHIVE_Staffing Summary'!V14</f>
        <v>19635.404999999999</v>
      </c>
      <c r="V14" s="165">
        <f>'ARCHIVE_Staffing Summary'!W12+'ARCHIVE_Staffing Summary'!W13+'ARCHIVE_Staffing Summary'!W14</f>
        <v>19635.404999999999</v>
      </c>
      <c r="W14" s="165">
        <f>'ARCHIVE_Staffing Summary'!X12+'ARCHIVE_Staffing Summary'!X13+'ARCHIVE_Staffing Summary'!X14</f>
        <v>26180.54</v>
      </c>
      <c r="X14" s="165">
        <f>'ARCHIVE_Staffing Summary'!Y12+'ARCHIVE_Staffing Summary'!Y13+'ARCHIVE_Staffing Summary'!Y14</f>
        <v>26180.54</v>
      </c>
      <c r="Y14" s="165">
        <f>'ARCHIVE_Staffing Summary'!Z12+'ARCHIVE_Staffing Summary'!Z13+'ARCHIVE_Staffing Summary'!Z14</f>
        <v>26180.54</v>
      </c>
      <c r="Z14" s="165">
        <f>'ARCHIVE_Staffing Summary'!AA12+'ARCHIVE_Staffing Summary'!AA13+'ARCHIVE_Staffing Summary'!AA14</f>
        <v>26180.54</v>
      </c>
      <c r="AA14" s="165">
        <f>'ARCHIVE_Staffing Summary'!AB12+'ARCHIVE_Staffing Summary'!AB13+'ARCHIVE_Staffing Summary'!AB14</f>
        <v>26965.956200000001</v>
      </c>
      <c r="AB14" s="165">
        <f>'ARCHIVE_Staffing Summary'!AC12+'ARCHIVE_Staffing Summary'!AC13+'ARCHIVE_Staffing Summary'!AC14</f>
        <v>26965.956200000001</v>
      </c>
      <c r="AC14" s="165">
        <f>'ARCHIVE_Staffing Summary'!AD12+'ARCHIVE_Staffing Summary'!AD13+'ARCHIVE_Staffing Summary'!AD14</f>
        <v>26965.956200000001</v>
      </c>
      <c r="AD14" s="165">
        <f>'ARCHIVE_Staffing Summary'!AE12+'ARCHIVE_Staffing Summary'!AE13+'ARCHIVE_Staffing Summary'!AE14</f>
        <v>26965.956200000001</v>
      </c>
      <c r="AE14" s="165">
        <f>'ARCHIVE_Staffing Summary'!AF12+'ARCHIVE_Staffing Summary'!AF13+'ARCHIVE_Staffing Summary'!AF14</f>
        <v>26965.956200000001</v>
      </c>
      <c r="AF14" s="165">
        <f>'ARCHIVE_Staffing Summary'!AG12+'ARCHIVE_Staffing Summary'!AG13+'ARCHIVE_Staffing Summary'!AG14</f>
        <v>26965.956200000001</v>
      </c>
      <c r="AG14" s="165">
        <f>'ARCHIVE_Staffing Summary'!AH12+'ARCHIVE_Staffing Summary'!AH13+'ARCHIVE_Staffing Summary'!AH14</f>
        <v>26965.956200000001</v>
      </c>
      <c r="AH14" s="165">
        <f>'ARCHIVE_Staffing Summary'!AI12+'ARCHIVE_Staffing Summary'!AI13+'ARCHIVE_Staffing Summary'!AI14</f>
        <v>26965.956200000001</v>
      </c>
      <c r="AI14" s="165">
        <f>'ARCHIVE_Staffing Summary'!AJ12+'ARCHIVE_Staffing Summary'!AJ13+'ARCHIVE_Staffing Summary'!AJ14</f>
        <v>26965.956200000001</v>
      </c>
      <c r="AJ14" s="165">
        <f>'ARCHIVE_Staffing Summary'!AK12+'ARCHIVE_Staffing Summary'!AK13+'ARCHIVE_Staffing Summary'!AK14</f>
        <v>26965.956200000001</v>
      </c>
      <c r="AK14" s="165">
        <f>'ARCHIVE_Staffing Summary'!AL12+'ARCHIVE_Staffing Summary'!AL13+'ARCHIVE_Staffing Summary'!AL14</f>
        <v>26965.956200000001</v>
      </c>
      <c r="AL14" s="165">
        <f>'ARCHIVE_Staffing Summary'!AM12+'ARCHIVE_Staffing Summary'!AM13+'ARCHIVE_Staffing Summary'!AM14</f>
        <v>26965.956200000001</v>
      </c>
      <c r="AM14" s="165">
        <f>'ARCHIVE_Staffing Summary'!AN12+'ARCHIVE_Staffing Summary'!AN13+'ARCHIVE_Staffing Summary'!AN14</f>
        <v>158758.41666666669</v>
      </c>
      <c r="AN14" s="165">
        <f>'ARCHIVE_Staffing Summary'!AO12+'ARCHIVE_Staffing Summary'!AO13+'ARCHIVE_Staffing Summary'!AO14</f>
        <v>261805.40000000002</v>
      </c>
      <c r="AO14" s="165">
        <f>'ARCHIVE_Staffing Summary'!AP12+'ARCHIVE_Staffing Summary'!AP13+'ARCHIVE_Staffing Summary'!AP14</f>
        <v>323591.47440000006</v>
      </c>
      <c r="AP14" s="102">
        <f>IF(AO$10=0,0,AO14/AO$10)</f>
        <v>8.8202136615890714E-2</v>
      </c>
    </row>
    <row r="15" spans="1:42" x14ac:dyDescent="0.2">
      <c r="A15" s="160" t="s">
        <v>521</v>
      </c>
      <c r="B15" s="163" t="s">
        <v>522</v>
      </c>
      <c r="C15" s="165">
        <f>'ARCHIVE_Staffing Summary'!D20</f>
        <v>900</v>
      </c>
      <c r="D15" s="165">
        <f>'ARCHIVE_Staffing Summary'!E20</f>
        <v>1019.9999999999999</v>
      </c>
      <c r="E15" s="165">
        <f>'ARCHIVE_Staffing Summary'!F20</f>
        <v>1080</v>
      </c>
      <c r="F15" s="165">
        <f>'ARCHIVE_Staffing Summary'!G20</f>
        <v>1200</v>
      </c>
      <c r="G15" s="165">
        <f>'ARCHIVE_Staffing Summary'!H20</f>
        <v>1320</v>
      </c>
      <c r="H15" s="165">
        <f>'ARCHIVE_Staffing Summary'!I20</f>
        <v>1380</v>
      </c>
      <c r="I15" s="165">
        <f>'ARCHIVE_Staffing Summary'!J20</f>
        <v>1500</v>
      </c>
      <c r="J15" s="165">
        <f>'ARCHIVE_Staffing Summary'!K20</f>
        <v>1560</v>
      </c>
      <c r="K15" s="165">
        <f>'ARCHIVE_Staffing Summary'!L20</f>
        <v>1680</v>
      </c>
      <c r="L15" s="165">
        <f>'ARCHIVE_Staffing Summary'!M20</f>
        <v>1800</v>
      </c>
      <c r="M15" s="165">
        <f>'ARCHIVE_Staffing Summary'!N20</f>
        <v>1859.9999999999998</v>
      </c>
      <c r="N15" s="165">
        <f>'ARCHIVE_Staffing Summary'!O20</f>
        <v>1980</v>
      </c>
      <c r="O15" s="165">
        <f>'ARCHIVE_Staffing Summary'!P20</f>
        <v>2039.9999999999998</v>
      </c>
      <c r="P15" s="165">
        <f>'ARCHIVE_Staffing Summary'!Q20</f>
        <v>2160</v>
      </c>
      <c r="Q15" s="165">
        <f>'ARCHIVE_Staffing Summary'!R20</f>
        <v>2220</v>
      </c>
      <c r="R15" s="165">
        <f>'ARCHIVE_Staffing Summary'!S20</f>
        <v>2340</v>
      </c>
      <c r="S15" s="165">
        <f>'ARCHIVE_Staffing Summary'!T20</f>
        <v>2400</v>
      </c>
      <c r="T15" s="165">
        <f>'ARCHIVE_Staffing Summary'!U20</f>
        <v>2520</v>
      </c>
      <c r="U15" s="165">
        <f>'ARCHIVE_Staffing Summary'!V20</f>
        <v>2580</v>
      </c>
      <c r="V15" s="165">
        <f>'ARCHIVE_Staffing Summary'!W20</f>
        <v>2640</v>
      </c>
      <c r="W15" s="165">
        <f>'ARCHIVE_Staffing Summary'!X20</f>
        <v>2760</v>
      </c>
      <c r="X15" s="165">
        <f>'ARCHIVE_Staffing Summary'!Y20</f>
        <v>2820</v>
      </c>
      <c r="Y15" s="165">
        <f>'ARCHIVE_Staffing Summary'!Z20</f>
        <v>2940</v>
      </c>
      <c r="Z15" s="165">
        <f>'ARCHIVE_Staffing Summary'!AA20</f>
        <v>3000</v>
      </c>
      <c r="AA15" s="165">
        <f>'ARCHIVE_Staffing Summary'!AB20</f>
        <v>3060</v>
      </c>
      <c r="AB15" s="165">
        <f>'ARCHIVE_Staffing Summary'!AC20</f>
        <v>3120</v>
      </c>
      <c r="AC15" s="165">
        <f>'ARCHIVE_Staffing Summary'!AD20</f>
        <v>3120</v>
      </c>
      <c r="AD15" s="165">
        <f>'ARCHIVE_Staffing Summary'!AE20</f>
        <v>3179.9999999999995</v>
      </c>
      <c r="AE15" s="165">
        <f>'ARCHIVE_Staffing Summary'!AF20</f>
        <v>3240</v>
      </c>
      <c r="AF15" s="165">
        <f>'ARCHIVE_Staffing Summary'!AG20</f>
        <v>3300</v>
      </c>
      <c r="AG15" s="165">
        <f>'ARCHIVE_Staffing Summary'!AH20</f>
        <v>3360</v>
      </c>
      <c r="AH15" s="165">
        <f>'ARCHIVE_Staffing Summary'!AI20</f>
        <v>3419.9999999999995</v>
      </c>
      <c r="AI15" s="165">
        <f>'ARCHIVE_Staffing Summary'!AJ20</f>
        <v>3479.9999999999995</v>
      </c>
      <c r="AJ15" s="165">
        <f>'ARCHIVE_Staffing Summary'!AK20</f>
        <v>3479.9999999999995</v>
      </c>
      <c r="AK15" s="165">
        <f>'ARCHIVE_Staffing Summary'!AL20</f>
        <v>3540</v>
      </c>
      <c r="AL15" s="165">
        <f>'ARCHIVE_Staffing Summary'!AM20</f>
        <v>3600</v>
      </c>
      <c r="AM15" s="165">
        <f>'ARCHIVE_Staffing Summary'!AN20</f>
        <v>17280</v>
      </c>
      <c r="AN15" s="165">
        <f>'ARCHIVE_Staffing Summary'!AO20</f>
        <v>30420</v>
      </c>
      <c r="AO15" s="165">
        <f>'ARCHIVE_Staffing Summary'!AP20</f>
        <v>39900</v>
      </c>
      <c r="AP15" s="102">
        <f>IF(AO$10=0,0,AO15/AO$10)</f>
        <v>1.0875642683415638E-2</v>
      </c>
    </row>
    <row r="16" spans="1:42" x14ac:dyDescent="0.2">
      <c r="A16" s="160" t="s">
        <v>523</v>
      </c>
      <c r="B16" s="163" t="s">
        <v>524</v>
      </c>
      <c r="C16" s="165">
        <f>'ARCHIVE_Staffing Summary'!D15+'ARCHIVE_Staffing Summary'!D16+'ARCHIVE_Staffing Summary'!D17</f>
        <v>7720.875</v>
      </c>
      <c r="D16" s="165">
        <f>'ARCHIVE_Staffing Summary'!E15+'ARCHIVE_Staffing Summary'!E16+'ARCHIVE_Staffing Summary'!E17</f>
        <v>7720.875</v>
      </c>
      <c r="E16" s="165">
        <f>'ARCHIVE_Staffing Summary'!F15+'ARCHIVE_Staffing Summary'!F16+'ARCHIVE_Staffing Summary'!F17</f>
        <v>7690.0833333333339</v>
      </c>
      <c r="F16" s="165">
        <f>'ARCHIVE_Staffing Summary'!G15+'ARCHIVE_Staffing Summary'!G16+'ARCHIVE_Staffing Summary'!G17</f>
        <v>7690.0833333333339</v>
      </c>
      <c r="G16" s="165">
        <f>'ARCHIVE_Staffing Summary'!H15+'ARCHIVE_Staffing Summary'!H16+'ARCHIVE_Staffing Summary'!H17</f>
        <v>7690.0833333333339</v>
      </c>
      <c r="H16" s="165">
        <f>'ARCHIVE_Staffing Summary'!I15+'ARCHIVE_Staffing Summary'!I16+'ARCHIVE_Staffing Summary'!I17</f>
        <v>7690.0833333333339</v>
      </c>
      <c r="I16" s="165">
        <f>'ARCHIVE_Staffing Summary'!J15+'ARCHIVE_Staffing Summary'!J16+'ARCHIVE_Staffing Summary'!J17</f>
        <v>11535.125</v>
      </c>
      <c r="J16" s="165">
        <f>'ARCHIVE_Staffing Summary'!K15+'ARCHIVE_Staffing Summary'!K16+'ARCHIVE_Staffing Summary'!K17</f>
        <v>11535.125</v>
      </c>
      <c r="K16" s="165">
        <f>'ARCHIVE_Staffing Summary'!L15+'ARCHIVE_Staffing Summary'!L16+'ARCHIVE_Staffing Summary'!L17</f>
        <v>11535.125</v>
      </c>
      <c r="L16" s="165">
        <f>'ARCHIVE_Staffing Summary'!M15+'ARCHIVE_Staffing Summary'!M16+'ARCHIVE_Staffing Summary'!M17</f>
        <v>11535.125</v>
      </c>
      <c r="M16" s="165">
        <f>'ARCHIVE_Staffing Summary'!N15+'ARCHIVE_Staffing Summary'!N16+'ARCHIVE_Staffing Summary'!N17</f>
        <v>11535.125</v>
      </c>
      <c r="N16" s="165">
        <f>'ARCHIVE_Staffing Summary'!O15+'ARCHIVE_Staffing Summary'!O16+'ARCHIVE_Staffing Summary'!O17</f>
        <v>11535.125</v>
      </c>
      <c r="O16" s="165">
        <f>'ARCHIVE_Staffing Summary'!P15+'ARCHIVE_Staffing Summary'!P16+'ARCHIVE_Staffing Summary'!P17</f>
        <v>11881.178749999999</v>
      </c>
      <c r="P16" s="165">
        <f>'ARCHIVE_Staffing Summary'!Q15+'ARCHIVE_Staffing Summary'!Q16+'ARCHIVE_Staffing Summary'!Q17</f>
        <v>11881.178749999999</v>
      </c>
      <c r="Q16" s="165">
        <f>'ARCHIVE_Staffing Summary'!R15+'ARCHIVE_Staffing Summary'!R16+'ARCHIVE_Staffing Summary'!R17</f>
        <v>15841.571666666667</v>
      </c>
      <c r="R16" s="165">
        <f>'ARCHIVE_Staffing Summary'!S15+'ARCHIVE_Staffing Summary'!S16+'ARCHIVE_Staffing Summary'!S17</f>
        <v>15841.571666666667</v>
      </c>
      <c r="S16" s="165">
        <f>'ARCHIVE_Staffing Summary'!T15+'ARCHIVE_Staffing Summary'!T16+'ARCHIVE_Staffing Summary'!T17</f>
        <v>15841.571666666667</v>
      </c>
      <c r="T16" s="165">
        <f>'ARCHIVE_Staffing Summary'!U15+'ARCHIVE_Staffing Summary'!U16+'ARCHIVE_Staffing Summary'!U17</f>
        <v>15841.571666666667</v>
      </c>
      <c r="U16" s="165">
        <f>'ARCHIVE_Staffing Summary'!V15+'ARCHIVE_Staffing Summary'!V16+'ARCHIVE_Staffing Summary'!V17</f>
        <v>15841.571666666667</v>
      </c>
      <c r="V16" s="165">
        <f>'ARCHIVE_Staffing Summary'!W15+'ARCHIVE_Staffing Summary'!W16+'ARCHIVE_Staffing Summary'!W17</f>
        <v>15841.571666666667</v>
      </c>
      <c r="W16" s="165">
        <f>'ARCHIVE_Staffing Summary'!X15+'ARCHIVE_Staffing Summary'!X16+'ARCHIVE_Staffing Summary'!X17</f>
        <v>15841.571666666667</v>
      </c>
      <c r="X16" s="165">
        <f>'ARCHIVE_Staffing Summary'!Y15+'ARCHIVE_Staffing Summary'!Y16+'ARCHIVE_Staffing Summary'!Y17</f>
        <v>15841.571666666667</v>
      </c>
      <c r="Y16" s="165">
        <f>'ARCHIVE_Staffing Summary'!Z15+'ARCHIVE_Staffing Summary'!Z16+'ARCHIVE_Staffing Summary'!Z17</f>
        <v>19801.964583333334</v>
      </c>
      <c r="Z16" s="165">
        <f>'ARCHIVE_Staffing Summary'!AA15+'ARCHIVE_Staffing Summary'!AA16+'ARCHIVE_Staffing Summary'!AA17</f>
        <v>19801.964583333334</v>
      </c>
      <c r="AA16" s="165">
        <f>'ARCHIVE_Staffing Summary'!AB15+'ARCHIVE_Staffing Summary'!AB16+'ARCHIVE_Staffing Summary'!AB17</f>
        <v>20396.023520833332</v>
      </c>
      <c r="AB16" s="165">
        <f>'ARCHIVE_Staffing Summary'!AC15+'ARCHIVE_Staffing Summary'!AC16+'ARCHIVE_Staffing Summary'!AC17</f>
        <v>20396.023520833332</v>
      </c>
      <c r="AC16" s="165">
        <f>'ARCHIVE_Staffing Summary'!AD15+'ARCHIVE_Staffing Summary'!AD16+'ARCHIVE_Staffing Summary'!AD17</f>
        <v>20396.023520833332</v>
      </c>
      <c r="AD16" s="165">
        <f>'ARCHIVE_Staffing Summary'!AE15+'ARCHIVE_Staffing Summary'!AE16+'ARCHIVE_Staffing Summary'!AE17</f>
        <v>20396.023520833332</v>
      </c>
      <c r="AE16" s="165">
        <f>'ARCHIVE_Staffing Summary'!AF15+'ARCHIVE_Staffing Summary'!AF16+'ARCHIVE_Staffing Summary'!AF17</f>
        <v>20396.023520833332</v>
      </c>
      <c r="AF16" s="165">
        <f>'ARCHIVE_Staffing Summary'!AG15+'ARCHIVE_Staffing Summary'!AG16+'ARCHIVE_Staffing Summary'!AG17</f>
        <v>20396.023520833332</v>
      </c>
      <c r="AG16" s="165">
        <f>'ARCHIVE_Staffing Summary'!AH15+'ARCHIVE_Staffing Summary'!AH16+'ARCHIVE_Staffing Summary'!AH17</f>
        <v>20396.023520833332</v>
      </c>
      <c r="AH16" s="165">
        <f>'ARCHIVE_Staffing Summary'!AI15+'ARCHIVE_Staffing Summary'!AI16+'ARCHIVE_Staffing Summary'!AI17</f>
        <v>20396.023520833332</v>
      </c>
      <c r="AI16" s="165">
        <f>'ARCHIVE_Staffing Summary'!AJ15+'ARCHIVE_Staffing Summary'!AJ16+'ARCHIVE_Staffing Summary'!AJ17</f>
        <v>20396.023520833332</v>
      </c>
      <c r="AJ16" s="165">
        <f>'ARCHIVE_Staffing Summary'!AK15+'ARCHIVE_Staffing Summary'!AK16+'ARCHIVE_Staffing Summary'!AK17</f>
        <v>20396.023520833332</v>
      </c>
      <c r="AK16" s="165">
        <f>'ARCHIVE_Staffing Summary'!AL15+'ARCHIVE_Staffing Summary'!AL16+'ARCHIVE_Staffing Summary'!AL17</f>
        <v>20396.023520833332</v>
      </c>
      <c r="AL16" s="165">
        <f>'ARCHIVE_Staffing Summary'!AM15+'ARCHIVE_Staffing Summary'!AM16+'ARCHIVE_Staffing Summary'!AM17</f>
        <v>20396.023520833332</v>
      </c>
      <c r="AM16" s="165">
        <f>'ARCHIVE_Staffing Summary'!AN15+'ARCHIVE_Staffing Summary'!AN16+'ARCHIVE_Staffing Summary'!AN17</f>
        <v>115412.83333333334</v>
      </c>
      <c r="AN16" s="165">
        <f>'ARCHIVE_Staffing Summary'!AO15+'ARCHIVE_Staffing Summary'!AO16+'ARCHIVE_Staffing Summary'!AO17</f>
        <v>190098.86000000004</v>
      </c>
      <c r="AO16" s="165">
        <f>'ARCHIVE_Staffing Summary'!AP15+'ARCHIVE_Staffing Summary'!AP16+'ARCHIVE_Staffing Summary'!AP17</f>
        <v>244752.28224999999</v>
      </c>
      <c r="AP16" s="102">
        <f>IF(AO$10=0,0,AO16/AO$10)</f>
        <v>6.6712741045150167E-2</v>
      </c>
    </row>
    <row r="17" spans="1:42" x14ac:dyDescent="0.2">
      <c r="A17" s="160" t="s">
        <v>525</v>
      </c>
      <c r="B17" s="163" t="s">
        <v>526</v>
      </c>
      <c r="C17" s="165">
        <f>'ARCHIVE_Staffing Summary'!D22</f>
        <v>1125</v>
      </c>
      <c r="D17" s="165">
        <f>'ARCHIVE_Staffing Summary'!E22</f>
        <v>1275</v>
      </c>
      <c r="E17" s="165">
        <f>'ARCHIVE_Staffing Summary'!F22</f>
        <v>1350</v>
      </c>
      <c r="F17" s="165">
        <f>'ARCHIVE_Staffing Summary'!G22</f>
        <v>1500</v>
      </c>
      <c r="G17" s="165">
        <f>'ARCHIVE_Staffing Summary'!H22</f>
        <v>1650</v>
      </c>
      <c r="H17" s="165">
        <f>'ARCHIVE_Staffing Summary'!I22</f>
        <v>1725</v>
      </c>
      <c r="I17" s="165">
        <f>'ARCHIVE_Staffing Summary'!J22</f>
        <v>1875</v>
      </c>
      <c r="J17" s="165">
        <f>'ARCHIVE_Staffing Summary'!K22</f>
        <v>1950</v>
      </c>
      <c r="K17" s="165">
        <f>'ARCHIVE_Staffing Summary'!L22</f>
        <v>2100</v>
      </c>
      <c r="L17" s="165">
        <f>'ARCHIVE_Staffing Summary'!M22</f>
        <v>2250</v>
      </c>
      <c r="M17" s="165">
        <f>'ARCHIVE_Staffing Summary'!N22</f>
        <v>2325</v>
      </c>
      <c r="N17" s="165">
        <f>'ARCHIVE_Staffing Summary'!O22</f>
        <v>2475</v>
      </c>
      <c r="O17" s="165">
        <f>'ARCHIVE_Staffing Summary'!P22</f>
        <v>2550</v>
      </c>
      <c r="P17" s="165">
        <f>'ARCHIVE_Staffing Summary'!Q22</f>
        <v>2700</v>
      </c>
      <c r="Q17" s="165">
        <f>'ARCHIVE_Staffing Summary'!R22</f>
        <v>2775</v>
      </c>
      <c r="R17" s="165">
        <f>'ARCHIVE_Staffing Summary'!S22</f>
        <v>2925</v>
      </c>
      <c r="S17" s="165">
        <f>'ARCHIVE_Staffing Summary'!T22</f>
        <v>3000</v>
      </c>
      <c r="T17" s="165">
        <f>'ARCHIVE_Staffing Summary'!U22</f>
        <v>3150</v>
      </c>
      <c r="U17" s="165">
        <f>'ARCHIVE_Staffing Summary'!V22</f>
        <v>3225</v>
      </c>
      <c r="V17" s="165">
        <f>'ARCHIVE_Staffing Summary'!W22</f>
        <v>3300</v>
      </c>
      <c r="W17" s="165">
        <f>'ARCHIVE_Staffing Summary'!X22</f>
        <v>3450</v>
      </c>
      <c r="X17" s="165">
        <f>'ARCHIVE_Staffing Summary'!Y22</f>
        <v>3525</v>
      </c>
      <c r="Y17" s="165">
        <f>'ARCHIVE_Staffing Summary'!Z22</f>
        <v>3675</v>
      </c>
      <c r="Z17" s="165">
        <f>'ARCHIVE_Staffing Summary'!AA22</f>
        <v>3750</v>
      </c>
      <c r="AA17" s="165">
        <f>'ARCHIVE_Staffing Summary'!AB22</f>
        <v>3825</v>
      </c>
      <c r="AB17" s="165">
        <f>'ARCHIVE_Staffing Summary'!AC22</f>
        <v>3900</v>
      </c>
      <c r="AC17" s="165">
        <f>'ARCHIVE_Staffing Summary'!AD22</f>
        <v>3900</v>
      </c>
      <c r="AD17" s="165">
        <f>'ARCHIVE_Staffing Summary'!AE22</f>
        <v>3975</v>
      </c>
      <c r="AE17" s="165">
        <f>'ARCHIVE_Staffing Summary'!AF22</f>
        <v>4050</v>
      </c>
      <c r="AF17" s="165">
        <f>'ARCHIVE_Staffing Summary'!AG22</f>
        <v>4125</v>
      </c>
      <c r="AG17" s="165">
        <f>'ARCHIVE_Staffing Summary'!AH22</f>
        <v>4200</v>
      </c>
      <c r="AH17" s="165">
        <f>'ARCHIVE_Staffing Summary'!AI22</f>
        <v>4275</v>
      </c>
      <c r="AI17" s="165">
        <f>'ARCHIVE_Staffing Summary'!AJ22</f>
        <v>4350</v>
      </c>
      <c r="AJ17" s="165">
        <f>'ARCHIVE_Staffing Summary'!AK22</f>
        <v>4350</v>
      </c>
      <c r="AK17" s="165">
        <f>'ARCHIVE_Staffing Summary'!AL22</f>
        <v>4425</v>
      </c>
      <c r="AL17" s="165">
        <f>'ARCHIVE_Staffing Summary'!AM22</f>
        <v>4500</v>
      </c>
      <c r="AM17" s="165">
        <f>'ARCHIVE_Staffing Summary'!AN22</f>
        <v>21600</v>
      </c>
      <c r="AN17" s="165">
        <f>'ARCHIVE_Staffing Summary'!AO22</f>
        <v>38025</v>
      </c>
      <c r="AO17" s="165">
        <f>'ARCHIVE_Staffing Summary'!AP22</f>
        <v>49875</v>
      </c>
      <c r="AP17" s="102">
        <f>IF(AO$10=0,0,AO17/AO$10)</f>
        <v>1.3594553354269547E-2</v>
      </c>
    </row>
    <row r="18" spans="1:42" x14ac:dyDescent="0.2">
      <c r="A18" s="160" t="s">
        <v>527</v>
      </c>
      <c r="B18" s="163" t="s">
        <v>528</v>
      </c>
      <c r="C18" s="165">
        <f>'ARCHIVE_Staffing Summary'!D21</f>
        <v>843.75</v>
      </c>
      <c r="D18" s="165">
        <f>'ARCHIVE_Staffing Summary'!E21</f>
        <v>956.25</v>
      </c>
      <c r="E18" s="165">
        <f>'ARCHIVE_Staffing Summary'!F21</f>
        <v>1012.5</v>
      </c>
      <c r="F18" s="165">
        <f>'ARCHIVE_Staffing Summary'!G21</f>
        <v>1125</v>
      </c>
      <c r="G18" s="165">
        <f>'ARCHIVE_Staffing Summary'!H21</f>
        <v>1237.5</v>
      </c>
      <c r="H18" s="165">
        <f>'ARCHIVE_Staffing Summary'!I21</f>
        <v>1293.75</v>
      </c>
      <c r="I18" s="165">
        <f>'ARCHIVE_Staffing Summary'!J21</f>
        <v>1406.25</v>
      </c>
      <c r="J18" s="165">
        <f>'ARCHIVE_Staffing Summary'!K21</f>
        <v>1462.5</v>
      </c>
      <c r="K18" s="165">
        <f>'ARCHIVE_Staffing Summary'!L21</f>
        <v>1575</v>
      </c>
      <c r="L18" s="165">
        <f>'ARCHIVE_Staffing Summary'!M21</f>
        <v>1687.5</v>
      </c>
      <c r="M18" s="165">
        <f>'ARCHIVE_Staffing Summary'!N21</f>
        <v>1743.75</v>
      </c>
      <c r="N18" s="165">
        <f>'ARCHIVE_Staffing Summary'!O21</f>
        <v>1856.25</v>
      </c>
      <c r="O18" s="165">
        <f>'ARCHIVE_Staffing Summary'!P21</f>
        <v>1912.5</v>
      </c>
      <c r="P18" s="165">
        <f>'ARCHIVE_Staffing Summary'!Q21</f>
        <v>2025</v>
      </c>
      <c r="Q18" s="165">
        <f>'ARCHIVE_Staffing Summary'!R21</f>
        <v>2081.25</v>
      </c>
      <c r="R18" s="165">
        <f>'ARCHIVE_Staffing Summary'!S21</f>
        <v>2193.75</v>
      </c>
      <c r="S18" s="165">
        <f>'ARCHIVE_Staffing Summary'!T21</f>
        <v>2250</v>
      </c>
      <c r="T18" s="165">
        <f>'ARCHIVE_Staffing Summary'!U21</f>
        <v>2362.5</v>
      </c>
      <c r="U18" s="165">
        <f>'ARCHIVE_Staffing Summary'!V21</f>
        <v>2418.75</v>
      </c>
      <c r="V18" s="165">
        <f>'ARCHIVE_Staffing Summary'!W21</f>
        <v>2475</v>
      </c>
      <c r="W18" s="165">
        <f>'ARCHIVE_Staffing Summary'!X21</f>
        <v>2587.5</v>
      </c>
      <c r="X18" s="165">
        <f>'ARCHIVE_Staffing Summary'!Y21</f>
        <v>2643.75</v>
      </c>
      <c r="Y18" s="165">
        <f>'ARCHIVE_Staffing Summary'!Z21</f>
        <v>2756.25</v>
      </c>
      <c r="Z18" s="165">
        <f>'ARCHIVE_Staffing Summary'!AA21</f>
        <v>2812.5</v>
      </c>
      <c r="AA18" s="165">
        <f>'ARCHIVE_Staffing Summary'!AB21</f>
        <v>2868.75</v>
      </c>
      <c r="AB18" s="165">
        <f>'ARCHIVE_Staffing Summary'!AC21</f>
        <v>2925</v>
      </c>
      <c r="AC18" s="165">
        <f>'ARCHIVE_Staffing Summary'!AD21</f>
        <v>2925</v>
      </c>
      <c r="AD18" s="165">
        <f>'ARCHIVE_Staffing Summary'!AE21</f>
        <v>2981.25</v>
      </c>
      <c r="AE18" s="165">
        <f>'ARCHIVE_Staffing Summary'!AF21</f>
        <v>3037.5</v>
      </c>
      <c r="AF18" s="165">
        <f>'ARCHIVE_Staffing Summary'!AG21</f>
        <v>3093.75</v>
      </c>
      <c r="AG18" s="165">
        <f>'ARCHIVE_Staffing Summary'!AH21</f>
        <v>3150</v>
      </c>
      <c r="AH18" s="165">
        <f>'ARCHIVE_Staffing Summary'!AI21</f>
        <v>3206.25</v>
      </c>
      <c r="AI18" s="165">
        <f>'ARCHIVE_Staffing Summary'!AJ21</f>
        <v>3262.5</v>
      </c>
      <c r="AJ18" s="165">
        <f>'ARCHIVE_Staffing Summary'!AK21</f>
        <v>3262.5</v>
      </c>
      <c r="AK18" s="165">
        <f>'ARCHIVE_Staffing Summary'!AL21</f>
        <v>3318.75</v>
      </c>
      <c r="AL18" s="165">
        <f>'ARCHIVE_Staffing Summary'!AM21</f>
        <v>3375</v>
      </c>
      <c r="AM18" s="165">
        <f>'ARCHIVE_Staffing Summary'!AN21</f>
        <v>16200</v>
      </c>
      <c r="AN18" s="165">
        <f>'ARCHIVE_Staffing Summary'!AO21</f>
        <v>28518.75</v>
      </c>
      <c r="AO18" s="165">
        <f>'ARCHIVE_Staffing Summary'!AP21</f>
        <v>37406.25</v>
      </c>
      <c r="AP18" s="102">
        <f>IF(AO$10=0,0,AO18/AO$10)</f>
        <v>1.019591501570216E-2</v>
      </c>
    </row>
    <row r="19" spans="1:42" x14ac:dyDescent="0.2">
      <c r="A19" s="160" t="s">
        <v>529</v>
      </c>
      <c r="B19" s="163" t="s">
        <v>530</v>
      </c>
      <c r="C19" s="165">
        <f>'ARCHIVE_Staffing Summary'!D23</f>
        <v>450</v>
      </c>
      <c r="D19" s="165">
        <f>'ARCHIVE_Staffing Summary'!E23</f>
        <v>509.99999999999994</v>
      </c>
      <c r="E19" s="165">
        <f>'ARCHIVE_Staffing Summary'!F23</f>
        <v>540</v>
      </c>
      <c r="F19" s="165">
        <f>'ARCHIVE_Staffing Summary'!G23</f>
        <v>600</v>
      </c>
      <c r="G19" s="165">
        <f>'ARCHIVE_Staffing Summary'!H23</f>
        <v>660</v>
      </c>
      <c r="H19" s="165">
        <f>'ARCHIVE_Staffing Summary'!I23</f>
        <v>690</v>
      </c>
      <c r="I19" s="165">
        <f>'ARCHIVE_Staffing Summary'!J23</f>
        <v>750</v>
      </c>
      <c r="J19" s="165">
        <f>'ARCHIVE_Staffing Summary'!K23</f>
        <v>780</v>
      </c>
      <c r="K19" s="165">
        <f>'ARCHIVE_Staffing Summary'!L23</f>
        <v>840</v>
      </c>
      <c r="L19" s="165">
        <f>'ARCHIVE_Staffing Summary'!M23</f>
        <v>900</v>
      </c>
      <c r="M19" s="165">
        <f>'ARCHIVE_Staffing Summary'!N23</f>
        <v>929.99999999999989</v>
      </c>
      <c r="N19" s="165">
        <f>'ARCHIVE_Staffing Summary'!O23</f>
        <v>990</v>
      </c>
      <c r="O19" s="165">
        <f>'ARCHIVE_Staffing Summary'!P23</f>
        <v>1019.9999999999999</v>
      </c>
      <c r="P19" s="165">
        <f>'ARCHIVE_Staffing Summary'!Q23</f>
        <v>1080</v>
      </c>
      <c r="Q19" s="165">
        <f>'ARCHIVE_Staffing Summary'!R23</f>
        <v>1110</v>
      </c>
      <c r="R19" s="165">
        <f>'ARCHIVE_Staffing Summary'!S23</f>
        <v>1170</v>
      </c>
      <c r="S19" s="165">
        <f>'ARCHIVE_Staffing Summary'!T23</f>
        <v>1200</v>
      </c>
      <c r="T19" s="165">
        <f>'ARCHIVE_Staffing Summary'!U23</f>
        <v>1260</v>
      </c>
      <c r="U19" s="165">
        <f>'ARCHIVE_Staffing Summary'!V23</f>
        <v>1290</v>
      </c>
      <c r="V19" s="165">
        <f>'ARCHIVE_Staffing Summary'!W23</f>
        <v>1320</v>
      </c>
      <c r="W19" s="165">
        <f>'ARCHIVE_Staffing Summary'!X23</f>
        <v>1380</v>
      </c>
      <c r="X19" s="165">
        <f>'ARCHIVE_Staffing Summary'!Y23</f>
        <v>1410</v>
      </c>
      <c r="Y19" s="165">
        <f>'ARCHIVE_Staffing Summary'!Z23</f>
        <v>1470</v>
      </c>
      <c r="Z19" s="165">
        <f>'ARCHIVE_Staffing Summary'!AA23</f>
        <v>1500</v>
      </c>
      <c r="AA19" s="165">
        <f>'ARCHIVE_Staffing Summary'!AB23</f>
        <v>1530</v>
      </c>
      <c r="AB19" s="165">
        <f>'ARCHIVE_Staffing Summary'!AC23</f>
        <v>1560</v>
      </c>
      <c r="AC19" s="165">
        <f>'ARCHIVE_Staffing Summary'!AD23</f>
        <v>1560</v>
      </c>
      <c r="AD19" s="165">
        <f>'ARCHIVE_Staffing Summary'!AE23</f>
        <v>1589.9999999999998</v>
      </c>
      <c r="AE19" s="165">
        <f>'ARCHIVE_Staffing Summary'!AF23</f>
        <v>1620</v>
      </c>
      <c r="AF19" s="165">
        <f>'ARCHIVE_Staffing Summary'!AG23</f>
        <v>1650</v>
      </c>
      <c r="AG19" s="165">
        <f>'ARCHIVE_Staffing Summary'!AH23</f>
        <v>1680</v>
      </c>
      <c r="AH19" s="165">
        <f>'ARCHIVE_Staffing Summary'!AI23</f>
        <v>1709.9999999999998</v>
      </c>
      <c r="AI19" s="165">
        <f>'ARCHIVE_Staffing Summary'!AJ23</f>
        <v>1739.9999999999998</v>
      </c>
      <c r="AJ19" s="165">
        <f>'ARCHIVE_Staffing Summary'!AK23</f>
        <v>1739.9999999999998</v>
      </c>
      <c r="AK19" s="165">
        <f>'ARCHIVE_Staffing Summary'!AL23</f>
        <v>1770</v>
      </c>
      <c r="AL19" s="165">
        <f>'ARCHIVE_Staffing Summary'!AM23</f>
        <v>1800</v>
      </c>
      <c r="AM19" s="165">
        <f>'ARCHIVE_Staffing Summary'!AN23</f>
        <v>8640</v>
      </c>
      <c r="AN19" s="165">
        <f>'ARCHIVE_Staffing Summary'!AO23</f>
        <v>15210</v>
      </c>
      <c r="AO19" s="165">
        <f>'ARCHIVE_Staffing Summary'!AP23</f>
        <v>19950</v>
      </c>
      <c r="AP19" s="102">
        <f>IF(AO$10=0,0,AO19/AO$10)</f>
        <v>5.437821341707819E-3</v>
      </c>
    </row>
    <row r="20" spans="1:42" x14ac:dyDescent="0.2">
      <c r="A20" s="166" t="s">
        <v>533</v>
      </c>
      <c r="B20" s="160"/>
      <c r="C20" s="169">
        <f>SUM(C14:C19)</f>
        <v>17290.041666666668</v>
      </c>
      <c r="D20" s="169">
        <f>SUM(D14:D19)</f>
        <v>24191.125</v>
      </c>
      <c r="E20" s="169">
        <f>SUM(E14:E19)</f>
        <v>24381.583333333336</v>
      </c>
      <c r="F20" s="169">
        <f>SUM(F14:F19)</f>
        <v>24824.083333333336</v>
      </c>
      <c r="G20" s="169">
        <f>SUM(G14:G19)</f>
        <v>25266.583333333336</v>
      </c>
      <c r="H20" s="169">
        <f>SUM(H14:H19)</f>
        <v>25487.833333333336</v>
      </c>
      <c r="I20" s="169">
        <f>SUM(I14:I19)</f>
        <v>29775.375</v>
      </c>
      <c r="J20" s="169">
        <f>SUM(J14:J19)</f>
        <v>29996.625</v>
      </c>
      <c r="K20" s="169">
        <f>SUM(K14:K19)</f>
        <v>30439.125</v>
      </c>
      <c r="L20" s="169">
        <f>SUM(L14:L19)</f>
        <v>30881.625</v>
      </c>
      <c r="M20" s="169">
        <f>SUM(M14:M19)</f>
        <v>37457.375</v>
      </c>
      <c r="N20" s="169">
        <f>SUM(N14:N19)</f>
        <v>37899.875</v>
      </c>
      <c r="O20" s="169">
        <f>SUM(O14:O19)</f>
        <v>39039.083749999998</v>
      </c>
      <c r="P20" s="169">
        <f>SUM(P14:P19)</f>
        <v>39481.583749999998</v>
      </c>
      <c r="Q20" s="169">
        <f>SUM(Q14:Q19)</f>
        <v>43663.226666666669</v>
      </c>
      <c r="R20" s="169">
        <f>SUM(R14:R19)</f>
        <v>44105.726666666669</v>
      </c>
      <c r="S20" s="169">
        <f>SUM(S14:S19)</f>
        <v>44326.976666666669</v>
      </c>
      <c r="T20" s="169">
        <f>SUM(T14:T19)</f>
        <v>44769.476666666669</v>
      </c>
      <c r="U20" s="169">
        <f>SUM(U14:U19)</f>
        <v>44990.726666666669</v>
      </c>
      <c r="V20" s="169">
        <f>SUM(V14:V19)</f>
        <v>45211.976666666669</v>
      </c>
      <c r="W20" s="169">
        <f>SUM(W14:W19)</f>
        <v>52199.611666666664</v>
      </c>
      <c r="X20" s="169">
        <f>SUM(X14:X19)</f>
        <v>52420.861666666664</v>
      </c>
      <c r="Y20" s="169">
        <f>SUM(Y14:Y19)</f>
        <v>56823.754583333335</v>
      </c>
      <c r="Z20" s="169">
        <f>SUM(Z14:Z19)</f>
        <v>57045.004583333335</v>
      </c>
      <c r="AA20" s="169">
        <f>SUM(AA14:AA19)</f>
        <v>58645.729720833333</v>
      </c>
      <c r="AB20" s="169">
        <f>SUM(AB14:AB19)</f>
        <v>58866.979720833333</v>
      </c>
      <c r="AC20" s="169">
        <f>SUM(AC14:AC19)</f>
        <v>58866.979720833333</v>
      </c>
      <c r="AD20" s="169">
        <f>SUM(AD14:AD19)</f>
        <v>59088.229720833333</v>
      </c>
      <c r="AE20" s="169">
        <f>SUM(AE14:AE19)</f>
        <v>59309.479720833333</v>
      </c>
      <c r="AF20" s="169">
        <f>SUM(AF14:AF19)</f>
        <v>59530.729720833333</v>
      </c>
      <c r="AG20" s="169">
        <f>SUM(AG14:AG19)</f>
        <v>59751.979720833333</v>
      </c>
      <c r="AH20" s="169">
        <f>SUM(AH14:AH19)</f>
        <v>59973.229720833333</v>
      </c>
      <c r="AI20" s="169">
        <f>SUM(AI14:AI19)</f>
        <v>60194.479720833333</v>
      </c>
      <c r="AJ20" s="169">
        <f>SUM(AJ14:AJ19)</f>
        <v>60194.479720833333</v>
      </c>
      <c r="AK20" s="169">
        <f>SUM(AK14:AK19)</f>
        <v>60415.729720833333</v>
      </c>
      <c r="AL20" s="169">
        <f>SUM(AL14:AL19)</f>
        <v>60636.979720833333</v>
      </c>
      <c r="AM20" s="169">
        <f>SUM(AM14:AM19)</f>
        <v>337891.25</v>
      </c>
      <c r="AN20" s="169">
        <f>SUM(AN14:AN19)</f>
        <v>564078.01</v>
      </c>
      <c r="AO20" s="169">
        <f>SUM(AO14:AO19)</f>
        <v>715475.00665000011</v>
      </c>
      <c r="AP20" s="103">
        <f>IF(AO$10=0,0,AO20/AO$10)</f>
        <v>0.19501881005613605</v>
      </c>
    </row>
    <row r="21" spans="1:42" x14ac:dyDescent="0.2">
      <c r="A21" s="168" t="s">
        <v>534</v>
      </c>
      <c r="B21" s="160"/>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row>
    <row r="22" spans="1:42" x14ac:dyDescent="0.2">
      <c r="A22" s="160" t="s">
        <v>535</v>
      </c>
      <c r="B22" s="163">
        <v>41300</v>
      </c>
      <c r="C22" s="165">
        <f>C20*'ARCHIVE_Control Tower'!$B$5</f>
        <v>1322.6881875000001</v>
      </c>
      <c r="D22" s="165">
        <f>D20*'ARCHIVE_Control Tower'!$B$5</f>
        <v>1850.6210624999999</v>
      </c>
      <c r="E22" s="165">
        <f>E20*'ARCHIVE_Control Tower'!$B$5</f>
        <v>1865.1911250000001</v>
      </c>
      <c r="F22" s="165">
        <f>F20*'ARCHIVE_Control Tower'!$B$5</f>
        <v>1899.0423750000002</v>
      </c>
      <c r="G22" s="165">
        <f>G20*'ARCHIVE_Control Tower'!$B$5</f>
        <v>1932.8936250000002</v>
      </c>
      <c r="H22" s="165">
        <f>H20*'ARCHIVE_Control Tower'!$B$5</f>
        <v>1949.8192500000002</v>
      </c>
      <c r="I22" s="165">
        <f>I20*'ARCHIVE_Control Tower'!$B$5</f>
        <v>2277.8161875000001</v>
      </c>
      <c r="J22" s="165">
        <f>J20*'ARCHIVE_Control Tower'!$B$5</f>
        <v>2294.7418124999999</v>
      </c>
      <c r="K22" s="165">
        <f>K20*'ARCHIVE_Control Tower'!$B$5</f>
        <v>2328.5930625000001</v>
      </c>
      <c r="L22" s="165">
        <f>L20*'ARCHIVE_Control Tower'!$B$5</f>
        <v>2362.4443124999998</v>
      </c>
      <c r="M22" s="165">
        <f>M20*'ARCHIVE_Control Tower'!$B$5</f>
        <v>2865.4891874999998</v>
      </c>
      <c r="N22" s="165">
        <f>N20*'ARCHIVE_Control Tower'!$B$5</f>
        <v>2899.3404375</v>
      </c>
      <c r="O22" s="165">
        <f>O20*'ARCHIVE_Control Tower'!$B$5</f>
        <v>2986.4899068749996</v>
      </c>
      <c r="P22" s="165">
        <f>P20*'ARCHIVE_Control Tower'!$B$5</f>
        <v>3020.3411568749998</v>
      </c>
      <c r="Q22" s="165">
        <f>Q20*'ARCHIVE_Control Tower'!$B$5</f>
        <v>3340.23684</v>
      </c>
      <c r="R22" s="165">
        <f>R20*'ARCHIVE_Control Tower'!$B$5</f>
        <v>3374.0880900000002</v>
      </c>
      <c r="S22" s="165">
        <f>S20*'ARCHIVE_Control Tower'!$B$5</f>
        <v>3391.013715</v>
      </c>
      <c r="T22" s="165">
        <f>T20*'ARCHIVE_Control Tower'!$B$5</f>
        <v>3424.8649650000002</v>
      </c>
      <c r="U22" s="165">
        <f>U20*'ARCHIVE_Control Tower'!$B$5</f>
        <v>3441.7905900000001</v>
      </c>
      <c r="V22" s="165">
        <f>V20*'ARCHIVE_Control Tower'!$B$5</f>
        <v>3458.7162149999999</v>
      </c>
      <c r="W22" s="165">
        <f>W20*'ARCHIVE_Control Tower'!$B$5</f>
        <v>3993.2702924999999</v>
      </c>
      <c r="X22" s="165">
        <f>X20*'ARCHIVE_Control Tower'!$B$5</f>
        <v>4010.1959174999997</v>
      </c>
      <c r="Y22" s="165">
        <f>Y20*'ARCHIVE_Control Tower'!$B$5</f>
        <v>4347.0172256249998</v>
      </c>
      <c r="Z22" s="165">
        <f>Z20*'ARCHIVE_Control Tower'!$B$5</f>
        <v>4363.9428506249997</v>
      </c>
      <c r="AA22" s="165">
        <f>AA20*'ARCHIVE_Control Tower'!$B$5</f>
        <v>4486.3983236437498</v>
      </c>
      <c r="AB22" s="165">
        <f>AB20*'ARCHIVE_Control Tower'!$B$5</f>
        <v>4503.3239486437496</v>
      </c>
      <c r="AC22" s="165">
        <f>AC20*'ARCHIVE_Control Tower'!$B$5</f>
        <v>4503.3239486437496</v>
      </c>
      <c r="AD22" s="165">
        <f>AD20*'ARCHIVE_Control Tower'!$B$5</f>
        <v>4520.2495736437495</v>
      </c>
      <c r="AE22" s="165">
        <f>AE20*'ARCHIVE_Control Tower'!$B$5</f>
        <v>4537.1751986437503</v>
      </c>
      <c r="AF22" s="165">
        <f>AF20*'ARCHIVE_Control Tower'!$B$5</f>
        <v>4554.1008236437501</v>
      </c>
      <c r="AG22" s="165">
        <f>AG20*'ARCHIVE_Control Tower'!$B$5</f>
        <v>4571.02644864375</v>
      </c>
      <c r="AH22" s="165">
        <f>AH20*'ARCHIVE_Control Tower'!$B$5</f>
        <v>4587.9520736437498</v>
      </c>
      <c r="AI22" s="165">
        <f>AI20*'ARCHIVE_Control Tower'!$B$5</f>
        <v>4604.8776986437497</v>
      </c>
      <c r="AJ22" s="165">
        <f>AJ20*'ARCHIVE_Control Tower'!$B$5</f>
        <v>4604.8776986437497</v>
      </c>
      <c r="AK22" s="165">
        <f>AK20*'ARCHIVE_Control Tower'!$B$5</f>
        <v>4621.8033236437495</v>
      </c>
      <c r="AL22" s="165">
        <f>AL20*'ARCHIVE_Control Tower'!$B$5</f>
        <v>4638.7289486437503</v>
      </c>
      <c r="AM22" s="165">
        <f>AM20*'ARCHIVE_Control Tower'!$B$5</f>
        <v>25848.680625000001</v>
      </c>
      <c r="AN22" s="165">
        <f>AN20*'ARCHIVE_Control Tower'!$B$5</f>
        <v>43151.967765000001</v>
      </c>
      <c r="AO22" s="165">
        <f>AO20*'ARCHIVE_Control Tower'!$B$5</f>
        <v>54733.838008725004</v>
      </c>
      <c r="AP22" s="102">
        <f>IF(AO$10=0,0,AO22/AO$10)</f>
        <v>1.4918938969294407E-2</v>
      </c>
    </row>
    <row r="23" spans="1:42" x14ac:dyDescent="0.2">
      <c r="A23" s="160" t="s">
        <v>536</v>
      </c>
      <c r="B23" s="163">
        <v>41300</v>
      </c>
      <c r="C23" s="165">
        <f>C20*'ARCHIVE_Control Tower'!$B$6</f>
        <v>319.86577083333333</v>
      </c>
      <c r="D23" s="165">
        <f>D20*'ARCHIVE_Control Tower'!$B$6</f>
        <v>447.53581249999996</v>
      </c>
      <c r="E23" s="165">
        <f>E20*'ARCHIVE_Control Tower'!$B$6</f>
        <v>451.0592916666667</v>
      </c>
      <c r="F23" s="165">
        <f>F20*'ARCHIVE_Control Tower'!$B$6</f>
        <v>459.24554166666667</v>
      </c>
      <c r="G23" s="165">
        <f>G20*'ARCHIVE_Control Tower'!$B$6</f>
        <v>467.4317916666667</v>
      </c>
      <c r="H23" s="165">
        <f>H20*'ARCHIVE_Control Tower'!$B$6</f>
        <v>471.52491666666668</v>
      </c>
      <c r="I23" s="165">
        <f>I20*'ARCHIVE_Control Tower'!$B$6</f>
        <v>550.84443750000003</v>
      </c>
      <c r="J23" s="165">
        <f>J20*'ARCHIVE_Control Tower'!$B$6</f>
        <v>554.93756250000001</v>
      </c>
      <c r="K23" s="165">
        <f>K20*'ARCHIVE_Control Tower'!$B$6</f>
        <v>563.12381249999999</v>
      </c>
      <c r="L23" s="165">
        <f>L20*'ARCHIVE_Control Tower'!$B$6</f>
        <v>571.31006249999996</v>
      </c>
      <c r="M23" s="165">
        <f>M20*'ARCHIVE_Control Tower'!$B$6</f>
        <v>692.96143749999999</v>
      </c>
      <c r="N23" s="165">
        <f>N20*'ARCHIVE_Control Tower'!$B$6</f>
        <v>701.14768749999996</v>
      </c>
      <c r="O23" s="165">
        <f>O20*'ARCHIVE_Control Tower'!$B$6</f>
        <v>722.22304937499996</v>
      </c>
      <c r="P23" s="165">
        <f>P20*'ARCHIVE_Control Tower'!$B$6</f>
        <v>730.40929937499993</v>
      </c>
      <c r="Q23" s="165">
        <f>Q20*'ARCHIVE_Control Tower'!$B$6</f>
        <v>807.76969333333329</v>
      </c>
      <c r="R23" s="165">
        <f>R20*'ARCHIVE_Control Tower'!$B$6</f>
        <v>815.95594333333338</v>
      </c>
      <c r="S23" s="165">
        <f>S20*'ARCHIVE_Control Tower'!$B$6</f>
        <v>820.04906833333337</v>
      </c>
      <c r="T23" s="165">
        <f>T20*'ARCHIVE_Control Tower'!$B$6</f>
        <v>828.23531833333334</v>
      </c>
      <c r="U23" s="165">
        <f>U20*'ARCHIVE_Control Tower'!$B$6</f>
        <v>832.32844333333333</v>
      </c>
      <c r="V23" s="165">
        <f>V20*'ARCHIVE_Control Tower'!$B$6</f>
        <v>836.42156833333331</v>
      </c>
      <c r="W23" s="165">
        <f>W20*'ARCHIVE_Control Tower'!$B$6</f>
        <v>965.69281583333327</v>
      </c>
      <c r="X23" s="165">
        <f>X20*'ARCHIVE_Control Tower'!$B$6</f>
        <v>969.78594083333326</v>
      </c>
      <c r="Y23" s="165">
        <f>Y20*'ARCHIVE_Control Tower'!$B$6</f>
        <v>1051.2394597916666</v>
      </c>
      <c r="Z23" s="165">
        <f>Z20*'ARCHIVE_Control Tower'!$B$6</f>
        <v>1055.3325847916667</v>
      </c>
      <c r="AA23" s="165">
        <f>AA20*'ARCHIVE_Control Tower'!$B$6</f>
        <v>1084.9459998354166</v>
      </c>
      <c r="AB23" s="165">
        <f>AB20*'ARCHIVE_Control Tower'!$B$6</f>
        <v>1089.0391248354167</v>
      </c>
      <c r="AC23" s="165">
        <f>AC20*'ARCHIVE_Control Tower'!$B$6</f>
        <v>1089.0391248354167</v>
      </c>
      <c r="AD23" s="165">
        <f>AD20*'ARCHIVE_Control Tower'!$B$6</f>
        <v>1093.1322498354166</v>
      </c>
      <c r="AE23" s="165">
        <f>AE20*'ARCHIVE_Control Tower'!$B$6</f>
        <v>1097.2253748354167</v>
      </c>
      <c r="AF23" s="165">
        <f>AF20*'ARCHIVE_Control Tower'!$B$6</f>
        <v>1101.3184998354166</v>
      </c>
      <c r="AG23" s="165">
        <f>AG20*'ARCHIVE_Control Tower'!$B$6</f>
        <v>1105.4116248354167</v>
      </c>
      <c r="AH23" s="165">
        <f>AH20*'ARCHIVE_Control Tower'!$B$6</f>
        <v>1109.5047498354165</v>
      </c>
      <c r="AI23" s="165">
        <f>AI20*'ARCHIVE_Control Tower'!$B$6</f>
        <v>1113.5978748354166</v>
      </c>
      <c r="AJ23" s="165">
        <f>AJ20*'ARCHIVE_Control Tower'!$B$6</f>
        <v>1113.5978748354166</v>
      </c>
      <c r="AK23" s="165">
        <f>AK20*'ARCHIVE_Control Tower'!$B$6</f>
        <v>1117.6909998354165</v>
      </c>
      <c r="AL23" s="165">
        <f>AL20*'ARCHIVE_Control Tower'!$B$6</f>
        <v>1121.7841248354166</v>
      </c>
      <c r="AM23" s="165">
        <f>AM20*'ARCHIVE_Control Tower'!$B$6</f>
        <v>6250.9881249999999</v>
      </c>
      <c r="AN23" s="165">
        <f>AN20*'ARCHIVE_Control Tower'!$B$6</f>
        <v>10435.443185</v>
      </c>
      <c r="AO23" s="165">
        <f>AO20*'ARCHIVE_Control Tower'!$B$6</f>
        <v>13236.287623025002</v>
      </c>
      <c r="AP23" s="102">
        <f>IF(AO$10=0,0,AO23/AO$10)</f>
        <v>3.6078479860385169E-3</v>
      </c>
    </row>
    <row r="24" spans="1:42" x14ac:dyDescent="0.2">
      <c r="A24" s="160" t="s">
        <v>537</v>
      </c>
      <c r="B24" s="163">
        <v>41600</v>
      </c>
      <c r="C24" s="165">
        <f>C20*'ARCHIVE_Control Tower'!$B$7</f>
        <v>518.70125000000007</v>
      </c>
      <c r="D24" s="165">
        <f>D20*'ARCHIVE_Control Tower'!$B$7</f>
        <v>725.73374999999999</v>
      </c>
      <c r="E24" s="165">
        <f>E20*'ARCHIVE_Control Tower'!$B$7</f>
        <v>731.44749999999999</v>
      </c>
      <c r="F24" s="165">
        <f>F20*'ARCHIVE_Control Tower'!$B$7</f>
        <v>744.72250000000008</v>
      </c>
      <c r="G24" s="165">
        <f>G20*'ARCHIVE_Control Tower'!$B$7</f>
        <v>757.99750000000006</v>
      </c>
      <c r="H24" s="165">
        <f>H20*'ARCHIVE_Control Tower'!$B$7</f>
        <v>764.63499999999999</v>
      </c>
      <c r="I24" s="165">
        <f>I20*'ARCHIVE_Control Tower'!$B$7</f>
        <v>893.26125000000002</v>
      </c>
      <c r="J24" s="165">
        <f>J20*'ARCHIVE_Control Tower'!$B$7</f>
        <v>899.89874999999995</v>
      </c>
      <c r="K24" s="165">
        <f>K20*'ARCHIVE_Control Tower'!$B$7</f>
        <v>913.17374999999993</v>
      </c>
      <c r="L24" s="165">
        <f>L20*'ARCHIVE_Control Tower'!$B$7</f>
        <v>926.44875000000002</v>
      </c>
      <c r="M24" s="165">
        <f>M20*'ARCHIVE_Control Tower'!$B$7</f>
        <v>1123.7212500000001</v>
      </c>
      <c r="N24" s="165">
        <f>N20*'ARCHIVE_Control Tower'!$B$7</f>
        <v>1136.9962499999999</v>
      </c>
      <c r="O24" s="165">
        <f>O20*'ARCHIVE_Control Tower'!$B$7</f>
        <v>1171.1725124999998</v>
      </c>
      <c r="P24" s="165">
        <f>P20*'ARCHIVE_Control Tower'!$B$7</f>
        <v>1184.4475124999999</v>
      </c>
      <c r="Q24" s="165">
        <f>Q20*'ARCHIVE_Control Tower'!$B$7</f>
        <v>1309.8968</v>
      </c>
      <c r="R24" s="165">
        <f>R20*'ARCHIVE_Control Tower'!$B$7</f>
        <v>1323.1718000000001</v>
      </c>
      <c r="S24" s="165">
        <f>S20*'ARCHIVE_Control Tower'!$B$7</f>
        <v>1329.8093000000001</v>
      </c>
      <c r="T24" s="165">
        <f>T20*'ARCHIVE_Control Tower'!$B$7</f>
        <v>1343.0843</v>
      </c>
      <c r="U24" s="165">
        <f>U20*'ARCHIVE_Control Tower'!$B$7</f>
        <v>1349.7218</v>
      </c>
      <c r="V24" s="165">
        <f>V20*'ARCHIVE_Control Tower'!$B$7</f>
        <v>1356.3593000000001</v>
      </c>
      <c r="W24" s="165">
        <f>W20*'ARCHIVE_Control Tower'!$B$7</f>
        <v>1565.9883499999999</v>
      </c>
      <c r="X24" s="165">
        <f>X20*'ARCHIVE_Control Tower'!$B$7</f>
        <v>1572.6258499999999</v>
      </c>
      <c r="Y24" s="165">
        <f>Y20*'ARCHIVE_Control Tower'!$B$7</f>
        <v>1704.7126375</v>
      </c>
      <c r="Z24" s="165">
        <f>Z20*'ARCHIVE_Control Tower'!$B$7</f>
        <v>1711.3501375000001</v>
      </c>
      <c r="AA24" s="165">
        <f>AA20*'ARCHIVE_Control Tower'!$B$7</f>
        <v>1759.371891625</v>
      </c>
      <c r="AB24" s="165">
        <f>AB20*'ARCHIVE_Control Tower'!$B$7</f>
        <v>1766.009391625</v>
      </c>
      <c r="AC24" s="165">
        <f>AC20*'ARCHIVE_Control Tower'!$B$7</f>
        <v>1766.009391625</v>
      </c>
      <c r="AD24" s="165">
        <f>AD20*'ARCHIVE_Control Tower'!$B$7</f>
        <v>1772.6468916249999</v>
      </c>
      <c r="AE24" s="165">
        <f>AE20*'ARCHIVE_Control Tower'!$B$7</f>
        <v>1779.2843916249999</v>
      </c>
      <c r="AF24" s="165">
        <f>AF20*'ARCHIVE_Control Tower'!$B$7</f>
        <v>1785.9218916249999</v>
      </c>
      <c r="AG24" s="165">
        <f>AG20*'ARCHIVE_Control Tower'!$B$7</f>
        <v>1792.559391625</v>
      </c>
      <c r="AH24" s="165">
        <f>AH20*'ARCHIVE_Control Tower'!$B$7</f>
        <v>1799.196891625</v>
      </c>
      <c r="AI24" s="165">
        <f>AI20*'ARCHIVE_Control Tower'!$B$7</f>
        <v>1805.8343916249999</v>
      </c>
      <c r="AJ24" s="165">
        <f>AJ20*'ARCHIVE_Control Tower'!$B$7</f>
        <v>1805.8343916249999</v>
      </c>
      <c r="AK24" s="165">
        <f>AK20*'ARCHIVE_Control Tower'!$B$7</f>
        <v>1812.4718916249999</v>
      </c>
      <c r="AL24" s="165">
        <f>AL20*'ARCHIVE_Control Tower'!$B$7</f>
        <v>1819.1093916249999</v>
      </c>
      <c r="AM24" s="165">
        <f>AM20*'ARCHIVE_Control Tower'!$B$7</f>
        <v>10136.737499999999</v>
      </c>
      <c r="AN24" s="165">
        <f>AN20*'ARCHIVE_Control Tower'!$B$7</f>
        <v>16922.3403</v>
      </c>
      <c r="AO24" s="165">
        <f>AO20*'ARCHIVE_Control Tower'!$B$7</f>
        <v>21464.250199500002</v>
      </c>
      <c r="AP24" s="102">
        <f>IF(AO$10=0,0,AO24/AO$10)</f>
        <v>5.8505643016840813E-3</v>
      </c>
    </row>
    <row r="25" spans="1:42" x14ac:dyDescent="0.2">
      <c r="A25" s="160" t="s">
        <v>538</v>
      </c>
      <c r="B25" s="163">
        <v>41100</v>
      </c>
      <c r="C25" s="165">
        <f>'ARCHIVE_Staffing Summary'!D41*(C20/('ARCHIVE_Staffing Summary'!D18+'ARCHIVE_Staffing Summary'!D24+'ARCHIVE_Staffing Summary'!D30))</f>
        <v>1267.1319361000121</v>
      </c>
      <c r="D25" s="165">
        <f>'ARCHIVE_Staffing Summary'!E41*(D20/('ARCHIVE_Staffing Summary'!E18+'ARCHIVE_Staffing Summary'!E24+'ARCHIVE_Staffing Summary'!E30))</f>
        <v>1750.8851124474081</v>
      </c>
      <c r="E25" s="165">
        <f>'ARCHIVE_Staffing Summary'!F41*(E20/('ARCHIVE_Staffing Summary'!F18+'ARCHIVE_Staffing Summary'!F24+'ARCHIVE_Staffing Summary'!F30))</f>
        <v>1597.528730689796</v>
      </c>
      <c r="F25" s="165">
        <f>'ARCHIVE_Staffing Summary'!G41*(F20/('ARCHIVE_Staffing Summary'!G18+'ARCHIVE_Staffing Summary'!G24+'ARCHIVE_Staffing Summary'!G30))</f>
        <v>1614.8174047858149</v>
      </c>
      <c r="G25" s="165">
        <f>'ARCHIVE_Staffing Summary'!H41*(G20/('ARCHIVE_Staffing Summary'!H18+'ARCHIVE_Staffing Summary'!H24+'ARCHIVE_Staffing Summary'!H30))</f>
        <v>1631.8590310266834</v>
      </c>
      <c r="H25" s="165">
        <f>'ARCHIVE_Staffing Summary'!I41*(H20/('ARCHIVE_Staffing Summary'!I18+'ARCHIVE_Staffing Summary'!I24+'ARCHIVE_Staffing Summary'!I30))</f>
        <v>1640.2888500966678</v>
      </c>
      <c r="I25" s="165">
        <f>'ARCHIVE_Staffing Summary'!J41*(I20/('ARCHIVE_Staffing Summary'!J18+'ARCHIVE_Staffing Summary'!J24+'ARCHIVE_Staffing Summary'!J30))</f>
        <v>2016.6326039800351</v>
      </c>
      <c r="J25" s="165">
        <f>'ARCHIVE_Staffing Summary'!K41*(J20/('ARCHIVE_Staffing Summary'!K18+'ARCHIVE_Staffing Summary'!K24+'ARCHIVE_Staffing Summary'!K30))</f>
        <v>2024.8746967815243</v>
      </c>
      <c r="K25" s="165">
        <f>'ARCHIVE_Staffing Summary'!L41*(K20/('ARCHIVE_Staffing Summary'!L18+'ARCHIVE_Staffing Summary'!L24+'ARCHIVE_Staffing Summary'!L30))</f>
        <v>2041.1958356798561</v>
      </c>
      <c r="L25" s="165">
        <f>'ARCHIVE_Staffing Summary'!M41*(L20/('ARCHIVE_Staffing Summary'!M18+'ARCHIVE_Staffing Summary'!M24+'ARCHIVE_Staffing Summary'!M30))</f>
        <v>2057.3031392972557</v>
      </c>
      <c r="M25" s="165">
        <f>'ARCHIVE_Staffing Summary'!N41*(M20/('ARCHIVE_Staffing Summary'!N18+'ARCHIVE_Staffing Summary'!N24+'ARCHIVE_Staffing Summary'!N30))</f>
        <v>2526.6684167361354</v>
      </c>
      <c r="N25" s="165">
        <f>'ARCHIVE_Staffing Summary'!O41*(N20/('ARCHIVE_Staffing Summary'!O18+'ARCHIVE_Staffing Summary'!O24+'ARCHIVE_Staffing Summary'!O30))</f>
        <v>2541.3459007810134</v>
      </c>
      <c r="O25" s="165">
        <f>'ARCHIVE_Staffing Summary'!P41*(O20/('ARCHIVE_Staffing Summary'!P18+'ARCHIVE_Staffing Summary'!P24+'ARCHIVE_Staffing Summary'!P30))</f>
        <v>2541.4167258450875</v>
      </c>
      <c r="P25" s="165">
        <f>'ARCHIVE_Staffing Summary'!Q41*(P20/('ARCHIVE_Staffing Summary'!Q18+'ARCHIVE_Staffing Summary'!Q24+'ARCHIVE_Staffing Summary'!Q30))</f>
        <v>2555.5001917222494</v>
      </c>
      <c r="Q25" s="165">
        <f>'ARCHIVE_Staffing Summary'!R41*(Q20/('ARCHIVE_Staffing Summary'!R18+'ARCHIVE_Staffing Summary'!R24+'ARCHIVE_Staffing Summary'!R30))</f>
        <v>2949.1349777853902</v>
      </c>
      <c r="R25" s="165">
        <f>'ARCHIVE_Staffing Summary'!S41*(R20/('ARCHIVE_Staffing Summary'!S18+'ARCHIVE_Staffing Summary'!S24+'ARCHIVE_Staffing Summary'!S30))</f>
        <v>2962.9217711888068</v>
      </c>
      <c r="S25" s="165">
        <f>'ARCHIVE_Staffing Summary'!T41*(S20/('ARCHIVE_Staffing Summary'!T18+'ARCHIVE_Staffing Summary'!T24+'ARCHIVE_Staffing Summary'!T30))</f>
        <v>2969.7594328558039</v>
      </c>
      <c r="T25" s="165">
        <f>'ARCHIVE_Staffing Summary'!U41*(T20/('ARCHIVE_Staffing Summary'!U18+'ARCHIVE_Staffing Summary'!U24+'ARCHIVE_Staffing Summary'!U30))</f>
        <v>2983.3247801781222</v>
      </c>
      <c r="U25" s="165">
        <f>'ARCHIVE_Staffing Summary'!V41*(U20/('ARCHIVE_Staffing Summary'!V18+'ARCHIVE_Staffing Summary'!V24+'ARCHIVE_Staffing Summary'!V30))</f>
        <v>2990.0530538701514</v>
      </c>
      <c r="V25" s="165">
        <f>'ARCHIVE_Staffing Summary'!W41*(V20/('ARCHIVE_Staffing Summary'!W18+'ARCHIVE_Staffing Summary'!W24+'ARCHIVE_Staffing Summary'!W30))</f>
        <v>2996.7454477141969</v>
      </c>
      <c r="W25" s="165">
        <f>'ARCHIVE_Staffing Summary'!X41*(W20/('ARCHIVE_Staffing Summary'!X18+'ARCHIVE_Staffing Summary'!X24+'ARCHIVE_Staffing Summary'!X30))</f>
        <v>3481.2784945885369</v>
      </c>
      <c r="X25" s="165">
        <f>'ARCHIVE_Staffing Summary'!Y41*(X20/('ARCHIVE_Staffing Summary'!Y18+'ARCHIVE_Staffing Summary'!Y24+'ARCHIVE_Staffing Summary'!Y30))</f>
        <v>3487.4574767978347</v>
      </c>
      <c r="Y25" s="165">
        <f>'ARCHIVE_Staffing Summary'!Z41*(Y20/('ARCHIVE_Staffing Summary'!Z18+'ARCHIVE_Staffing Summary'!Z24+'ARCHIVE_Staffing Summary'!Z30))</f>
        <v>3904.7759795410216</v>
      </c>
      <c r="Z25" s="165">
        <f>'ARCHIVE_Staffing Summary'!AA41*(Z20/('ARCHIVE_Staffing Summary'!AA18+'ARCHIVE_Staffing Summary'!AA24+'ARCHIVE_Staffing Summary'!AA30))</f>
        <v>3910.8321254453849</v>
      </c>
      <c r="AA25" s="165">
        <f>'ARCHIVE_Staffing Summary'!AB41*(AA20/('ARCHIVE_Staffing Summary'!AB18+'ARCHIVE_Staffing Summary'!AB24+'ARCHIVE_Staffing Summary'!AB30))</f>
        <v>3907.8957829143169</v>
      </c>
      <c r="AB25" s="165">
        <f>'ARCHIVE_Staffing Summary'!AC41*(AB20/('ARCHIVE_Staffing Summary'!AC18+'ARCHIVE_Staffing Summary'!AC24+'ARCHIVE_Staffing Summary'!AC30))</f>
        <v>3913.7618229107902</v>
      </c>
      <c r="AC25" s="165">
        <f>'ARCHIVE_Staffing Summary'!AD41*(AC20/('ARCHIVE_Staffing Summary'!AD18+'ARCHIVE_Staffing Summary'!AD24+'ARCHIVE_Staffing Summary'!AD30))</f>
        <v>3913.7618229107902</v>
      </c>
      <c r="AD25" s="165">
        <f>'ARCHIVE_Staffing Summary'!AE41*(AD20/('ARCHIVE_Staffing Summary'!AE18+'ARCHIVE_Staffing Summary'!AE24+'ARCHIVE_Staffing Summary'!AE30))</f>
        <v>3919.601372669244</v>
      </c>
      <c r="AE25" s="165">
        <f>'ARCHIVE_Staffing Summary'!AF41*(AE20/('ARCHIVE_Staffing Summary'!AF18+'ARCHIVE_Staffing Summary'!AF24+'ARCHIVE_Staffing Summary'!AF30))</f>
        <v>3925.4146112248905</v>
      </c>
      <c r="AF25" s="165">
        <f>'ARCHIVE_Staffing Summary'!AG41*(AF20/('ARCHIVE_Staffing Summary'!AG18+'ARCHIVE_Staffing Summary'!AG24+'ARCHIVE_Staffing Summary'!AG30))</f>
        <v>3931.2017160032146</v>
      </c>
      <c r="AG25" s="165">
        <f>'ARCHIVE_Staffing Summary'!AH41*(AG20/('ARCHIVE_Staffing Summary'!AH18+'ARCHIVE_Staffing Summary'!AH24+'ARCHIVE_Staffing Summary'!AH30))</f>
        <v>3936.9628628380265</v>
      </c>
      <c r="AH25" s="165">
        <f>'ARCHIVE_Staffing Summary'!AI41*(AH20/('ARCHIVE_Staffing Summary'!AI18+'ARCHIVE_Staffing Summary'!AI24+'ARCHIVE_Staffing Summary'!AI30))</f>
        <v>3942.6982259892648</v>
      </c>
      <c r="AI25" s="165">
        <f>'ARCHIVE_Staffing Summary'!AJ41*(AI20/('ARCHIVE_Staffing Summary'!AJ18+'ARCHIVE_Staffing Summary'!AJ24+'ARCHIVE_Staffing Summary'!AJ30))</f>
        <v>3948.4079781605719</v>
      </c>
      <c r="AJ25" s="165">
        <f>'ARCHIVE_Staffing Summary'!AK41*(AJ20/('ARCHIVE_Staffing Summary'!AK18+'ARCHIVE_Staffing Summary'!AK24+'ARCHIVE_Staffing Summary'!AK30))</f>
        <v>3948.4079781605719</v>
      </c>
      <c r="AK25" s="165">
        <f>'ARCHIVE_Staffing Summary'!AL41*(AK20/('ARCHIVE_Staffing Summary'!AL18+'ARCHIVE_Staffing Summary'!AL24+'ARCHIVE_Staffing Summary'!AL30))</f>
        <v>3954.0922905166276</v>
      </c>
      <c r="AL25" s="165">
        <f>'ARCHIVE_Staffing Summary'!AM41*(AL20/('ARCHIVE_Staffing Summary'!AM18+'ARCHIVE_Staffing Summary'!AM24+'ARCHIVE_Staffing Summary'!AM30))</f>
        <v>3959.7513327002498</v>
      </c>
      <c r="AM25" s="165">
        <f>'ARCHIVE_Staffing Summary'!AN41*(AM20/('ARCHIVE_Staffing Summary'!AN18+'ARCHIVE_Staffing Summary'!AN24+'ARCHIVE_Staffing Summary'!AN30))</f>
        <v>22641.207903938033</v>
      </c>
      <c r="AN25" s="165">
        <f>'ARCHIVE_Staffing Summary'!AO41*(AN20/('ARCHIVE_Staffing Summary'!AO18+'ARCHIVE_Staffing Summary'!AO24+'ARCHIVE_Staffing Summary'!AO30))</f>
        <v>37705.82309156569</v>
      </c>
      <c r="AO25" s="165">
        <f>'ARCHIVE_Staffing Summary'!AP41*(AO20/('ARCHIVE_Staffing Summary'!AP18+'ARCHIVE_Staffing Summary'!AP24+'ARCHIVE_Staffing Summary'!AP30))</f>
        <v>47203.264061114831</v>
      </c>
      <c r="AP25" s="102">
        <f>IF(AO$10=0,0,AO25/AO$10)</f>
        <v>1.2866311614526312E-2</v>
      </c>
    </row>
    <row r="26" spans="1:42" x14ac:dyDescent="0.2">
      <c r="A26" s="166" t="s">
        <v>539</v>
      </c>
      <c r="B26" s="160"/>
      <c r="C26" s="169">
        <f>SUM(C22:C25)</f>
        <v>3428.3871444333454</v>
      </c>
      <c r="D26" s="169">
        <f t="shared" ref="D26:AO26" si="0">SUM(D22:D25)</f>
        <v>4774.7757374474077</v>
      </c>
      <c r="E26" s="169">
        <f t="shared" si="0"/>
        <v>4645.2266473564632</v>
      </c>
      <c r="F26" s="169">
        <f t="shared" si="0"/>
        <v>4717.8278214524817</v>
      </c>
      <c r="G26" s="169">
        <f t="shared" si="0"/>
        <v>4790.1819476933506</v>
      </c>
      <c r="H26" s="169">
        <f t="shared" si="0"/>
        <v>4826.2680167633353</v>
      </c>
      <c r="I26" s="169">
        <f t="shared" si="0"/>
        <v>5738.5544789800351</v>
      </c>
      <c r="J26" s="169">
        <f t="shared" si="0"/>
        <v>5774.4528217815241</v>
      </c>
      <c r="K26" s="169">
        <f t="shared" si="0"/>
        <v>5846.0864606798559</v>
      </c>
      <c r="L26" s="169">
        <f t="shared" si="0"/>
        <v>5917.5062642972553</v>
      </c>
      <c r="M26" s="169">
        <f t="shared" si="0"/>
        <v>7208.8402917361354</v>
      </c>
      <c r="N26" s="169">
        <f t="shared" si="0"/>
        <v>7278.8302757810134</v>
      </c>
      <c r="O26" s="169">
        <f t="shared" si="0"/>
        <v>7421.3021945950859</v>
      </c>
      <c r="P26" s="169">
        <f t="shared" si="0"/>
        <v>7490.6981604722496</v>
      </c>
      <c r="Q26" s="169">
        <f t="shared" si="0"/>
        <v>8407.0383111187239</v>
      </c>
      <c r="R26" s="169">
        <f t="shared" si="0"/>
        <v>8476.1376045221405</v>
      </c>
      <c r="S26" s="169">
        <f t="shared" si="0"/>
        <v>8510.631516189138</v>
      </c>
      <c r="T26" s="169">
        <f t="shared" si="0"/>
        <v>8579.5093635114554</v>
      </c>
      <c r="U26" s="169">
        <f t="shared" si="0"/>
        <v>8613.8938872034851</v>
      </c>
      <c r="V26" s="169">
        <f t="shared" si="0"/>
        <v>8648.2425310475301</v>
      </c>
      <c r="W26" s="169">
        <f t="shared" si="0"/>
        <v>10006.229952921869</v>
      </c>
      <c r="X26" s="169">
        <f t="shared" si="0"/>
        <v>10040.065185131167</v>
      </c>
      <c r="Y26" s="169">
        <f t="shared" si="0"/>
        <v>11007.745302457688</v>
      </c>
      <c r="Z26" s="169">
        <f t="shared" si="0"/>
        <v>11041.45769836205</v>
      </c>
      <c r="AA26" s="169">
        <f t="shared" si="0"/>
        <v>11238.611998018483</v>
      </c>
      <c r="AB26" s="169">
        <f t="shared" si="0"/>
        <v>11272.134288014957</v>
      </c>
      <c r="AC26" s="169">
        <f t="shared" si="0"/>
        <v>11272.134288014957</v>
      </c>
      <c r="AD26" s="169">
        <f t="shared" si="0"/>
        <v>11305.63008777341</v>
      </c>
      <c r="AE26" s="169">
        <f t="shared" si="0"/>
        <v>11339.099576329058</v>
      </c>
      <c r="AF26" s="169">
        <f t="shared" si="0"/>
        <v>11372.542931107382</v>
      </c>
      <c r="AG26" s="169">
        <f t="shared" si="0"/>
        <v>11405.960327942194</v>
      </c>
      <c r="AH26" s="169">
        <f t="shared" si="0"/>
        <v>11439.351941093431</v>
      </c>
      <c r="AI26" s="169">
        <f t="shared" si="0"/>
        <v>11472.717943264737</v>
      </c>
      <c r="AJ26" s="169">
        <f t="shared" si="0"/>
        <v>11472.717943264737</v>
      </c>
      <c r="AK26" s="169">
        <f t="shared" si="0"/>
        <v>11506.058505620795</v>
      </c>
      <c r="AL26" s="169">
        <f t="shared" si="0"/>
        <v>11539.373797804417</v>
      </c>
      <c r="AM26" s="169">
        <f t="shared" si="0"/>
        <v>64877.614153938033</v>
      </c>
      <c r="AN26" s="169">
        <f t="shared" si="0"/>
        <v>108215.57434156569</v>
      </c>
      <c r="AO26" s="169">
        <f t="shared" si="0"/>
        <v>136637.63989236485</v>
      </c>
      <c r="AP26" s="103">
        <f>IF(AO$10=0,0,AO26/AO$10)</f>
        <v>3.724366287154332E-2</v>
      </c>
    </row>
    <row r="27" spans="1:42" x14ac:dyDescent="0.2">
      <c r="A27" s="168" t="s">
        <v>540</v>
      </c>
      <c r="B27" s="160"/>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row>
    <row r="28" spans="1:42" x14ac:dyDescent="0.2">
      <c r="A28" s="160" t="s">
        <v>541</v>
      </c>
      <c r="B28" s="163">
        <v>5050</v>
      </c>
      <c r="C28" s="165">
        <f>'ARCHIVE_Revenue Model'!C20*'ARCHIVE_Control Tower'!$B$68</f>
        <v>4104</v>
      </c>
      <c r="D28" s="165">
        <f>'ARCHIVE_Revenue Model'!D20*'ARCHIVE_Control Tower'!$B$68</f>
        <v>4651.2</v>
      </c>
      <c r="E28" s="165">
        <f>'ARCHIVE_Revenue Model'!E20*'ARCHIVE_Control Tower'!$B$68</f>
        <v>4924.7999999999993</v>
      </c>
      <c r="F28" s="165">
        <f>'ARCHIVE_Revenue Model'!F20*'ARCHIVE_Control Tower'!$B$68</f>
        <v>5472</v>
      </c>
      <c r="G28" s="165">
        <f>'ARCHIVE_Revenue Model'!G20*'ARCHIVE_Control Tower'!$B$68</f>
        <v>6019.2</v>
      </c>
      <c r="H28" s="165">
        <f>'ARCHIVE_Revenue Model'!H20*'ARCHIVE_Control Tower'!$B$68</f>
        <v>6292.7999999999993</v>
      </c>
      <c r="I28" s="165">
        <f>'ARCHIVE_Revenue Model'!I20*'ARCHIVE_Control Tower'!$B$68</f>
        <v>6840</v>
      </c>
      <c r="J28" s="165">
        <f>'ARCHIVE_Revenue Model'!J20*'ARCHIVE_Control Tower'!$B$68</f>
        <v>7113.5999999999995</v>
      </c>
      <c r="K28" s="165">
        <f>'ARCHIVE_Revenue Model'!K20*'ARCHIVE_Control Tower'!$B$68</f>
        <v>7660.7999999999993</v>
      </c>
      <c r="L28" s="165">
        <f>'ARCHIVE_Revenue Model'!L20*'ARCHIVE_Control Tower'!$B$68</f>
        <v>8208</v>
      </c>
      <c r="M28" s="165">
        <f>'ARCHIVE_Revenue Model'!M20*'ARCHIVE_Control Tower'!$B$68</f>
        <v>8481.6</v>
      </c>
      <c r="N28" s="165">
        <f>'ARCHIVE_Revenue Model'!N20*'ARCHIVE_Control Tower'!$B$68</f>
        <v>9028.7999999999993</v>
      </c>
      <c r="O28" s="165">
        <f>'ARCHIVE_Revenue Model'!O20*'ARCHIVE_Control Tower'!$B$68</f>
        <v>9302.4</v>
      </c>
      <c r="P28" s="165">
        <f>'ARCHIVE_Revenue Model'!P20*'ARCHIVE_Control Tower'!$B$68</f>
        <v>9849.5999999999985</v>
      </c>
      <c r="Q28" s="165">
        <f>'ARCHIVE_Revenue Model'!Q20*'ARCHIVE_Control Tower'!$B$68</f>
        <v>10123.199999999999</v>
      </c>
      <c r="R28" s="165">
        <f>'ARCHIVE_Revenue Model'!R20*'ARCHIVE_Control Tower'!$B$68</f>
        <v>10670.4</v>
      </c>
      <c r="S28" s="165">
        <f>'ARCHIVE_Revenue Model'!S20*'ARCHIVE_Control Tower'!$B$68</f>
        <v>10944</v>
      </c>
      <c r="T28" s="165">
        <f>'ARCHIVE_Revenue Model'!T20*'ARCHIVE_Control Tower'!$B$68</f>
        <v>11491.199999999999</v>
      </c>
      <c r="U28" s="165">
        <f>'ARCHIVE_Revenue Model'!U20*'ARCHIVE_Control Tower'!$B$68</f>
        <v>11764.800000000001</v>
      </c>
      <c r="V28" s="165">
        <f>'ARCHIVE_Revenue Model'!V20*'ARCHIVE_Control Tower'!$B$68</f>
        <v>12038.4</v>
      </c>
      <c r="W28" s="165">
        <f>'ARCHIVE_Revenue Model'!W20*'ARCHIVE_Control Tower'!$B$68</f>
        <v>12585.599999999999</v>
      </c>
      <c r="X28" s="165">
        <f>'ARCHIVE_Revenue Model'!X20*'ARCHIVE_Control Tower'!$B$68</f>
        <v>12859.199999999999</v>
      </c>
      <c r="Y28" s="165">
        <f>'ARCHIVE_Revenue Model'!Y20*'ARCHIVE_Control Tower'!$B$68</f>
        <v>13406.4</v>
      </c>
      <c r="Z28" s="165">
        <f>'ARCHIVE_Revenue Model'!Z20*'ARCHIVE_Control Tower'!$B$68</f>
        <v>13680</v>
      </c>
      <c r="AA28" s="165">
        <f>'ARCHIVE_Revenue Model'!AA20*'ARCHIVE_Control Tower'!$B$68</f>
        <v>13953.599999999999</v>
      </c>
      <c r="AB28" s="165">
        <f>'ARCHIVE_Revenue Model'!AB20*'ARCHIVE_Control Tower'!$B$68</f>
        <v>14227.199999999999</v>
      </c>
      <c r="AC28" s="165">
        <f>'ARCHIVE_Revenue Model'!AC20*'ARCHIVE_Control Tower'!$B$68</f>
        <v>14227.199999999999</v>
      </c>
      <c r="AD28" s="165">
        <f>'ARCHIVE_Revenue Model'!AD20*'ARCHIVE_Control Tower'!$B$68</f>
        <v>14500.8</v>
      </c>
      <c r="AE28" s="165">
        <f>'ARCHIVE_Revenue Model'!AE20*'ARCHIVE_Control Tower'!$B$68</f>
        <v>14774.4</v>
      </c>
      <c r="AF28" s="165">
        <f>'ARCHIVE_Revenue Model'!AF20*'ARCHIVE_Control Tower'!$B$68</f>
        <v>15048</v>
      </c>
      <c r="AG28" s="165">
        <f>'ARCHIVE_Revenue Model'!AG20*'ARCHIVE_Control Tower'!$B$68</f>
        <v>15321.599999999999</v>
      </c>
      <c r="AH28" s="165">
        <f>'ARCHIVE_Revenue Model'!AH20*'ARCHIVE_Control Tower'!$B$68</f>
        <v>15595.199999999999</v>
      </c>
      <c r="AI28" s="165">
        <f>'ARCHIVE_Revenue Model'!AI20*'ARCHIVE_Control Tower'!$B$68</f>
        <v>15868.8</v>
      </c>
      <c r="AJ28" s="165">
        <f>'ARCHIVE_Revenue Model'!AJ20*'ARCHIVE_Control Tower'!$B$68</f>
        <v>15868.8</v>
      </c>
      <c r="AK28" s="165">
        <f>'ARCHIVE_Revenue Model'!AK20*'ARCHIVE_Control Tower'!$B$68</f>
        <v>16142.4</v>
      </c>
      <c r="AL28" s="165">
        <f>'ARCHIVE_Revenue Model'!AL20*'ARCHIVE_Control Tower'!$B$68</f>
        <v>16416</v>
      </c>
      <c r="AM28" s="165">
        <f>'ARCHIVE_Revenue Model'!AM20*'ARCHIVE_Control Tower'!$B$68</f>
        <v>78796.799999999988</v>
      </c>
      <c r="AN28" s="165">
        <f>'ARCHIVE_Revenue Model'!AN20*'ARCHIVE_Control Tower'!$B$68</f>
        <v>138715.19999999998</v>
      </c>
      <c r="AO28" s="165">
        <f>'ARCHIVE_Revenue Model'!AO20*'ARCHIVE_Control Tower'!$B$68</f>
        <v>181943.99999999997</v>
      </c>
      <c r="AP28" s="102">
        <f>IF(AO$10=0,0,AO28/AO$10)</f>
        <v>4.95929306363753E-2</v>
      </c>
    </row>
    <row r="29" spans="1:42" x14ac:dyDescent="0.2">
      <c r="A29" s="160" t="s">
        <v>542</v>
      </c>
      <c r="B29" s="163">
        <v>5100</v>
      </c>
      <c r="C29" s="165">
        <f>'ARCHIVE_Revenue Model'!C20*'ARCHIVE_Control Tower'!$B$69</f>
        <v>1596</v>
      </c>
      <c r="D29" s="165">
        <f>'ARCHIVE_Revenue Model'!D20*'ARCHIVE_Control Tower'!$B$69</f>
        <v>1808.7999999999997</v>
      </c>
      <c r="E29" s="165">
        <f>'ARCHIVE_Revenue Model'!E20*'ARCHIVE_Control Tower'!$B$69</f>
        <v>1915.1999999999998</v>
      </c>
      <c r="F29" s="165">
        <f>'ARCHIVE_Revenue Model'!F20*'ARCHIVE_Control Tower'!$B$69</f>
        <v>2128</v>
      </c>
      <c r="G29" s="165">
        <f>'ARCHIVE_Revenue Model'!G20*'ARCHIVE_Control Tower'!$B$69</f>
        <v>2340.7999999999997</v>
      </c>
      <c r="H29" s="165">
        <f>'ARCHIVE_Revenue Model'!H20*'ARCHIVE_Control Tower'!$B$69</f>
        <v>2447.1999999999998</v>
      </c>
      <c r="I29" s="165">
        <f>'ARCHIVE_Revenue Model'!I20*'ARCHIVE_Control Tower'!$B$69</f>
        <v>2660</v>
      </c>
      <c r="J29" s="165">
        <f>'ARCHIVE_Revenue Model'!J20*'ARCHIVE_Control Tower'!$B$69</f>
        <v>2766.4</v>
      </c>
      <c r="K29" s="165">
        <f>'ARCHIVE_Revenue Model'!K20*'ARCHIVE_Control Tower'!$B$69</f>
        <v>2979.2</v>
      </c>
      <c r="L29" s="165">
        <f>'ARCHIVE_Revenue Model'!L20*'ARCHIVE_Control Tower'!$B$69</f>
        <v>3192</v>
      </c>
      <c r="M29" s="165">
        <f>'ARCHIVE_Revenue Model'!M20*'ARCHIVE_Control Tower'!$B$69</f>
        <v>3298.4</v>
      </c>
      <c r="N29" s="165">
        <f>'ARCHIVE_Revenue Model'!N20*'ARCHIVE_Control Tower'!$B$69</f>
        <v>3511.2</v>
      </c>
      <c r="O29" s="165">
        <f>'ARCHIVE_Revenue Model'!O20*'ARCHIVE_Control Tower'!$B$69</f>
        <v>3617.5999999999995</v>
      </c>
      <c r="P29" s="165">
        <f>'ARCHIVE_Revenue Model'!P20*'ARCHIVE_Control Tower'!$B$69</f>
        <v>3830.3999999999996</v>
      </c>
      <c r="Q29" s="165">
        <f>'ARCHIVE_Revenue Model'!Q20*'ARCHIVE_Control Tower'!$B$69</f>
        <v>3936.7999999999997</v>
      </c>
      <c r="R29" s="165">
        <f>'ARCHIVE_Revenue Model'!R20*'ARCHIVE_Control Tower'!$B$69</f>
        <v>4149.5999999999995</v>
      </c>
      <c r="S29" s="165">
        <f>'ARCHIVE_Revenue Model'!S20*'ARCHIVE_Control Tower'!$B$69</f>
        <v>4256</v>
      </c>
      <c r="T29" s="165">
        <f>'ARCHIVE_Revenue Model'!T20*'ARCHIVE_Control Tower'!$B$69</f>
        <v>4468.8</v>
      </c>
      <c r="U29" s="165">
        <f>'ARCHIVE_Revenue Model'!U20*'ARCHIVE_Control Tower'!$B$69</f>
        <v>4575.2</v>
      </c>
      <c r="V29" s="165">
        <f>'ARCHIVE_Revenue Model'!V20*'ARCHIVE_Control Tower'!$B$69</f>
        <v>4681.5999999999995</v>
      </c>
      <c r="W29" s="165">
        <f>'ARCHIVE_Revenue Model'!W20*'ARCHIVE_Control Tower'!$B$69</f>
        <v>4894.3999999999996</v>
      </c>
      <c r="X29" s="165">
        <f>'ARCHIVE_Revenue Model'!X20*'ARCHIVE_Control Tower'!$B$69</f>
        <v>5000.8</v>
      </c>
      <c r="Y29" s="165">
        <f>'ARCHIVE_Revenue Model'!Y20*'ARCHIVE_Control Tower'!$B$69</f>
        <v>5213.5999999999995</v>
      </c>
      <c r="Z29" s="165">
        <f>'ARCHIVE_Revenue Model'!Z20*'ARCHIVE_Control Tower'!$B$69</f>
        <v>5320</v>
      </c>
      <c r="AA29" s="165">
        <f>'ARCHIVE_Revenue Model'!AA20*'ARCHIVE_Control Tower'!$B$69</f>
        <v>5426.4</v>
      </c>
      <c r="AB29" s="165">
        <f>'ARCHIVE_Revenue Model'!AB20*'ARCHIVE_Control Tower'!$B$69</f>
        <v>5532.8</v>
      </c>
      <c r="AC29" s="165">
        <f>'ARCHIVE_Revenue Model'!AC20*'ARCHIVE_Control Tower'!$B$69</f>
        <v>5532.8</v>
      </c>
      <c r="AD29" s="165">
        <f>'ARCHIVE_Revenue Model'!AD20*'ARCHIVE_Control Tower'!$B$69</f>
        <v>5639.1999999999989</v>
      </c>
      <c r="AE29" s="165">
        <f>'ARCHIVE_Revenue Model'!AE20*'ARCHIVE_Control Tower'!$B$69</f>
        <v>5745.5999999999995</v>
      </c>
      <c r="AF29" s="165">
        <f>'ARCHIVE_Revenue Model'!AF20*'ARCHIVE_Control Tower'!$B$69</f>
        <v>5852</v>
      </c>
      <c r="AG29" s="165">
        <f>'ARCHIVE_Revenue Model'!AG20*'ARCHIVE_Control Tower'!$B$69</f>
        <v>5958.4</v>
      </c>
      <c r="AH29" s="165">
        <f>'ARCHIVE_Revenue Model'!AH20*'ARCHIVE_Control Tower'!$B$69</f>
        <v>6064.8</v>
      </c>
      <c r="AI29" s="165">
        <f>'ARCHIVE_Revenue Model'!AI20*'ARCHIVE_Control Tower'!$B$69</f>
        <v>6171.1999999999989</v>
      </c>
      <c r="AJ29" s="165">
        <f>'ARCHIVE_Revenue Model'!AJ20*'ARCHIVE_Control Tower'!$B$69</f>
        <v>6171.1999999999989</v>
      </c>
      <c r="AK29" s="165">
        <f>'ARCHIVE_Revenue Model'!AK20*'ARCHIVE_Control Tower'!$B$69</f>
        <v>6277.5999999999995</v>
      </c>
      <c r="AL29" s="165">
        <f>'ARCHIVE_Revenue Model'!AL20*'ARCHIVE_Control Tower'!$B$69</f>
        <v>6384</v>
      </c>
      <c r="AM29" s="165">
        <f>'ARCHIVE_Revenue Model'!AM20*'ARCHIVE_Control Tower'!$B$69</f>
        <v>30643.199999999997</v>
      </c>
      <c r="AN29" s="165">
        <f>'ARCHIVE_Revenue Model'!AN20*'ARCHIVE_Control Tower'!$B$69</f>
        <v>53944.799999999996</v>
      </c>
      <c r="AO29" s="165">
        <f>'ARCHIVE_Revenue Model'!AO20*'ARCHIVE_Control Tower'!$B$69</f>
        <v>70755.999999999985</v>
      </c>
      <c r="AP29" s="102">
        <f>IF(AO$10=0,0,AO29/AO$10)</f>
        <v>1.9286139691923727E-2</v>
      </c>
    </row>
    <row r="30" spans="1:42" x14ac:dyDescent="0.2">
      <c r="A30" s="160" t="s">
        <v>543</v>
      </c>
      <c r="B30" s="163">
        <v>5090</v>
      </c>
      <c r="C30" s="165">
        <f>'ARCHIVE_Revenue Model'!C20*'ARCHIVE_Control Tower'!$B$70</f>
        <v>1368</v>
      </c>
      <c r="D30" s="165">
        <f>'ARCHIVE_Revenue Model'!D20*'ARCHIVE_Control Tower'!$B$70</f>
        <v>1550.3999999999999</v>
      </c>
      <c r="E30" s="165">
        <f>'ARCHIVE_Revenue Model'!E20*'ARCHIVE_Control Tower'!$B$70</f>
        <v>1641.6</v>
      </c>
      <c r="F30" s="165">
        <f>'ARCHIVE_Revenue Model'!F20*'ARCHIVE_Control Tower'!$B$70</f>
        <v>1824</v>
      </c>
      <c r="G30" s="165">
        <f>'ARCHIVE_Revenue Model'!G20*'ARCHIVE_Control Tower'!$B$70</f>
        <v>2006.3999999999999</v>
      </c>
      <c r="H30" s="165">
        <f>'ARCHIVE_Revenue Model'!H20*'ARCHIVE_Control Tower'!$B$70</f>
        <v>2097.6</v>
      </c>
      <c r="I30" s="165">
        <f>'ARCHIVE_Revenue Model'!I20*'ARCHIVE_Control Tower'!$B$70</f>
        <v>2280</v>
      </c>
      <c r="J30" s="165">
        <f>'ARCHIVE_Revenue Model'!J20*'ARCHIVE_Control Tower'!$B$70</f>
        <v>2371.1999999999998</v>
      </c>
      <c r="K30" s="165">
        <f>'ARCHIVE_Revenue Model'!K20*'ARCHIVE_Control Tower'!$B$70</f>
        <v>2553.6</v>
      </c>
      <c r="L30" s="165">
        <f>'ARCHIVE_Revenue Model'!L20*'ARCHIVE_Control Tower'!$B$70</f>
        <v>2736</v>
      </c>
      <c r="M30" s="165">
        <f>'ARCHIVE_Revenue Model'!M20*'ARCHIVE_Control Tower'!$B$70</f>
        <v>2827.2</v>
      </c>
      <c r="N30" s="165">
        <f>'ARCHIVE_Revenue Model'!N20*'ARCHIVE_Control Tower'!$B$70</f>
        <v>3009.6</v>
      </c>
      <c r="O30" s="165">
        <f>'ARCHIVE_Revenue Model'!O20*'ARCHIVE_Control Tower'!$B$70</f>
        <v>3100.7999999999997</v>
      </c>
      <c r="P30" s="165">
        <f>'ARCHIVE_Revenue Model'!P20*'ARCHIVE_Control Tower'!$B$70</f>
        <v>3283.2</v>
      </c>
      <c r="Q30" s="165">
        <f>'ARCHIVE_Revenue Model'!Q20*'ARCHIVE_Control Tower'!$B$70</f>
        <v>3374.3999999999996</v>
      </c>
      <c r="R30" s="165">
        <f>'ARCHIVE_Revenue Model'!R20*'ARCHIVE_Control Tower'!$B$70</f>
        <v>3556.7999999999997</v>
      </c>
      <c r="S30" s="165">
        <f>'ARCHIVE_Revenue Model'!S20*'ARCHIVE_Control Tower'!$B$70</f>
        <v>3648</v>
      </c>
      <c r="T30" s="165">
        <f>'ARCHIVE_Revenue Model'!T20*'ARCHIVE_Control Tower'!$B$70</f>
        <v>3830.3999999999996</v>
      </c>
      <c r="U30" s="165">
        <f>'ARCHIVE_Revenue Model'!U20*'ARCHIVE_Control Tower'!$B$70</f>
        <v>3921.6000000000004</v>
      </c>
      <c r="V30" s="165">
        <f>'ARCHIVE_Revenue Model'!V20*'ARCHIVE_Control Tower'!$B$70</f>
        <v>4012.7999999999997</v>
      </c>
      <c r="W30" s="165">
        <f>'ARCHIVE_Revenue Model'!W20*'ARCHIVE_Control Tower'!$B$70</f>
        <v>4195.2</v>
      </c>
      <c r="X30" s="165">
        <f>'ARCHIVE_Revenue Model'!X20*'ARCHIVE_Control Tower'!$B$70</f>
        <v>4286.3999999999996</v>
      </c>
      <c r="Y30" s="165">
        <f>'ARCHIVE_Revenue Model'!Y20*'ARCHIVE_Control Tower'!$B$70</f>
        <v>4468.7999999999993</v>
      </c>
      <c r="Z30" s="165">
        <f>'ARCHIVE_Revenue Model'!Z20*'ARCHIVE_Control Tower'!$B$70</f>
        <v>4560</v>
      </c>
      <c r="AA30" s="165">
        <f>'ARCHIVE_Revenue Model'!AA20*'ARCHIVE_Control Tower'!$B$70</f>
        <v>4651.2</v>
      </c>
      <c r="AB30" s="165">
        <f>'ARCHIVE_Revenue Model'!AB20*'ARCHIVE_Control Tower'!$B$70</f>
        <v>4742.3999999999996</v>
      </c>
      <c r="AC30" s="165">
        <f>'ARCHIVE_Revenue Model'!AC20*'ARCHIVE_Control Tower'!$B$70</f>
        <v>4742.3999999999996</v>
      </c>
      <c r="AD30" s="165">
        <f>'ARCHIVE_Revenue Model'!AD20*'ARCHIVE_Control Tower'!$B$70</f>
        <v>4833.5999999999995</v>
      </c>
      <c r="AE30" s="165">
        <f>'ARCHIVE_Revenue Model'!AE20*'ARCHIVE_Control Tower'!$B$70</f>
        <v>4924.7999999999993</v>
      </c>
      <c r="AF30" s="165">
        <f>'ARCHIVE_Revenue Model'!AF20*'ARCHIVE_Control Tower'!$B$70</f>
        <v>5016</v>
      </c>
      <c r="AG30" s="165">
        <f>'ARCHIVE_Revenue Model'!AG20*'ARCHIVE_Control Tower'!$B$70</f>
        <v>5107.2</v>
      </c>
      <c r="AH30" s="165">
        <f>'ARCHIVE_Revenue Model'!AH20*'ARCHIVE_Control Tower'!$B$70</f>
        <v>5198.3999999999996</v>
      </c>
      <c r="AI30" s="165">
        <f>'ARCHIVE_Revenue Model'!AI20*'ARCHIVE_Control Tower'!$B$70</f>
        <v>5289.5999999999995</v>
      </c>
      <c r="AJ30" s="165">
        <f>'ARCHIVE_Revenue Model'!AJ20*'ARCHIVE_Control Tower'!$B$70</f>
        <v>5289.5999999999995</v>
      </c>
      <c r="AK30" s="165">
        <f>'ARCHIVE_Revenue Model'!AK20*'ARCHIVE_Control Tower'!$B$70</f>
        <v>5380.7999999999993</v>
      </c>
      <c r="AL30" s="165">
        <f>'ARCHIVE_Revenue Model'!AL20*'ARCHIVE_Control Tower'!$B$70</f>
        <v>5472</v>
      </c>
      <c r="AM30" s="165">
        <f>'ARCHIVE_Revenue Model'!AM20*'ARCHIVE_Control Tower'!$B$70</f>
        <v>26265.599999999999</v>
      </c>
      <c r="AN30" s="165">
        <f>'ARCHIVE_Revenue Model'!AN20*'ARCHIVE_Control Tower'!$B$70</f>
        <v>46238.399999999994</v>
      </c>
      <c r="AO30" s="165">
        <f>'ARCHIVE_Revenue Model'!AO20*'ARCHIVE_Control Tower'!$B$70</f>
        <v>60647.999999999985</v>
      </c>
      <c r="AP30" s="102">
        <f>IF(AO$10=0,0,AO30/AO$10)</f>
        <v>1.6530976878791764E-2</v>
      </c>
    </row>
    <row r="31" spans="1:42" x14ac:dyDescent="0.2">
      <c r="A31" s="160" t="s">
        <v>549</v>
      </c>
      <c r="B31" s="163">
        <v>5110</v>
      </c>
      <c r="C31" s="165">
        <f>'ARCHIVE_Revenue Model'!C23*'ARCHIVE_Control Tower'!$B$72</f>
        <v>1655.0746033104192</v>
      </c>
      <c r="D31" s="165">
        <f>'ARCHIVE_Revenue Model'!D23*'ARCHIVE_Control Tower'!$B$72</f>
        <v>1875.7512170851417</v>
      </c>
      <c r="E31" s="165">
        <f>'ARCHIVE_Revenue Model'!E23*'ARCHIVE_Control Tower'!$B$72</f>
        <v>1986.0895239725032</v>
      </c>
      <c r="F31" s="165">
        <f>'ARCHIVE_Revenue Model'!F23*'ARCHIVE_Control Tower'!$B$72</f>
        <v>2206.7661377472259</v>
      </c>
      <c r="G31" s="165">
        <f>'ARCHIVE_Revenue Model'!G23*'ARCHIVE_Control Tower'!$B$72</f>
        <v>2427.4427515219486</v>
      </c>
      <c r="H31" s="165">
        <f>'ARCHIVE_Revenue Model'!H23*'ARCHIVE_Control Tower'!$B$72</f>
        <v>2537.7810584093095</v>
      </c>
      <c r="I31" s="165">
        <f>'ARCHIVE_Revenue Model'!I23*'ARCHIVE_Control Tower'!$B$72</f>
        <v>2758.4576721840322</v>
      </c>
      <c r="J31" s="165">
        <f>'ARCHIVE_Revenue Model'!J23*'ARCHIVE_Control Tower'!$B$72</f>
        <v>2868.7959790713935</v>
      </c>
      <c r="K31" s="165">
        <f>'ARCHIVE_Revenue Model'!K23*'ARCHIVE_Control Tower'!$B$72</f>
        <v>3089.4725928461157</v>
      </c>
      <c r="L31" s="165">
        <f>'ARCHIVE_Revenue Model'!L23*'ARCHIVE_Control Tower'!$B$72</f>
        <v>3310.1492066208384</v>
      </c>
      <c r="M31" s="165">
        <f>'ARCHIVE_Revenue Model'!M23*'ARCHIVE_Control Tower'!$B$72</f>
        <v>3420.4875135082002</v>
      </c>
      <c r="N31" s="165">
        <f>'ARCHIVE_Revenue Model'!N23*'ARCHIVE_Control Tower'!$B$72</f>
        <v>3641.1641272829224</v>
      </c>
      <c r="O31" s="165">
        <f>'ARCHIVE_Revenue Model'!O23*'ARCHIVE_Control Tower'!$B$72</f>
        <v>3751.5024341702833</v>
      </c>
      <c r="P31" s="165">
        <f>'ARCHIVE_Revenue Model'!P23*'ARCHIVE_Control Tower'!$B$72</f>
        <v>3972.1790479450065</v>
      </c>
      <c r="Q31" s="165">
        <f>'ARCHIVE_Revenue Model'!Q23*'ARCHIVE_Control Tower'!$B$72</f>
        <v>4082.5173548323678</v>
      </c>
      <c r="R31" s="165">
        <f>'ARCHIVE_Revenue Model'!R23*'ARCHIVE_Control Tower'!$B$72</f>
        <v>4303.19396860709</v>
      </c>
      <c r="S31" s="165">
        <f>'ARCHIVE_Revenue Model'!S23*'ARCHIVE_Control Tower'!$B$72</f>
        <v>4413.5322754944518</v>
      </c>
      <c r="T31" s="165">
        <f>'ARCHIVE_Revenue Model'!T23*'ARCHIVE_Control Tower'!$B$72</f>
        <v>4634.2088892691745</v>
      </c>
      <c r="U31" s="165">
        <f>'ARCHIVE_Revenue Model'!U23*'ARCHIVE_Control Tower'!$B$72</f>
        <v>4744.5471961565354</v>
      </c>
      <c r="V31" s="165">
        <f>'ARCHIVE_Revenue Model'!V23*'ARCHIVE_Control Tower'!$B$72</f>
        <v>4854.8855030438972</v>
      </c>
      <c r="W31" s="165">
        <f>'ARCHIVE_Revenue Model'!W23*'ARCHIVE_Control Tower'!$B$72</f>
        <v>5075.562116818619</v>
      </c>
      <c r="X31" s="165">
        <f>'ARCHIVE_Revenue Model'!X23*'ARCHIVE_Control Tower'!$B$72</f>
        <v>5185.9004237059817</v>
      </c>
      <c r="Y31" s="165">
        <f>'ARCHIVE_Revenue Model'!Y23*'ARCHIVE_Control Tower'!$B$72</f>
        <v>5406.5770374807025</v>
      </c>
      <c r="Z31" s="165">
        <f>'ARCHIVE_Revenue Model'!Z23*'ARCHIVE_Control Tower'!$B$72</f>
        <v>5516.9153443680643</v>
      </c>
      <c r="AA31" s="165">
        <f>'ARCHIVE_Revenue Model'!AA23*'ARCHIVE_Control Tower'!$B$72</f>
        <v>5627.2536512554252</v>
      </c>
      <c r="AB31" s="165">
        <f>'ARCHIVE_Revenue Model'!AB23*'ARCHIVE_Control Tower'!$B$72</f>
        <v>5737.591958142787</v>
      </c>
      <c r="AC31" s="165">
        <f>'ARCHIVE_Revenue Model'!AC23*'ARCHIVE_Control Tower'!$B$72</f>
        <v>5737.591958142787</v>
      </c>
      <c r="AD31" s="165">
        <f>'ARCHIVE_Revenue Model'!AD23*'ARCHIVE_Control Tower'!$B$72</f>
        <v>5847.930265030147</v>
      </c>
      <c r="AE31" s="165">
        <f>'ARCHIVE_Revenue Model'!AE23*'ARCHIVE_Control Tower'!$B$72</f>
        <v>5958.2685719175088</v>
      </c>
      <c r="AF31" s="165">
        <f>'ARCHIVE_Revenue Model'!AF23*'ARCHIVE_Control Tower'!$B$72</f>
        <v>6068.6068788048706</v>
      </c>
      <c r="AG31" s="165">
        <f>'ARCHIVE_Revenue Model'!AG23*'ARCHIVE_Control Tower'!$B$72</f>
        <v>6178.9451856922315</v>
      </c>
      <c r="AH31" s="165">
        <f>'ARCHIVE_Revenue Model'!AH23*'ARCHIVE_Control Tower'!$B$72</f>
        <v>6289.2834925795933</v>
      </c>
      <c r="AI31" s="165">
        <f>'ARCHIVE_Revenue Model'!AI23*'ARCHIVE_Control Tower'!$B$72</f>
        <v>6399.6217994669551</v>
      </c>
      <c r="AJ31" s="165">
        <f>'ARCHIVE_Revenue Model'!AJ23*'ARCHIVE_Control Tower'!$B$72</f>
        <v>6399.6217994669551</v>
      </c>
      <c r="AK31" s="165">
        <f>'ARCHIVE_Revenue Model'!AK23*'ARCHIVE_Control Tower'!$B$72</f>
        <v>6509.9601063543159</v>
      </c>
      <c r="AL31" s="165">
        <f>'ARCHIVE_Revenue Model'!AL23*'ARCHIVE_Control Tower'!$B$72</f>
        <v>6620.2984132416768</v>
      </c>
      <c r="AM31" s="165">
        <f>'ARCHIVE_Revenue Model'!AM23*'ARCHIVE_Control Tower'!$B$72</f>
        <v>31777.432383560052</v>
      </c>
      <c r="AN31" s="165">
        <f>'ARCHIVE_Revenue Model'!AN23*'ARCHIVE_Control Tower'!$B$72</f>
        <v>55941.521591892168</v>
      </c>
      <c r="AO31" s="165">
        <f>'ARCHIVE_Revenue Model'!AO23*'ARCHIVE_Control Tower'!$B$72</f>
        <v>73374.974080095257</v>
      </c>
      <c r="AP31" s="102">
        <f>IF(AO$10=0,0,AO31/AO$10)</f>
        <v>0.02</v>
      </c>
    </row>
    <row r="32" spans="1:42" x14ac:dyDescent="0.2">
      <c r="A32" s="160" t="s">
        <v>544</v>
      </c>
      <c r="B32" s="163">
        <v>6560</v>
      </c>
      <c r="C32" s="165">
        <f>'ARCHIVE_Revenue Model'!C20*'ARCHIVE_Control Tower'!$B$71</f>
        <v>456</v>
      </c>
      <c r="D32" s="165">
        <f>'ARCHIVE_Revenue Model'!D20*'ARCHIVE_Control Tower'!$B$71</f>
        <v>516.79999999999995</v>
      </c>
      <c r="E32" s="165">
        <f>'ARCHIVE_Revenue Model'!E20*'ARCHIVE_Control Tower'!$B$71</f>
        <v>547.19999999999993</v>
      </c>
      <c r="F32" s="165">
        <f>'ARCHIVE_Revenue Model'!F20*'ARCHIVE_Control Tower'!$B$71</f>
        <v>608</v>
      </c>
      <c r="G32" s="165">
        <f>'ARCHIVE_Revenue Model'!G20*'ARCHIVE_Control Tower'!$B$71</f>
        <v>668.8</v>
      </c>
      <c r="H32" s="165">
        <f>'ARCHIVE_Revenue Model'!H20*'ARCHIVE_Control Tower'!$B$71</f>
        <v>699.19999999999993</v>
      </c>
      <c r="I32" s="165">
        <f>'ARCHIVE_Revenue Model'!I20*'ARCHIVE_Control Tower'!$B$71</f>
        <v>760</v>
      </c>
      <c r="J32" s="165">
        <f>'ARCHIVE_Revenue Model'!J20*'ARCHIVE_Control Tower'!$B$71</f>
        <v>790.4</v>
      </c>
      <c r="K32" s="165">
        <f>'ARCHIVE_Revenue Model'!K20*'ARCHIVE_Control Tower'!$B$71</f>
        <v>851.19999999999993</v>
      </c>
      <c r="L32" s="165">
        <f>'ARCHIVE_Revenue Model'!L20*'ARCHIVE_Control Tower'!$B$71</f>
        <v>912</v>
      </c>
      <c r="M32" s="165">
        <f>'ARCHIVE_Revenue Model'!M20*'ARCHIVE_Control Tower'!$B$71</f>
        <v>942.4</v>
      </c>
      <c r="N32" s="165">
        <f>'ARCHIVE_Revenue Model'!N20*'ARCHIVE_Control Tower'!$B$71</f>
        <v>1003.1999999999999</v>
      </c>
      <c r="O32" s="165">
        <f>'ARCHIVE_Revenue Model'!O20*'ARCHIVE_Control Tower'!$B$71</f>
        <v>1033.5999999999999</v>
      </c>
      <c r="P32" s="165">
        <f>'ARCHIVE_Revenue Model'!P20*'ARCHIVE_Control Tower'!$B$71</f>
        <v>1094.3999999999999</v>
      </c>
      <c r="Q32" s="165">
        <f>'ARCHIVE_Revenue Model'!Q20*'ARCHIVE_Control Tower'!$B$71</f>
        <v>1124.8</v>
      </c>
      <c r="R32" s="165">
        <f>'ARCHIVE_Revenue Model'!R20*'ARCHIVE_Control Tower'!$B$71</f>
        <v>1185.5999999999999</v>
      </c>
      <c r="S32" s="165">
        <f>'ARCHIVE_Revenue Model'!S20*'ARCHIVE_Control Tower'!$B$71</f>
        <v>1216</v>
      </c>
      <c r="T32" s="165">
        <f>'ARCHIVE_Revenue Model'!T20*'ARCHIVE_Control Tower'!$B$71</f>
        <v>1276.8</v>
      </c>
      <c r="U32" s="165">
        <f>'ARCHIVE_Revenue Model'!U20*'ARCHIVE_Control Tower'!$B$71</f>
        <v>1307.2</v>
      </c>
      <c r="V32" s="165">
        <f>'ARCHIVE_Revenue Model'!V20*'ARCHIVE_Control Tower'!$B$71</f>
        <v>1337.6</v>
      </c>
      <c r="W32" s="165">
        <f>'ARCHIVE_Revenue Model'!W20*'ARCHIVE_Control Tower'!$B$71</f>
        <v>1398.3999999999999</v>
      </c>
      <c r="X32" s="165">
        <f>'ARCHIVE_Revenue Model'!X20*'ARCHIVE_Control Tower'!$B$71</f>
        <v>1428.8</v>
      </c>
      <c r="Y32" s="165">
        <f>'ARCHIVE_Revenue Model'!Y20*'ARCHIVE_Control Tower'!$B$71</f>
        <v>1489.6</v>
      </c>
      <c r="Z32" s="165">
        <f>'ARCHIVE_Revenue Model'!Z20*'ARCHIVE_Control Tower'!$B$71</f>
        <v>1520</v>
      </c>
      <c r="AA32" s="165">
        <f>'ARCHIVE_Revenue Model'!AA20*'ARCHIVE_Control Tower'!$B$71</f>
        <v>1550.3999999999999</v>
      </c>
      <c r="AB32" s="165">
        <f>'ARCHIVE_Revenue Model'!AB20*'ARCHIVE_Control Tower'!$B$71</f>
        <v>1580.8</v>
      </c>
      <c r="AC32" s="165">
        <f>'ARCHIVE_Revenue Model'!AC20*'ARCHIVE_Control Tower'!$B$71</f>
        <v>1580.8</v>
      </c>
      <c r="AD32" s="165">
        <f>'ARCHIVE_Revenue Model'!AD20*'ARCHIVE_Control Tower'!$B$71</f>
        <v>1611.1999999999998</v>
      </c>
      <c r="AE32" s="165">
        <f>'ARCHIVE_Revenue Model'!AE20*'ARCHIVE_Control Tower'!$B$71</f>
        <v>1641.6</v>
      </c>
      <c r="AF32" s="165">
        <f>'ARCHIVE_Revenue Model'!AF20*'ARCHIVE_Control Tower'!$B$71</f>
        <v>1672</v>
      </c>
      <c r="AG32" s="165">
        <f>'ARCHIVE_Revenue Model'!AG20*'ARCHIVE_Control Tower'!$B$71</f>
        <v>1702.3999999999999</v>
      </c>
      <c r="AH32" s="165">
        <f>'ARCHIVE_Revenue Model'!AH20*'ARCHIVE_Control Tower'!$B$71</f>
        <v>1732.8</v>
      </c>
      <c r="AI32" s="165">
        <f>'ARCHIVE_Revenue Model'!AI20*'ARCHIVE_Control Tower'!$B$71</f>
        <v>1763.1999999999998</v>
      </c>
      <c r="AJ32" s="165">
        <f>'ARCHIVE_Revenue Model'!AJ20*'ARCHIVE_Control Tower'!$B$71</f>
        <v>1763.1999999999998</v>
      </c>
      <c r="AK32" s="165">
        <f>'ARCHIVE_Revenue Model'!AK20*'ARCHIVE_Control Tower'!$B$71</f>
        <v>1793.6</v>
      </c>
      <c r="AL32" s="165">
        <f>'ARCHIVE_Revenue Model'!AL20*'ARCHIVE_Control Tower'!$B$71</f>
        <v>1824</v>
      </c>
      <c r="AM32" s="165">
        <f>'ARCHIVE_Revenue Model'!AM20*'ARCHIVE_Control Tower'!$B$71</f>
        <v>8755.1999999999989</v>
      </c>
      <c r="AN32" s="165">
        <f>'ARCHIVE_Revenue Model'!AN20*'ARCHIVE_Control Tower'!$B$71</f>
        <v>15412.8</v>
      </c>
      <c r="AO32" s="165">
        <f>'ARCHIVE_Revenue Model'!AO20*'ARCHIVE_Control Tower'!$B$71</f>
        <v>20215.999999999996</v>
      </c>
      <c r="AP32" s="102">
        <f>IF(AO$10=0,0,AO32/AO$10)</f>
        <v>5.5103256262639217E-3</v>
      </c>
    </row>
    <row r="33" spans="1:42" x14ac:dyDescent="0.2">
      <c r="A33" s="166" t="s">
        <v>545</v>
      </c>
      <c r="B33" s="163"/>
      <c r="C33" s="169">
        <f>SUM(C28:C32)</f>
        <v>9179.0746033104188</v>
      </c>
      <c r="D33" s="169">
        <f t="shared" ref="D33:AO33" si="1">SUM(D28:D32)</f>
        <v>10402.951217085141</v>
      </c>
      <c r="E33" s="169">
        <f t="shared" si="1"/>
        <v>11014.889523972503</v>
      </c>
      <c r="F33" s="169">
        <f t="shared" si="1"/>
        <v>12238.766137747225</v>
      </c>
      <c r="G33" s="169">
        <f t="shared" si="1"/>
        <v>13462.642751521948</v>
      </c>
      <c r="H33" s="169">
        <f t="shared" si="1"/>
        <v>14074.581058409311</v>
      </c>
      <c r="I33" s="169">
        <f t="shared" si="1"/>
        <v>15298.457672184031</v>
      </c>
      <c r="J33" s="169">
        <f t="shared" si="1"/>
        <v>15910.395979071394</v>
      </c>
      <c r="K33" s="169">
        <f t="shared" si="1"/>
        <v>17134.272592846115</v>
      </c>
      <c r="L33" s="169">
        <f t="shared" si="1"/>
        <v>18358.149206620838</v>
      </c>
      <c r="M33" s="169">
        <f t="shared" si="1"/>
        <v>18970.087513508202</v>
      </c>
      <c r="N33" s="169">
        <f t="shared" si="1"/>
        <v>20193.964127282925</v>
      </c>
      <c r="O33" s="169">
        <f t="shared" si="1"/>
        <v>20805.902434170283</v>
      </c>
      <c r="P33" s="169">
        <f t="shared" si="1"/>
        <v>22029.779047945005</v>
      </c>
      <c r="Q33" s="169">
        <f t="shared" si="1"/>
        <v>22641.717354832366</v>
      </c>
      <c r="R33" s="169">
        <f t="shared" si="1"/>
        <v>23865.593968607089</v>
      </c>
      <c r="S33" s="169">
        <f t="shared" si="1"/>
        <v>24477.53227549445</v>
      </c>
      <c r="T33" s="169">
        <f t="shared" si="1"/>
        <v>25701.408889269176</v>
      </c>
      <c r="U33" s="169">
        <f t="shared" si="1"/>
        <v>26313.347196156534</v>
      </c>
      <c r="V33" s="169">
        <f t="shared" si="1"/>
        <v>26925.285503043895</v>
      </c>
      <c r="W33" s="169">
        <f t="shared" si="1"/>
        <v>28149.162116818621</v>
      </c>
      <c r="X33" s="169">
        <f t="shared" si="1"/>
        <v>28761.100423705982</v>
      </c>
      <c r="Y33" s="169">
        <f t="shared" si="1"/>
        <v>29984.977037480701</v>
      </c>
      <c r="Z33" s="169">
        <f t="shared" si="1"/>
        <v>30596.915344368063</v>
      </c>
      <c r="AA33" s="169">
        <f t="shared" si="1"/>
        <v>31208.853651255427</v>
      </c>
      <c r="AB33" s="169">
        <f t="shared" si="1"/>
        <v>31820.791958142789</v>
      </c>
      <c r="AC33" s="169">
        <f t="shared" si="1"/>
        <v>31820.791958142789</v>
      </c>
      <c r="AD33" s="169">
        <f t="shared" si="1"/>
        <v>32432.730265030146</v>
      </c>
      <c r="AE33" s="169">
        <f t="shared" si="1"/>
        <v>33044.668571917508</v>
      </c>
      <c r="AF33" s="169">
        <f t="shared" si="1"/>
        <v>33656.606878804872</v>
      </c>
      <c r="AG33" s="169">
        <f t="shared" si="1"/>
        <v>34268.54518569223</v>
      </c>
      <c r="AH33" s="169">
        <f t="shared" si="1"/>
        <v>34880.483492579595</v>
      </c>
      <c r="AI33" s="169">
        <f t="shared" si="1"/>
        <v>35492.421799466953</v>
      </c>
      <c r="AJ33" s="169">
        <f t="shared" si="1"/>
        <v>35492.421799466953</v>
      </c>
      <c r="AK33" s="169">
        <f t="shared" si="1"/>
        <v>36104.36010635431</v>
      </c>
      <c r="AL33" s="169">
        <f t="shared" si="1"/>
        <v>36716.298413241675</v>
      </c>
      <c r="AM33" s="169">
        <f t="shared" si="1"/>
        <v>176238.23238356004</v>
      </c>
      <c r="AN33" s="169">
        <f t="shared" si="1"/>
        <v>310252.72159189213</v>
      </c>
      <c r="AO33" s="169">
        <f t="shared" si="1"/>
        <v>406938.97408009518</v>
      </c>
      <c r="AP33" s="103">
        <f>IF(AO$10=0,0,AO33/AO$10)</f>
        <v>0.11092037283335471</v>
      </c>
    </row>
    <row r="34" spans="1:42" x14ac:dyDescent="0.2">
      <c r="A34" s="104"/>
      <c r="B34" s="170"/>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row>
    <row r="35" spans="1:42" x14ac:dyDescent="0.2">
      <c r="A35" s="105" t="s">
        <v>546</v>
      </c>
      <c r="B35" s="101"/>
      <c r="C35" s="106">
        <f>C20+C26+C33</f>
        <v>29897.503414410432</v>
      </c>
      <c r="D35" s="106">
        <f t="shared" ref="D35:AO35" si="2">D20+D26+D33</f>
        <v>39368.851954532554</v>
      </c>
      <c r="E35" s="106">
        <f t="shared" si="2"/>
        <v>40041.699504662305</v>
      </c>
      <c r="F35" s="106">
        <f t="shared" si="2"/>
        <v>41780.677292533044</v>
      </c>
      <c r="G35" s="106">
        <f t="shared" si="2"/>
        <v>43519.408032548636</v>
      </c>
      <c r="H35" s="106">
        <f t="shared" si="2"/>
        <v>44388.682408505985</v>
      </c>
      <c r="I35" s="106">
        <f t="shared" si="2"/>
        <v>50812.387151164061</v>
      </c>
      <c r="J35" s="106">
        <f t="shared" si="2"/>
        <v>51681.473800852917</v>
      </c>
      <c r="K35" s="106">
        <f t="shared" si="2"/>
        <v>53419.484053525972</v>
      </c>
      <c r="L35" s="106">
        <f t="shared" si="2"/>
        <v>55157.280470918093</v>
      </c>
      <c r="M35" s="106">
        <f t="shared" si="2"/>
        <v>63636.302805244341</v>
      </c>
      <c r="N35" s="106">
        <f t="shared" si="2"/>
        <v>65372.669403063941</v>
      </c>
      <c r="O35" s="106">
        <f t="shared" si="2"/>
        <v>67266.28837876537</v>
      </c>
      <c r="P35" s="106">
        <f t="shared" si="2"/>
        <v>69002.060958417249</v>
      </c>
      <c r="Q35" s="106">
        <f t="shared" si="2"/>
        <v>74711.982332617757</v>
      </c>
      <c r="R35" s="106">
        <f t="shared" si="2"/>
        <v>76447.458239795902</v>
      </c>
      <c r="S35" s="106">
        <f t="shared" si="2"/>
        <v>77315.140458350259</v>
      </c>
      <c r="T35" s="106">
        <f t="shared" si="2"/>
        <v>79050.394919447295</v>
      </c>
      <c r="U35" s="106">
        <f t="shared" si="2"/>
        <v>79917.967750026684</v>
      </c>
      <c r="V35" s="106">
        <f t="shared" si="2"/>
        <v>80785.504700758087</v>
      </c>
      <c r="W35" s="106">
        <f t="shared" si="2"/>
        <v>90355.003736407161</v>
      </c>
      <c r="X35" s="106">
        <f t="shared" si="2"/>
        <v>91222.027275503817</v>
      </c>
      <c r="Y35" s="106">
        <f t="shared" si="2"/>
        <v>97816.476923271723</v>
      </c>
      <c r="Z35" s="106">
        <f t="shared" si="2"/>
        <v>98683.377626063448</v>
      </c>
      <c r="AA35" s="106">
        <f t="shared" si="2"/>
        <v>101093.19537010725</v>
      </c>
      <c r="AB35" s="106">
        <f t="shared" si="2"/>
        <v>101959.90596699108</v>
      </c>
      <c r="AC35" s="106">
        <f t="shared" si="2"/>
        <v>101959.90596699108</v>
      </c>
      <c r="AD35" s="106">
        <f t="shared" si="2"/>
        <v>102826.59007363688</v>
      </c>
      <c r="AE35" s="106">
        <f t="shared" si="2"/>
        <v>103693.2478690799</v>
      </c>
      <c r="AF35" s="106">
        <f t="shared" si="2"/>
        <v>104559.87953074559</v>
      </c>
      <c r="AG35" s="106">
        <f t="shared" si="2"/>
        <v>105426.48523446775</v>
      </c>
      <c r="AH35" s="106">
        <f t="shared" si="2"/>
        <v>106293.06515450636</v>
      </c>
      <c r="AI35" s="106">
        <f t="shared" si="2"/>
        <v>107159.61946356503</v>
      </c>
      <c r="AJ35" s="106">
        <f t="shared" si="2"/>
        <v>107159.61946356503</v>
      </c>
      <c r="AK35" s="106">
        <f t="shared" si="2"/>
        <v>108026.14833280843</v>
      </c>
      <c r="AL35" s="106">
        <f t="shared" si="2"/>
        <v>108892.65193187943</v>
      </c>
      <c r="AM35" s="106">
        <f t="shared" si="2"/>
        <v>579007.09653749806</v>
      </c>
      <c r="AN35" s="106">
        <f t="shared" si="2"/>
        <v>982546.3059334578</v>
      </c>
      <c r="AO35" s="106">
        <f t="shared" si="2"/>
        <v>1259051.6206224603</v>
      </c>
      <c r="AP35" s="107">
        <f>IF(AO$10=0,0,AO35/AO$10)</f>
        <v>0.34318284576103414</v>
      </c>
    </row>
    <row r="36" spans="1:42" ht="16" thickBot="1" x14ac:dyDescent="0.25">
      <c r="A36" s="105" t="s">
        <v>547</v>
      </c>
      <c r="B36" s="101"/>
      <c r="C36" s="116">
        <f>C10-C35</f>
        <v>52856.226751110531</v>
      </c>
      <c r="D36" s="116">
        <f>D10-D35</f>
        <v>54418.70889972453</v>
      </c>
      <c r="E36" s="116">
        <f>E10-E35</f>
        <v>59262.776693962849</v>
      </c>
      <c r="F36" s="116">
        <f>F10-F35</f>
        <v>68557.62959482825</v>
      </c>
      <c r="G36" s="116">
        <f>G10-G35</f>
        <v>77852.729543548776</v>
      </c>
      <c r="H36" s="116">
        <f>H10-H35</f>
        <v>82500.370511959482</v>
      </c>
      <c r="I36" s="116">
        <f>I10-I35</f>
        <v>87110.496458037553</v>
      </c>
      <c r="J36" s="116">
        <f>J10-J35</f>
        <v>91758.325152716745</v>
      </c>
      <c r="K36" s="116">
        <f>K10-K35</f>
        <v>101054.14558877981</v>
      </c>
      <c r="L36" s="116">
        <f>L10-L35</f>
        <v>110350.17986012383</v>
      </c>
      <c r="M36" s="116">
        <f>M10-M35</f>
        <v>107388.07287016566</v>
      </c>
      <c r="N36" s="116">
        <f>N10-N35</f>
        <v>116685.53696108217</v>
      </c>
      <c r="O36" s="116">
        <f>O10-O35</f>
        <v>120308.8333297488</v>
      </c>
      <c r="P36" s="116">
        <f>P10-P35</f>
        <v>129606.89143883306</v>
      </c>
      <c r="Q36" s="116">
        <f>Q10-Q35</f>
        <v>129413.88540900064</v>
      </c>
      <c r="R36" s="116">
        <f>R10-R35</f>
        <v>138712.2401905586</v>
      </c>
      <c r="S36" s="116">
        <f>S10-S35</f>
        <v>143361.47331637231</v>
      </c>
      <c r="T36" s="116">
        <f>T10-T35</f>
        <v>152660.04954401142</v>
      </c>
      <c r="U36" s="116">
        <f>U10-U35</f>
        <v>157309.39205780008</v>
      </c>
      <c r="V36" s="116">
        <f>V10-V35</f>
        <v>161958.77045143675</v>
      </c>
      <c r="W36" s="116">
        <f>W10-W35</f>
        <v>163423.1021045238</v>
      </c>
      <c r="X36" s="116">
        <f>X10-X35</f>
        <v>168072.99390979524</v>
      </c>
      <c r="Y36" s="116">
        <f>Y10-Y35</f>
        <v>172512.37495076342</v>
      </c>
      <c r="Z36" s="116">
        <f>Z10-Z35</f>
        <v>177162.38959233978</v>
      </c>
      <c r="AA36" s="116">
        <f>AA10-AA35</f>
        <v>180269.487192664</v>
      </c>
      <c r="AB36" s="116">
        <f>AB10-AB35</f>
        <v>184919.69194014824</v>
      </c>
      <c r="AC36" s="116">
        <f>AC10-AC35</f>
        <v>184919.69194014824</v>
      </c>
      <c r="AD36" s="116">
        <f>AD10-AD35</f>
        <v>189569.92317787049</v>
      </c>
      <c r="AE36" s="116">
        <f>AE10-AE35</f>
        <v>194220.18072679554</v>
      </c>
      <c r="AF36" s="116">
        <f>AF10-AF35</f>
        <v>198870.46440949794</v>
      </c>
      <c r="AG36" s="116">
        <f>AG10-AG35</f>
        <v>203520.77405014381</v>
      </c>
      <c r="AH36" s="116">
        <f>AH10-AH35</f>
        <v>208171.10947447328</v>
      </c>
      <c r="AI36" s="116">
        <f>AI10-AI35</f>
        <v>212821.4705097827</v>
      </c>
      <c r="AJ36" s="116">
        <f>AJ10-AJ35</f>
        <v>212821.4705097827</v>
      </c>
      <c r="AK36" s="116">
        <f>AK10-AK35</f>
        <v>217471.85698490738</v>
      </c>
      <c r="AL36" s="116">
        <f>AL10-AL35</f>
        <v>222122.26873020441</v>
      </c>
      <c r="AM36" s="116">
        <f>AM10-AM35</f>
        <v>1009864.5226405044</v>
      </c>
      <c r="AN36" s="116">
        <f>AN10-AN35</f>
        <v>1814529.7736611506</v>
      </c>
      <c r="AO36" s="116">
        <f>AO10-AO35</f>
        <v>2409697.0833823024</v>
      </c>
      <c r="AP36" s="171">
        <f>IF(AO$10=0,0,AO36/AO$10)</f>
        <v>0.65681715423896592</v>
      </c>
    </row>
    <row r="37" spans="1:42" ht="16" thickTop="1" x14ac:dyDescent="0.2">
      <c r="A37" s="172" t="s">
        <v>548</v>
      </c>
      <c r="B37" s="101"/>
      <c r="C37" s="173">
        <f>IF(C10=0,0,C36/C10)</f>
        <v>0.63871715082074798</v>
      </c>
      <c r="D37" s="173">
        <f>IF(D10=0,0,D36/D10)</f>
        <v>0.58023375812373978</v>
      </c>
      <c r="E37" s="173">
        <f>IF(E10=0,0,E36/E10)</f>
        <v>0.59677850347277017</v>
      </c>
      <c r="F37" s="173">
        <f>IF(F10=0,0,F36/F10)</f>
        <v>0.62134023557942764</v>
      </c>
      <c r="G37" s="173">
        <f>IF(G10=0,0,G36/G10)</f>
        <v>0.64143823366987318</v>
      </c>
      <c r="H37" s="173">
        <f>IF(H10=0,0,H36/H10)</f>
        <v>0.65017721082425461</v>
      </c>
      <c r="I37" s="173">
        <f>IF(I10=0,0,I36/I10)</f>
        <v>0.63158842230170653</v>
      </c>
      <c r="J37" s="173">
        <f>IF(J10=0,0,J36/J10)</f>
        <v>0.63969920358308774</v>
      </c>
      <c r="K37" s="173">
        <f>IF(K10=0,0,K36/K10)</f>
        <v>0.65418379708418561</v>
      </c>
      <c r="L37" s="173">
        <f>IF(L10=0,0,L36/L10)</f>
        <v>0.66673840344964186</v>
      </c>
      <c r="M37" s="173">
        <f>IF(M10=0,0,M36/M10)</f>
        <v>0.62791091881533467</v>
      </c>
      <c r="N37" s="173">
        <f>IF(N10=0,0,N36/N10)</f>
        <v>0.6409243466218274</v>
      </c>
      <c r="O37" s="173">
        <f>IF(O10=0,0,O36/O10)</f>
        <v>0.64139013870242845</v>
      </c>
      <c r="P37" s="173">
        <f>IF(P10=0,0,P36/P10)</f>
        <v>0.65257325953564338</v>
      </c>
      <c r="Q37" s="173">
        <f>IF(Q10=0,0,Q36/Q10)</f>
        <v>0.63399061981116545</v>
      </c>
      <c r="R37" s="173">
        <f>IF(R10=0,0,R36/R10)</f>
        <v>0.64469434193531672</v>
      </c>
      <c r="S37" s="173">
        <f>IF(S10=0,0,S36/S10)</f>
        <v>0.64964506598203775</v>
      </c>
      <c r="T37" s="173">
        <f>IF(T10=0,0,T36/T10)</f>
        <v>0.65883974240999865</v>
      </c>
      <c r="U37" s="173">
        <f>IF(U10=0,0,U36/U10)</f>
        <v>0.66311656541316877</v>
      </c>
      <c r="V37" s="173">
        <f>IF(V10=0,0,V36/V10)</f>
        <v>0.66719913517998519</v>
      </c>
      <c r="W37" s="173">
        <f>IF(W10=0,0,W36/W10)</f>
        <v>0.64396060315367787</v>
      </c>
      <c r="X37" s="173">
        <f>IF(X10=0,0,X36/X10)</f>
        <v>0.64819213705490264</v>
      </c>
      <c r="Y37" s="173">
        <f>IF(Y10=0,0,Y36/Y10)</f>
        <v>0.63815746545303587</v>
      </c>
      <c r="Z37" s="173">
        <f>IF(Z10=0,0,Z36/Z10)</f>
        <v>0.64225161538212028</v>
      </c>
      <c r="AA37" s="173">
        <f>IF(AA10=0,0,AA36/AA10)</f>
        <v>0.64070148020587758</v>
      </c>
      <c r="AB37" s="173">
        <f>IF(AB10=0,0,AB36/AB10)</f>
        <v>0.64458990213729073</v>
      </c>
      <c r="AC37" s="173">
        <f>IF(AC10=0,0,AC36/AC10)</f>
        <v>0.64458990213729073</v>
      </c>
      <c r="AD37" s="173">
        <f>IF(AD10=0,0,AD36/AD10)</f>
        <v>0.64833168176260125</v>
      </c>
      <c r="AE37" s="173">
        <f>IF(AE10=0,0,AE36/AE10)</f>
        <v>0.65193496527562866</v>
      </c>
      <c r="AF37" s="173">
        <f>IF(AF10=0,0,AF36/AF10)</f>
        <v>0.65540730642503831</v>
      </c>
      <c r="AG37" s="173">
        <f>IF(AG10=0,0,AG36/AG10)</f>
        <v>0.65875571941117084</v>
      </c>
      <c r="AH37" s="173">
        <f>IF(AH10=0,0,AH36/AH10)</f>
        <v>0.66198672621478694</v>
      </c>
      <c r="AI37" s="173">
        <f>IF(AI10=0,0,AI36/AI10)</f>
        <v>0.66510639902973423</v>
      </c>
      <c r="AJ37" s="173">
        <f>IF(AJ10=0,0,AJ36/AJ10)</f>
        <v>0.66510639902973423</v>
      </c>
      <c r="AK37" s="173">
        <f>IF(AK10=0,0,AK36/AK10)</f>
        <v>0.66812039838042925</v>
      </c>
      <c r="AL37" s="173">
        <f>IF(AL10=0,0,AL36/AL10)</f>
        <v>0.67103400742759156</v>
      </c>
      <c r="AM37" s="173">
        <f>IF(AM10=0,0,AM36/AM10)</f>
        <v>0.63558597840834652</v>
      </c>
      <c r="AN37" s="173">
        <f>IF(AN10=0,0,AN36/AN10)</f>
        <v>0.64872378227342953</v>
      </c>
      <c r="AO37" s="173">
        <f>IF(AO10=0,0,AO36/AO10)</f>
        <v>0.65681715423896592</v>
      </c>
      <c r="AP37" s="2"/>
    </row>
    <row r="38" spans="1:42" x14ac:dyDescent="0.2">
      <c r="A38" s="105"/>
      <c r="B38" s="101"/>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row>
    <row r="39" spans="1:42" x14ac:dyDescent="0.2">
      <c r="A39" s="174"/>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spans="1:42" x14ac:dyDescent="0.2">
      <c r="A40" s="158" t="s">
        <v>550</v>
      </c>
      <c r="B40" s="159"/>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row>
    <row r="41" spans="1:42" x14ac:dyDescent="0.2">
      <c r="A41" s="168" t="s">
        <v>551</v>
      </c>
      <c r="B41" s="160"/>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row>
    <row r="42" spans="1:42" x14ac:dyDescent="0.2">
      <c r="A42" s="104" t="s">
        <v>552</v>
      </c>
      <c r="B42" s="175" t="s">
        <v>553</v>
      </c>
      <c r="C42" s="108">
        <f>'ARCHIVE_Staffing Summary'!D26</f>
        <v>10000</v>
      </c>
      <c r="D42" s="108">
        <f>'ARCHIVE_Staffing Summary'!E26</f>
        <v>10000</v>
      </c>
      <c r="E42" s="108">
        <f>'ARCHIVE_Staffing Summary'!F26</f>
        <v>10000</v>
      </c>
      <c r="F42" s="108">
        <f>'ARCHIVE_Staffing Summary'!G26</f>
        <v>10000</v>
      </c>
      <c r="G42" s="108">
        <f>'ARCHIVE_Staffing Summary'!H26</f>
        <v>10000</v>
      </c>
      <c r="H42" s="108">
        <f>'ARCHIVE_Staffing Summary'!I26</f>
        <v>10000</v>
      </c>
      <c r="I42" s="108">
        <f>'ARCHIVE_Staffing Summary'!J26</f>
        <v>10000</v>
      </c>
      <c r="J42" s="108">
        <f>'ARCHIVE_Staffing Summary'!K26</f>
        <v>10000</v>
      </c>
      <c r="K42" s="108">
        <f>'ARCHIVE_Staffing Summary'!L26</f>
        <v>10000</v>
      </c>
      <c r="L42" s="108">
        <f>'ARCHIVE_Staffing Summary'!M26</f>
        <v>10000</v>
      </c>
      <c r="M42" s="108">
        <f>'ARCHIVE_Staffing Summary'!N26</f>
        <v>10000</v>
      </c>
      <c r="N42" s="108">
        <f>'ARCHIVE_Staffing Summary'!O26</f>
        <v>10000</v>
      </c>
      <c r="O42" s="108">
        <f>'ARCHIVE_Staffing Summary'!P26</f>
        <v>10300</v>
      </c>
      <c r="P42" s="108">
        <f>'ARCHIVE_Staffing Summary'!Q26</f>
        <v>10300</v>
      </c>
      <c r="Q42" s="108">
        <f>'ARCHIVE_Staffing Summary'!R26</f>
        <v>10300</v>
      </c>
      <c r="R42" s="108">
        <f>'ARCHIVE_Staffing Summary'!S26</f>
        <v>10300</v>
      </c>
      <c r="S42" s="108">
        <f>'ARCHIVE_Staffing Summary'!T26</f>
        <v>10300</v>
      </c>
      <c r="T42" s="108">
        <f>'ARCHIVE_Staffing Summary'!U26</f>
        <v>10300</v>
      </c>
      <c r="U42" s="108">
        <f>'ARCHIVE_Staffing Summary'!V26</f>
        <v>10300</v>
      </c>
      <c r="V42" s="108">
        <f>'ARCHIVE_Staffing Summary'!W26</f>
        <v>10300</v>
      </c>
      <c r="W42" s="108">
        <f>'ARCHIVE_Staffing Summary'!X26</f>
        <v>10300</v>
      </c>
      <c r="X42" s="108">
        <f>'ARCHIVE_Staffing Summary'!Y26</f>
        <v>10300</v>
      </c>
      <c r="Y42" s="108">
        <f>'ARCHIVE_Staffing Summary'!Z26</f>
        <v>10300</v>
      </c>
      <c r="Z42" s="108">
        <f>'ARCHIVE_Staffing Summary'!AA26</f>
        <v>10300</v>
      </c>
      <c r="AA42" s="108">
        <f>'ARCHIVE_Staffing Summary'!AB26</f>
        <v>10609</v>
      </c>
      <c r="AB42" s="108">
        <f>'ARCHIVE_Staffing Summary'!AC26</f>
        <v>10609</v>
      </c>
      <c r="AC42" s="108">
        <f>'ARCHIVE_Staffing Summary'!AD26</f>
        <v>10609</v>
      </c>
      <c r="AD42" s="108">
        <f>'ARCHIVE_Staffing Summary'!AE26</f>
        <v>10609</v>
      </c>
      <c r="AE42" s="108">
        <f>'ARCHIVE_Staffing Summary'!AF26</f>
        <v>10609</v>
      </c>
      <c r="AF42" s="108">
        <f>'ARCHIVE_Staffing Summary'!AG26</f>
        <v>10609</v>
      </c>
      <c r="AG42" s="108">
        <f>'ARCHIVE_Staffing Summary'!AH26</f>
        <v>10609</v>
      </c>
      <c r="AH42" s="108">
        <f>'ARCHIVE_Staffing Summary'!AI26</f>
        <v>10609</v>
      </c>
      <c r="AI42" s="108">
        <f>'ARCHIVE_Staffing Summary'!AJ26</f>
        <v>10609</v>
      </c>
      <c r="AJ42" s="108">
        <f>'ARCHIVE_Staffing Summary'!AK26</f>
        <v>10609</v>
      </c>
      <c r="AK42" s="108">
        <f>'ARCHIVE_Staffing Summary'!AL26</f>
        <v>10609</v>
      </c>
      <c r="AL42" s="108">
        <f>'ARCHIVE_Staffing Summary'!AM26</f>
        <v>10609</v>
      </c>
      <c r="AM42" s="108">
        <f>'ARCHIVE_Staffing Summary'!AN26</f>
        <v>120000</v>
      </c>
      <c r="AN42" s="108">
        <f>'ARCHIVE_Staffing Summary'!AO26</f>
        <v>123600</v>
      </c>
      <c r="AO42" s="108">
        <f>'ARCHIVE_Staffing Summary'!AP26</f>
        <v>127308</v>
      </c>
      <c r="AP42" s="102">
        <f>IF(AO$10=0,0,AO42/AO$10)</f>
        <v>3.4700659617550825E-2</v>
      </c>
    </row>
    <row r="43" spans="1:42" x14ac:dyDescent="0.2">
      <c r="A43" s="109" t="s">
        <v>531</v>
      </c>
      <c r="B43" s="175" t="s">
        <v>532</v>
      </c>
      <c r="C43" s="108">
        <f>'ARCHIVE_Staffing Summary'!D27</f>
        <v>0</v>
      </c>
      <c r="D43" s="108">
        <f>'ARCHIVE_Staffing Summary'!E27</f>
        <v>4166.666666666667</v>
      </c>
      <c r="E43" s="108">
        <f>'ARCHIVE_Staffing Summary'!F27</f>
        <v>4166.666666666667</v>
      </c>
      <c r="F43" s="108">
        <f>'ARCHIVE_Staffing Summary'!G27</f>
        <v>4166.666666666667</v>
      </c>
      <c r="G43" s="108">
        <f>'ARCHIVE_Staffing Summary'!H27</f>
        <v>4166.666666666667</v>
      </c>
      <c r="H43" s="108">
        <f>'ARCHIVE_Staffing Summary'!I27</f>
        <v>4166.666666666667</v>
      </c>
      <c r="I43" s="108">
        <f>'ARCHIVE_Staffing Summary'!J27</f>
        <v>4166.666666666667</v>
      </c>
      <c r="J43" s="108">
        <f>'ARCHIVE_Staffing Summary'!K27</f>
        <v>4166.666666666667</v>
      </c>
      <c r="K43" s="108">
        <f>'ARCHIVE_Staffing Summary'!L27</f>
        <v>4166.666666666667</v>
      </c>
      <c r="L43" s="108">
        <f>'ARCHIVE_Staffing Summary'!M27</f>
        <v>4166.666666666667</v>
      </c>
      <c r="M43" s="108">
        <f>'ARCHIVE_Staffing Summary'!N27</f>
        <v>4166.666666666667</v>
      </c>
      <c r="N43" s="108">
        <f>'ARCHIVE_Staffing Summary'!O27</f>
        <v>4166.666666666667</v>
      </c>
      <c r="O43" s="108">
        <f>'ARCHIVE_Staffing Summary'!P27</f>
        <v>4291.666666666667</v>
      </c>
      <c r="P43" s="108">
        <f>'ARCHIVE_Staffing Summary'!Q27</f>
        <v>4291.666666666667</v>
      </c>
      <c r="Q43" s="108">
        <f>'ARCHIVE_Staffing Summary'!R27</f>
        <v>4291.666666666667</v>
      </c>
      <c r="R43" s="108">
        <f>'ARCHIVE_Staffing Summary'!S27</f>
        <v>4291.666666666667</v>
      </c>
      <c r="S43" s="108">
        <f>'ARCHIVE_Staffing Summary'!T27</f>
        <v>4291.666666666667</v>
      </c>
      <c r="T43" s="108">
        <f>'ARCHIVE_Staffing Summary'!U27</f>
        <v>4291.666666666667</v>
      </c>
      <c r="U43" s="108">
        <f>'ARCHIVE_Staffing Summary'!V27</f>
        <v>4291.666666666667</v>
      </c>
      <c r="V43" s="108">
        <f>'ARCHIVE_Staffing Summary'!W27</f>
        <v>4291.666666666667</v>
      </c>
      <c r="W43" s="108">
        <f>'ARCHIVE_Staffing Summary'!X27</f>
        <v>4291.666666666667</v>
      </c>
      <c r="X43" s="108">
        <f>'ARCHIVE_Staffing Summary'!Y27</f>
        <v>4291.666666666667</v>
      </c>
      <c r="Y43" s="108">
        <f>'ARCHIVE_Staffing Summary'!Z27</f>
        <v>4291.666666666667</v>
      </c>
      <c r="Z43" s="108">
        <f>'ARCHIVE_Staffing Summary'!AA27</f>
        <v>4291.666666666667</v>
      </c>
      <c r="AA43" s="108">
        <f>'ARCHIVE_Staffing Summary'!AB27</f>
        <v>4420.416666666667</v>
      </c>
      <c r="AB43" s="108">
        <f>'ARCHIVE_Staffing Summary'!AC27</f>
        <v>4420.416666666667</v>
      </c>
      <c r="AC43" s="108">
        <f>'ARCHIVE_Staffing Summary'!AD27</f>
        <v>4420.416666666667</v>
      </c>
      <c r="AD43" s="108">
        <f>'ARCHIVE_Staffing Summary'!AE27</f>
        <v>4420.416666666667</v>
      </c>
      <c r="AE43" s="108">
        <f>'ARCHIVE_Staffing Summary'!AF27</f>
        <v>4420.416666666667</v>
      </c>
      <c r="AF43" s="108">
        <f>'ARCHIVE_Staffing Summary'!AG27</f>
        <v>4420.416666666667</v>
      </c>
      <c r="AG43" s="108">
        <f>'ARCHIVE_Staffing Summary'!AH27</f>
        <v>4420.416666666667</v>
      </c>
      <c r="AH43" s="108">
        <f>'ARCHIVE_Staffing Summary'!AI27</f>
        <v>4420.416666666667</v>
      </c>
      <c r="AI43" s="108">
        <f>'ARCHIVE_Staffing Summary'!AJ27</f>
        <v>4420.416666666667</v>
      </c>
      <c r="AJ43" s="108">
        <f>'ARCHIVE_Staffing Summary'!AK27</f>
        <v>4420.416666666667</v>
      </c>
      <c r="AK43" s="108">
        <f>'ARCHIVE_Staffing Summary'!AL27</f>
        <v>4420.416666666667</v>
      </c>
      <c r="AL43" s="108">
        <f>'ARCHIVE_Staffing Summary'!AM27</f>
        <v>4420.416666666667</v>
      </c>
      <c r="AM43" s="108">
        <f>'ARCHIVE_Staffing Summary'!AN27</f>
        <v>45833.333333333328</v>
      </c>
      <c r="AN43" s="108">
        <f>'ARCHIVE_Staffing Summary'!AO27</f>
        <v>51499.999999999993</v>
      </c>
      <c r="AO43" s="108">
        <f>'ARCHIVE_Staffing Summary'!AP27</f>
        <v>53044.999999999993</v>
      </c>
      <c r="AP43" s="102">
        <f>IF(AO$10=0,0,AO43/AO$10)</f>
        <v>1.4458608173979509E-2</v>
      </c>
    </row>
    <row r="44" spans="1:42" x14ac:dyDescent="0.2">
      <c r="A44" s="104" t="s">
        <v>554</v>
      </c>
      <c r="B44" s="175" t="s">
        <v>555</v>
      </c>
      <c r="C44" s="108">
        <f>'ARCHIVE_Staffing Summary'!D28</f>
        <v>0</v>
      </c>
      <c r="D44" s="108">
        <f>'ARCHIVE_Staffing Summary'!E28</f>
        <v>0</v>
      </c>
      <c r="E44" s="108">
        <f>'ARCHIVE_Staffing Summary'!F28</f>
        <v>12500</v>
      </c>
      <c r="F44" s="108">
        <f>'ARCHIVE_Staffing Summary'!G28</f>
        <v>12500</v>
      </c>
      <c r="G44" s="108">
        <f>'ARCHIVE_Staffing Summary'!H28</f>
        <v>12500</v>
      </c>
      <c r="H44" s="108">
        <f>'ARCHIVE_Staffing Summary'!I28</f>
        <v>12500</v>
      </c>
      <c r="I44" s="108">
        <f>'ARCHIVE_Staffing Summary'!J28</f>
        <v>12500</v>
      </c>
      <c r="J44" s="108">
        <f>'ARCHIVE_Staffing Summary'!K28</f>
        <v>12500</v>
      </c>
      <c r="K44" s="108">
        <f>'ARCHIVE_Staffing Summary'!L28</f>
        <v>12500</v>
      </c>
      <c r="L44" s="108">
        <f>'ARCHIVE_Staffing Summary'!M28</f>
        <v>12500</v>
      </c>
      <c r="M44" s="108">
        <f>'ARCHIVE_Staffing Summary'!N28</f>
        <v>12500</v>
      </c>
      <c r="N44" s="108">
        <f>'ARCHIVE_Staffing Summary'!O28</f>
        <v>12500</v>
      </c>
      <c r="O44" s="108">
        <f>'ARCHIVE_Staffing Summary'!P28</f>
        <v>12875</v>
      </c>
      <c r="P44" s="108">
        <f>'ARCHIVE_Staffing Summary'!Q28</f>
        <v>12875</v>
      </c>
      <c r="Q44" s="108">
        <f>'ARCHIVE_Staffing Summary'!R28</f>
        <v>12875</v>
      </c>
      <c r="R44" s="108">
        <f>'ARCHIVE_Staffing Summary'!S28</f>
        <v>12875</v>
      </c>
      <c r="S44" s="108">
        <f>'ARCHIVE_Staffing Summary'!T28</f>
        <v>12875</v>
      </c>
      <c r="T44" s="108">
        <f>'ARCHIVE_Staffing Summary'!U28</f>
        <v>12875</v>
      </c>
      <c r="U44" s="108">
        <f>'ARCHIVE_Staffing Summary'!V28</f>
        <v>12875</v>
      </c>
      <c r="V44" s="108">
        <f>'ARCHIVE_Staffing Summary'!W28</f>
        <v>12875</v>
      </c>
      <c r="W44" s="108">
        <f>'ARCHIVE_Staffing Summary'!X28</f>
        <v>12875</v>
      </c>
      <c r="X44" s="108">
        <f>'ARCHIVE_Staffing Summary'!Y28</f>
        <v>12875</v>
      </c>
      <c r="Y44" s="108">
        <f>'ARCHIVE_Staffing Summary'!Z28</f>
        <v>12875</v>
      </c>
      <c r="Z44" s="108">
        <f>'ARCHIVE_Staffing Summary'!AA28</f>
        <v>12875</v>
      </c>
      <c r="AA44" s="108">
        <f>'ARCHIVE_Staffing Summary'!AB28</f>
        <v>13261.25</v>
      </c>
      <c r="AB44" s="108">
        <f>'ARCHIVE_Staffing Summary'!AC28</f>
        <v>13261.25</v>
      </c>
      <c r="AC44" s="108">
        <f>'ARCHIVE_Staffing Summary'!AD28</f>
        <v>13261.25</v>
      </c>
      <c r="AD44" s="108">
        <f>'ARCHIVE_Staffing Summary'!AE28</f>
        <v>13261.25</v>
      </c>
      <c r="AE44" s="108">
        <f>'ARCHIVE_Staffing Summary'!AF28</f>
        <v>13261.25</v>
      </c>
      <c r="AF44" s="108">
        <f>'ARCHIVE_Staffing Summary'!AG28</f>
        <v>13261.25</v>
      </c>
      <c r="AG44" s="108">
        <f>'ARCHIVE_Staffing Summary'!AH28</f>
        <v>13261.25</v>
      </c>
      <c r="AH44" s="108">
        <f>'ARCHIVE_Staffing Summary'!AI28</f>
        <v>13261.25</v>
      </c>
      <c r="AI44" s="108">
        <f>'ARCHIVE_Staffing Summary'!AJ28</f>
        <v>13261.25</v>
      </c>
      <c r="AJ44" s="108">
        <f>'ARCHIVE_Staffing Summary'!AK28</f>
        <v>13261.25</v>
      </c>
      <c r="AK44" s="108">
        <f>'ARCHIVE_Staffing Summary'!AL28</f>
        <v>13261.25</v>
      </c>
      <c r="AL44" s="108">
        <f>'ARCHIVE_Staffing Summary'!AM28</f>
        <v>13261.25</v>
      </c>
      <c r="AM44" s="108">
        <f>'ARCHIVE_Staffing Summary'!AN28</f>
        <v>125000</v>
      </c>
      <c r="AN44" s="108">
        <f>'ARCHIVE_Staffing Summary'!AO28</f>
        <v>154500</v>
      </c>
      <c r="AO44" s="108">
        <f>'ARCHIVE_Staffing Summary'!AP28</f>
        <v>159135</v>
      </c>
      <c r="AP44" s="102">
        <f>IF(AO$10=0,0,AO44/AO$10)</f>
        <v>4.3375824521938534E-2</v>
      </c>
    </row>
    <row r="45" spans="1:42" x14ac:dyDescent="0.2">
      <c r="A45" s="104" t="s">
        <v>556</v>
      </c>
      <c r="B45" s="175" t="s">
        <v>557</v>
      </c>
      <c r="C45" s="108">
        <f>'ARCHIVE_Staffing Summary'!D29</f>
        <v>0</v>
      </c>
      <c r="D45" s="108">
        <f>'ARCHIVE_Staffing Summary'!E29</f>
        <v>10000</v>
      </c>
      <c r="E45" s="108">
        <f>'ARCHIVE_Staffing Summary'!F29</f>
        <v>10000</v>
      </c>
      <c r="F45" s="108">
        <f>'ARCHIVE_Staffing Summary'!G29</f>
        <v>10000</v>
      </c>
      <c r="G45" s="108">
        <f>'ARCHIVE_Staffing Summary'!H29</f>
        <v>10000</v>
      </c>
      <c r="H45" s="108">
        <f>'ARCHIVE_Staffing Summary'!I29</f>
        <v>10000</v>
      </c>
      <c r="I45" s="108">
        <f>'ARCHIVE_Staffing Summary'!J29</f>
        <v>10000</v>
      </c>
      <c r="J45" s="108">
        <f>'ARCHIVE_Staffing Summary'!K29</f>
        <v>10000</v>
      </c>
      <c r="K45" s="108">
        <f>'ARCHIVE_Staffing Summary'!L29</f>
        <v>10000</v>
      </c>
      <c r="L45" s="108">
        <f>'ARCHIVE_Staffing Summary'!M29</f>
        <v>10000</v>
      </c>
      <c r="M45" s="108">
        <f>'ARCHIVE_Staffing Summary'!N29</f>
        <v>10000</v>
      </c>
      <c r="N45" s="108">
        <f>'ARCHIVE_Staffing Summary'!O29</f>
        <v>10000</v>
      </c>
      <c r="O45" s="108">
        <f>'ARCHIVE_Staffing Summary'!P29</f>
        <v>10300</v>
      </c>
      <c r="P45" s="108">
        <f>'ARCHIVE_Staffing Summary'!Q29</f>
        <v>10300</v>
      </c>
      <c r="Q45" s="108">
        <f>'ARCHIVE_Staffing Summary'!R29</f>
        <v>10300</v>
      </c>
      <c r="R45" s="108">
        <f>'ARCHIVE_Staffing Summary'!S29</f>
        <v>10300</v>
      </c>
      <c r="S45" s="108">
        <f>'ARCHIVE_Staffing Summary'!T29</f>
        <v>10300</v>
      </c>
      <c r="T45" s="108">
        <f>'ARCHIVE_Staffing Summary'!U29</f>
        <v>10300</v>
      </c>
      <c r="U45" s="108">
        <f>'ARCHIVE_Staffing Summary'!V29</f>
        <v>10300</v>
      </c>
      <c r="V45" s="108">
        <f>'ARCHIVE_Staffing Summary'!W29</f>
        <v>10300</v>
      </c>
      <c r="W45" s="108">
        <f>'ARCHIVE_Staffing Summary'!X29</f>
        <v>10300</v>
      </c>
      <c r="X45" s="108">
        <f>'ARCHIVE_Staffing Summary'!Y29</f>
        <v>10300</v>
      </c>
      <c r="Y45" s="108">
        <f>'ARCHIVE_Staffing Summary'!Z29</f>
        <v>10300</v>
      </c>
      <c r="Z45" s="108">
        <f>'ARCHIVE_Staffing Summary'!AA29</f>
        <v>10300</v>
      </c>
      <c r="AA45" s="108">
        <f>'ARCHIVE_Staffing Summary'!AB29</f>
        <v>10609</v>
      </c>
      <c r="AB45" s="108">
        <f>'ARCHIVE_Staffing Summary'!AC29</f>
        <v>10609</v>
      </c>
      <c r="AC45" s="108">
        <f>'ARCHIVE_Staffing Summary'!AD29</f>
        <v>10609</v>
      </c>
      <c r="AD45" s="108">
        <f>'ARCHIVE_Staffing Summary'!AE29</f>
        <v>10609</v>
      </c>
      <c r="AE45" s="108">
        <f>'ARCHIVE_Staffing Summary'!AF29</f>
        <v>10609</v>
      </c>
      <c r="AF45" s="108">
        <f>'ARCHIVE_Staffing Summary'!AG29</f>
        <v>10609</v>
      </c>
      <c r="AG45" s="108">
        <f>'ARCHIVE_Staffing Summary'!AH29</f>
        <v>10609</v>
      </c>
      <c r="AH45" s="108">
        <f>'ARCHIVE_Staffing Summary'!AI29</f>
        <v>10609</v>
      </c>
      <c r="AI45" s="108">
        <f>'ARCHIVE_Staffing Summary'!AJ29</f>
        <v>10609</v>
      </c>
      <c r="AJ45" s="108">
        <f>'ARCHIVE_Staffing Summary'!AK29</f>
        <v>10609</v>
      </c>
      <c r="AK45" s="108">
        <f>'ARCHIVE_Staffing Summary'!AL29</f>
        <v>10609</v>
      </c>
      <c r="AL45" s="108">
        <f>'ARCHIVE_Staffing Summary'!AM29</f>
        <v>10609</v>
      </c>
      <c r="AM45" s="108">
        <f>'ARCHIVE_Staffing Summary'!AN29</f>
        <v>110000</v>
      </c>
      <c r="AN45" s="108">
        <f>'ARCHIVE_Staffing Summary'!AO29</f>
        <v>123600</v>
      </c>
      <c r="AO45" s="108">
        <f>'ARCHIVE_Staffing Summary'!AP29</f>
        <v>127308</v>
      </c>
      <c r="AP45" s="102">
        <f>IF(AO$10=0,0,AO45/AO$10)</f>
        <v>3.4700659617550825E-2</v>
      </c>
    </row>
    <row r="46" spans="1:42" x14ac:dyDescent="0.2">
      <c r="A46" s="104" t="s">
        <v>558</v>
      </c>
      <c r="B46" s="175" t="s">
        <v>559</v>
      </c>
      <c r="C46" s="108">
        <f>'ARCHIVE_Staffing Summary'!D34</f>
        <v>4000</v>
      </c>
      <c r="D46" s="108">
        <f>'ARCHIVE_Staffing Summary'!E34</f>
        <v>4000</v>
      </c>
      <c r="E46" s="108">
        <f>'ARCHIVE_Staffing Summary'!F34</f>
        <v>4000</v>
      </c>
      <c r="F46" s="108">
        <f>'ARCHIVE_Staffing Summary'!G34</f>
        <v>4000</v>
      </c>
      <c r="G46" s="108">
        <f>'ARCHIVE_Staffing Summary'!H34</f>
        <v>4000</v>
      </c>
      <c r="H46" s="108">
        <f>'ARCHIVE_Staffing Summary'!I34</f>
        <v>4000</v>
      </c>
      <c r="I46" s="108">
        <f>'ARCHIVE_Staffing Summary'!J34</f>
        <v>4000</v>
      </c>
      <c r="J46" s="108">
        <f>'ARCHIVE_Staffing Summary'!K34</f>
        <v>4000</v>
      </c>
      <c r="K46" s="108">
        <f>'ARCHIVE_Staffing Summary'!L34</f>
        <v>4000</v>
      </c>
      <c r="L46" s="108">
        <f>'ARCHIVE_Staffing Summary'!M34</f>
        <v>4000</v>
      </c>
      <c r="M46" s="108">
        <f>'ARCHIVE_Staffing Summary'!N34</f>
        <v>4000</v>
      </c>
      <c r="N46" s="108">
        <f>'ARCHIVE_Staffing Summary'!O34</f>
        <v>4000</v>
      </c>
      <c r="O46" s="108">
        <f>'ARCHIVE_Staffing Summary'!P34</f>
        <v>4000</v>
      </c>
      <c r="P46" s="108">
        <f>'ARCHIVE_Staffing Summary'!Q34</f>
        <v>4000</v>
      </c>
      <c r="Q46" s="108">
        <f>'ARCHIVE_Staffing Summary'!R34</f>
        <v>4000</v>
      </c>
      <c r="R46" s="108">
        <f>'ARCHIVE_Staffing Summary'!S34</f>
        <v>4000</v>
      </c>
      <c r="S46" s="108">
        <f>'ARCHIVE_Staffing Summary'!T34</f>
        <v>4000</v>
      </c>
      <c r="T46" s="108">
        <f>'ARCHIVE_Staffing Summary'!U34</f>
        <v>4000</v>
      </c>
      <c r="U46" s="108">
        <f>'ARCHIVE_Staffing Summary'!V34</f>
        <v>4000</v>
      </c>
      <c r="V46" s="108">
        <f>'ARCHIVE_Staffing Summary'!W34</f>
        <v>4000</v>
      </c>
      <c r="W46" s="108">
        <f>'ARCHIVE_Staffing Summary'!X34</f>
        <v>4000</v>
      </c>
      <c r="X46" s="108">
        <f>'ARCHIVE_Staffing Summary'!Y34</f>
        <v>4000</v>
      </c>
      <c r="Y46" s="108">
        <f>'ARCHIVE_Staffing Summary'!Z34</f>
        <v>4000</v>
      </c>
      <c r="Z46" s="108">
        <f>'ARCHIVE_Staffing Summary'!AA34</f>
        <v>4000</v>
      </c>
      <c r="AA46" s="108">
        <f>'ARCHIVE_Staffing Summary'!AB34</f>
        <v>4000</v>
      </c>
      <c r="AB46" s="108">
        <f>'ARCHIVE_Staffing Summary'!AC34</f>
        <v>4000</v>
      </c>
      <c r="AC46" s="108">
        <f>'ARCHIVE_Staffing Summary'!AD34</f>
        <v>4000</v>
      </c>
      <c r="AD46" s="108">
        <f>'ARCHIVE_Staffing Summary'!AE34</f>
        <v>4000</v>
      </c>
      <c r="AE46" s="108">
        <f>'ARCHIVE_Staffing Summary'!AF34</f>
        <v>4000</v>
      </c>
      <c r="AF46" s="108">
        <f>'ARCHIVE_Staffing Summary'!AG34</f>
        <v>4000</v>
      </c>
      <c r="AG46" s="108">
        <f>'ARCHIVE_Staffing Summary'!AH34</f>
        <v>4000</v>
      </c>
      <c r="AH46" s="108">
        <f>'ARCHIVE_Staffing Summary'!AI34</f>
        <v>4000</v>
      </c>
      <c r="AI46" s="108">
        <f>'ARCHIVE_Staffing Summary'!AJ34</f>
        <v>4000</v>
      </c>
      <c r="AJ46" s="108">
        <f>'ARCHIVE_Staffing Summary'!AK34</f>
        <v>4000</v>
      </c>
      <c r="AK46" s="108">
        <f>'ARCHIVE_Staffing Summary'!AL34</f>
        <v>4000</v>
      </c>
      <c r="AL46" s="108">
        <f>'ARCHIVE_Staffing Summary'!AM34</f>
        <v>4000</v>
      </c>
      <c r="AM46" s="108">
        <f>'ARCHIVE_Staffing Summary'!AN34</f>
        <v>48000</v>
      </c>
      <c r="AN46" s="108">
        <f>'ARCHIVE_Staffing Summary'!AO34</f>
        <v>48000</v>
      </c>
      <c r="AO46" s="108">
        <f>'ARCHIVE_Staffing Summary'!AP34</f>
        <v>48000</v>
      </c>
      <c r="AP46" s="102">
        <f>IF(AO$10=0,0,AO46/AO$10)</f>
        <v>1.3083479919898512E-2</v>
      </c>
    </row>
    <row r="47" spans="1:42" x14ac:dyDescent="0.2">
      <c r="A47" s="104" t="s">
        <v>560</v>
      </c>
      <c r="B47" s="175" t="s">
        <v>561</v>
      </c>
      <c r="C47" s="108">
        <f>'ARCHIVE_Staffing Summary'!D32+'ARCHIVE_Staffing Summary'!D33</f>
        <v>4000</v>
      </c>
      <c r="D47" s="108">
        <f>'ARCHIVE_Staffing Summary'!E32+'ARCHIVE_Staffing Summary'!E33</f>
        <v>2500</v>
      </c>
      <c r="E47" s="108">
        <f>'ARCHIVE_Staffing Summary'!F32+'ARCHIVE_Staffing Summary'!F33</f>
        <v>0</v>
      </c>
      <c r="F47" s="108">
        <f>'ARCHIVE_Staffing Summary'!G32+'ARCHIVE_Staffing Summary'!G33</f>
        <v>0</v>
      </c>
      <c r="G47" s="108">
        <f>'ARCHIVE_Staffing Summary'!H32+'ARCHIVE_Staffing Summary'!H33</f>
        <v>0</v>
      </c>
      <c r="H47" s="108">
        <f>'ARCHIVE_Staffing Summary'!I32+'ARCHIVE_Staffing Summary'!I33</f>
        <v>0</v>
      </c>
      <c r="I47" s="108">
        <f>'ARCHIVE_Staffing Summary'!J32+'ARCHIVE_Staffing Summary'!J33</f>
        <v>0</v>
      </c>
      <c r="J47" s="108">
        <f>'ARCHIVE_Staffing Summary'!K32+'ARCHIVE_Staffing Summary'!K33</f>
        <v>0</v>
      </c>
      <c r="K47" s="108">
        <f>'ARCHIVE_Staffing Summary'!L32+'ARCHIVE_Staffing Summary'!L33</f>
        <v>0</v>
      </c>
      <c r="L47" s="108">
        <f>'ARCHIVE_Staffing Summary'!M32+'ARCHIVE_Staffing Summary'!M33</f>
        <v>0</v>
      </c>
      <c r="M47" s="108">
        <f>'ARCHIVE_Staffing Summary'!N32+'ARCHIVE_Staffing Summary'!N33</f>
        <v>0</v>
      </c>
      <c r="N47" s="108">
        <f>'ARCHIVE_Staffing Summary'!O32+'ARCHIVE_Staffing Summary'!O33</f>
        <v>0</v>
      </c>
      <c r="O47" s="108">
        <f>'ARCHIVE_Staffing Summary'!P32+'ARCHIVE_Staffing Summary'!P33</f>
        <v>0</v>
      </c>
      <c r="P47" s="108">
        <f>'ARCHIVE_Staffing Summary'!Q32+'ARCHIVE_Staffing Summary'!Q33</f>
        <v>0</v>
      </c>
      <c r="Q47" s="108">
        <f>'ARCHIVE_Staffing Summary'!R32+'ARCHIVE_Staffing Summary'!R33</f>
        <v>0</v>
      </c>
      <c r="R47" s="108">
        <f>'ARCHIVE_Staffing Summary'!S32+'ARCHIVE_Staffing Summary'!S33</f>
        <v>0</v>
      </c>
      <c r="S47" s="108">
        <f>'ARCHIVE_Staffing Summary'!T32+'ARCHIVE_Staffing Summary'!T33</f>
        <v>0</v>
      </c>
      <c r="T47" s="108">
        <f>'ARCHIVE_Staffing Summary'!U32+'ARCHIVE_Staffing Summary'!U33</f>
        <v>0</v>
      </c>
      <c r="U47" s="108">
        <f>'ARCHIVE_Staffing Summary'!V32+'ARCHIVE_Staffing Summary'!V33</f>
        <v>0</v>
      </c>
      <c r="V47" s="108">
        <f>'ARCHIVE_Staffing Summary'!W32+'ARCHIVE_Staffing Summary'!W33</f>
        <v>0</v>
      </c>
      <c r="W47" s="108">
        <f>'ARCHIVE_Staffing Summary'!X32+'ARCHIVE_Staffing Summary'!X33</f>
        <v>0</v>
      </c>
      <c r="X47" s="108">
        <f>'ARCHIVE_Staffing Summary'!Y32+'ARCHIVE_Staffing Summary'!Y33</f>
        <v>0</v>
      </c>
      <c r="Y47" s="108">
        <f>'ARCHIVE_Staffing Summary'!Z32+'ARCHIVE_Staffing Summary'!Z33</f>
        <v>0</v>
      </c>
      <c r="Z47" s="108">
        <f>'ARCHIVE_Staffing Summary'!AA32+'ARCHIVE_Staffing Summary'!AA33</f>
        <v>0</v>
      </c>
      <c r="AA47" s="108">
        <f>'ARCHIVE_Staffing Summary'!AB32+'ARCHIVE_Staffing Summary'!AB33</f>
        <v>0</v>
      </c>
      <c r="AB47" s="108">
        <f>'ARCHIVE_Staffing Summary'!AC32+'ARCHIVE_Staffing Summary'!AC33</f>
        <v>0</v>
      </c>
      <c r="AC47" s="108">
        <f>'ARCHIVE_Staffing Summary'!AD32+'ARCHIVE_Staffing Summary'!AD33</f>
        <v>0</v>
      </c>
      <c r="AD47" s="108">
        <f>'ARCHIVE_Staffing Summary'!AE32+'ARCHIVE_Staffing Summary'!AE33</f>
        <v>0</v>
      </c>
      <c r="AE47" s="108">
        <f>'ARCHIVE_Staffing Summary'!AF32+'ARCHIVE_Staffing Summary'!AF33</f>
        <v>0</v>
      </c>
      <c r="AF47" s="108">
        <f>'ARCHIVE_Staffing Summary'!AG32+'ARCHIVE_Staffing Summary'!AG33</f>
        <v>0</v>
      </c>
      <c r="AG47" s="108">
        <f>'ARCHIVE_Staffing Summary'!AH32+'ARCHIVE_Staffing Summary'!AH33</f>
        <v>0</v>
      </c>
      <c r="AH47" s="108">
        <f>'ARCHIVE_Staffing Summary'!AI32+'ARCHIVE_Staffing Summary'!AI33</f>
        <v>0</v>
      </c>
      <c r="AI47" s="108">
        <f>'ARCHIVE_Staffing Summary'!AJ32+'ARCHIVE_Staffing Summary'!AJ33</f>
        <v>0</v>
      </c>
      <c r="AJ47" s="108">
        <f>'ARCHIVE_Staffing Summary'!AK32+'ARCHIVE_Staffing Summary'!AK33</f>
        <v>0</v>
      </c>
      <c r="AK47" s="108">
        <f>'ARCHIVE_Staffing Summary'!AL32+'ARCHIVE_Staffing Summary'!AL33</f>
        <v>0</v>
      </c>
      <c r="AL47" s="108">
        <f>'ARCHIVE_Staffing Summary'!AM32+'ARCHIVE_Staffing Summary'!AM33</f>
        <v>0</v>
      </c>
      <c r="AM47" s="108">
        <f>'ARCHIVE_Staffing Summary'!AN32+'ARCHIVE_Staffing Summary'!AN33</f>
        <v>6500</v>
      </c>
      <c r="AN47" s="108">
        <f>'ARCHIVE_Staffing Summary'!AO32+'ARCHIVE_Staffing Summary'!AO33</f>
        <v>0</v>
      </c>
      <c r="AO47" s="108">
        <f>'ARCHIVE_Staffing Summary'!AP32+'ARCHIVE_Staffing Summary'!AP33</f>
        <v>0</v>
      </c>
      <c r="AP47" s="102">
        <f>IF(AO$10=0,0,AO47/AO$10)</f>
        <v>0</v>
      </c>
    </row>
    <row r="48" spans="1:42" x14ac:dyDescent="0.2">
      <c r="A48" s="110" t="s">
        <v>562</v>
      </c>
      <c r="B48" s="2"/>
      <c r="C48" s="111">
        <f>SUM(C42:C47)</f>
        <v>18000</v>
      </c>
      <c r="D48" s="111">
        <f t="shared" ref="D48:AO48" si="3">SUM(D42:D47)</f>
        <v>30666.666666666668</v>
      </c>
      <c r="E48" s="111">
        <f t="shared" si="3"/>
        <v>40666.666666666672</v>
      </c>
      <c r="F48" s="111">
        <f t="shared" si="3"/>
        <v>40666.666666666672</v>
      </c>
      <c r="G48" s="111">
        <f t="shared" si="3"/>
        <v>40666.666666666672</v>
      </c>
      <c r="H48" s="111">
        <f t="shared" si="3"/>
        <v>40666.666666666672</v>
      </c>
      <c r="I48" s="111">
        <f t="shared" si="3"/>
        <v>40666.666666666672</v>
      </c>
      <c r="J48" s="111">
        <f t="shared" si="3"/>
        <v>40666.666666666672</v>
      </c>
      <c r="K48" s="111">
        <f t="shared" si="3"/>
        <v>40666.666666666672</v>
      </c>
      <c r="L48" s="111">
        <f t="shared" si="3"/>
        <v>40666.666666666672</v>
      </c>
      <c r="M48" s="111">
        <f t="shared" si="3"/>
        <v>40666.666666666672</v>
      </c>
      <c r="N48" s="111">
        <f t="shared" si="3"/>
        <v>40666.666666666672</v>
      </c>
      <c r="O48" s="111">
        <f t="shared" si="3"/>
        <v>41766.666666666672</v>
      </c>
      <c r="P48" s="111">
        <f t="shared" si="3"/>
        <v>41766.666666666672</v>
      </c>
      <c r="Q48" s="111">
        <f t="shared" si="3"/>
        <v>41766.666666666672</v>
      </c>
      <c r="R48" s="111">
        <f t="shared" si="3"/>
        <v>41766.666666666672</v>
      </c>
      <c r="S48" s="111">
        <f t="shared" si="3"/>
        <v>41766.666666666672</v>
      </c>
      <c r="T48" s="111">
        <f t="shared" si="3"/>
        <v>41766.666666666672</v>
      </c>
      <c r="U48" s="111">
        <f t="shared" si="3"/>
        <v>41766.666666666672</v>
      </c>
      <c r="V48" s="111">
        <f t="shared" si="3"/>
        <v>41766.666666666672</v>
      </c>
      <c r="W48" s="111">
        <f t="shared" si="3"/>
        <v>41766.666666666672</v>
      </c>
      <c r="X48" s="111">
        <f t="shared" si="3"/>
        <v>41766.666666666672</v>
      </c>
      <c r="Y48" s="111">
        <f t="shared" si="3"/>
        <v>41766.666666666672</v>
      </c>
      <c r="Z48" s="111">
        <f t="shared" si="3"/>
        <v>41766.666666666672</v>
      </c>
      <c r="AA48" s="111">
        <f t="shared" si="3"/>
        <v>42899.666666666672</v>
      </c>
      <c r="AB48" s="111">
        <f t="shared" si="3"/>
        <v>42899.666666666672</v>
      </c>
      <c r="AC48" s="111">
        <f t="shared" si="3"/>
        <v>42899.666666666672</v>
      </c>
      <c r="AD48" s="111">
        <f t="shared" si="3"/>
        <v>42899.666666666672</v>
      </c>
      <c r="AE48" s="111">
        <f t="shared" si="3"/>
        <v>42899.666666666672</v>
      </c>
      <c r="AF48" s="111">
        <f t="shared" si="3"/>
        <v>42899.666666666672</v>
      </c>
      <c r="AG48" s="111">
        <f t="shared" si="3"/>
        <v>42899.666666666672</v>
      </c>
      <c r="AH48" s="111">
        <f t="shared" si="3"/>
        <v>42899.666666666672</v>
      </c>
      <c r="AI48" s="111">
        <f t="shared" si="3"/>
        <v>42899.666666666672</v>
      </c>
      <c r="AJ48" s="111">
        <f t="shared" si="3"/>
        <v>42899.666666666672</v>
      </c>
      <c r="AK48" s="111">
        <f t="shared" si="3"/>
        <v>42899.666666666672</v>
      </c>
      <c r="AL48" s="111">
        <f t="shared" si="3"/>
        <v>42899.666666666672</v>
      </c>
      <c r="AM48" s="111">
        <f t="shared" si="3"/>
        <v>455333.33333333331</v>
      </c>
      <c r="AN48" s="111">
        <f t="shared" si="3"/>
        <v>501200</v>
      </c>
      <c r="AO48" s="111">
        <f t="shared" si="3"/>
        <v>514796</v>
      </c>
      <c r="AP48" s="103">
        <f>IF(AO$10=0,0,AO48/AO$10)</f>
        <v>0.14031923185091821</v>
      </c>
    </row>
    <row r="49" spans="1:42" x14ac:dyDescent="0.2">
      <c r="A49" s="168" t="s">
        <v>563</v>
      </c>
      <c r="B49" s="160"/>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row>
    <row r="50" spans="1:42" x14ac:dyDescent="0.2">
      <c r="A50" s="104" t="s">
        <v>535</v>
      </c>
      <c r="B50" s="175">
        <v>41300</v>
      </c>
      <c r="C50" s="108">
        <f>(C42+C43+C44+C45)*'ARCHIVE_Control Tower'!$B$5</f>
        <v>765</v>
      </c>
      <c r="D50" s="108">
        <f>(D42+D43+D44+D45)*'ARCHIVE_Control Tower'!$B$5</f>
        <v>1848.75</v>
      </c>
      <c r="E50" s="108">
        <f>(E42+E43+E44+E45)*'ARCHIVE_Control Tower'!$B$5</f>
        <v>2805.0000000000005</v>
      </c>
      <c r="F50" s="108">
        <f>(F42+F43+F44+F45)*'ARCHIVE_Control Tower'!$B$5</f>
        <v>2805.0000000000005</v>
      </c>
      <c r="G50" s="108">
        <f>(G42+G43+G44+G45)*'ARCHIVE_Control Tower'!$B$5</f>
        <v>2805.0000000000005</v>
      </c>
      <c r="H50" s="108">
        <f>(H42+H43+H44+H45)*'ARCHIVE_Control Tower'!$B$5</f>
        <v>2805.0000000000005</v>
      </c>
      <c r="I50" s="108">
        <f>(I42+I43+I44+I45)*'ARCHIVE_Control Tower'!$B$5</f>
        <v>2805.0000000000005</v>
      </c>
      <c r="J50" s="108">
        <f>(J42+J43+J44+J45)*'ARCHIVE_Control Tower'!$B$5</f>
        <v>2805.0000000000005</v>
      </c>
      <c r="K50" s="108">
        <f>(K42+K43+K44+K45)*'ARCHIVE_Control Tower'!$B$5</f>
        <v>2805.0000000000005</v>
      </c>
      <c r="L50" s="108">
        <f>(L42+L43+L44+L45)*'ARCHIVE_Control Tower'!$B$5</f>
        <v>2805.0000000000005</v>
      </c>
      <c r="M50" s="108">
        <f>(M42+M43+M44+M45)*'ARCHIVE_Control Tower'!$B$5</f>
        <v>2805.0000000000005</v>
      </c>
      <c r="N50" s="108">
        <f>(N42+N43+N44+N45)*'ARCHIVE_Control Tower'!$B$5</f>
        <v>2805.0000000000005</v>
      </c>
      <c r="O50" s="108">
        <f>(O42+O43+O44+O45)*'ARCHIVE_Control Tower'!$B$5</f>
        <v>2889.15</v>
      </c>
      <c r="P50" s="108">
        <f>(P42+P43+P44+P45)*'ARCHIVE_Control Tower'!$B$5</f>
        <v>2889.15</v>
      </c>
      <c r="Q50" s="108">
        <f>(Q42+Q43+Q44+Q45)*'ARCHIVE_Control Tower'!$B$5</f>
        <v>2889.15</v>
      </c>
      <c r="R50" s="108">
        <f>(R42+R43+R44+R45)*'ARCHIVE_Control Tower'!$B$5</f>
        <v>2889.15</v>
      </c>
      <c r="S50" s="108">
        <f>(S42+S43+S44+S45)*'ARCHIVE_Control Tower'!$B$5</f>
        <v>2889.15</v>
      </c>
      <c r="T50" s="108">
        <f>(T42+T43+T44+T45)*'ARCHIVE_Control Tower'!$B$5</f>
        <v>2889.15</v>
      </c>
      <c r="U50" s="108">
        <f>(U42+U43+U44+U45)*'ARCHIVE_Control Tower'!$B$5</f>
        <v>2889.15</v>
      </c>
      <c r="V50" s="108">
        <f>(V42+V43+V44+V45)*'ARCHIVE_Control Tower'!$B$5</f>
        <v>2889.15</v>
      </c>
      <c r="W50" s="108">
        <f>(W42+W43+W44+W45)*'ARCHIVE_Control Tower'!$B$5</f>
        <v>2889.15</v>
      </c>
      <c r="X50" s="108">
        <f>(X42+X43+X44+X45)*'ARCHIVE_Control Tower'!$B$5</f>
        <v>2889.15</v>
      </c>
      <c r="Y50" s="108">
        <f>(Y42+Y43+Y44+Y45)*'ARCHIVE_Control Tower'!$B$5</f>
        <v>2889.15</v>
      </c>
      <c r="Z50" s="108">
        <f>(Z42+Z43+Z44+Z45)*'ARCHIVE_Control Tower'!$B$5</f>
        <v>2889.15</v>
      </c>
      <c r="AA50" s="108">
        <f>(AA42+AA43+AA44+AA45)*'ARCHIVE_Control Tower'!$B$5</f>
        <v>2975.8245000000002</v>
      </c>
      <c r="AB50" s="108">
        <f>(AB42+AB43+AB44+AB45)*'ARCHIVE_Control Tower'!$B$5</f>
        <v>2975.8245000000002</v>
      </c>
      <c r="AC50" s="108">
        <f>(AC42+AC43+AC44+AC45)*'ARCHIVE_Control Tower'!$B$5</f>
        <v>2975.8245000000002</v>
      </c>
      <c r="AD50" s="108">
        <f>(AD42+AD43+AD44+AD45)*'ARCHIVE_Control Tower'!$B$5</f>
        <v>2975.8245000000002</v>
      </c>
      <c r="AE50" s="108">
        <f>(AE42+AE43+AE44+AE45)*'ARCHIVE_Control Tower'!$B$5</f>
        <v>2975.8245000000002</v>
      </c>
      <c r="AF50" s="108">
        <f>(AF42+AF43+AF44+AF45)*'ARCHIVE_Control Tower'!$B$5</f>
        <v>2975.8245000000002</v>
      </c>
      <c r="AG50" s="108">
        <f>(AG42+AG43+AG44+AG45)*'ARCHIVE_Control Tower'!$B$5</f>
        <v>2975.8245000000002</v>
      </c>
      <c r="AH50" s="108">
        <f>(AH42+AH43+AH44+AH45)*'ARCHIVE_Control Tower'!$B$5</f>
        <v>2975.8245000000002</v>
      </c>
      <c r="AI50" s="108">
        <f>(AI42+AI43+AI44+AI45)*'ARCHIVE_Control Tower'!$B$5</f>
        <v>2975.8245000000002</v>
      </c>
      <c r="AJ50" s="108">
        <f>(AJ42+AJ43+AJ44+AJ45)*'ARCHIVE_Control Tower'!$B$5</f>
        <v>2975.8245000000002</v>
      </c>
      <c r="AK50" s="108">
        <f>(AK42+AK43+AK44+AK45)*'ARCHIVE_Control Tower'!$B$5</f>
        <v>2975.8245000000002</v>
      </c>
      <c r="AL50" s="108">
        <f>(AL42+AL43+AL44+AL45)*'ARCHIVE_Control Tower'!$B$5</f>
        <v>2975.8245000000002</v>
      </c>
      <c r="AM50" s="108">
        <f>(AM42+AM43+AM44+AM45)*'ARCHIVE_Control Tower'!$B$5</f>
        <v>30663.749999999996</v>
      </c>
      <c r="AN50" s="108">
        <f>(AN42+AN43+AN44+AN45)*'ARCHIVE_Control Tower'!$B$5</f>
        <v>34669.800000000003</v>
      </c>
      <c r="AO50" s="108">
        <f>(AO42+AO43+AO44+AO45)*'ARCHIVE_Control Tower'!$B$5</f>
        <v>35709.894</v>
      </c>
      <c r="AP50" s="102">
        <f>IF(AO$10=0,0,AO50/AO$10)</f>
        <v>9.7335350227230073E-3</v>
      </c>
    </row>
    <row r="51" spans="1:42" x14ac:dyDescent="0.2">
      <c r="A51" s="104" t="s">
        <v>536</v>
      </c>
      <c r="B51" s="175">
        <v>41300</v>
      </c>
      <c r="C51" s="108">
        <f>(C42+C43+C44+C45)*'ARCHIVE_Control Tower'!$B$6</f>
        <v>185</v>
      </c>
      <c r="D51" s="108">
        <f>(D42+D43+D44+D45)*'ARCHIVE_Control Tower'!$B$6</f>
        <v>447.08333333333331</v>
      </c>
      <c r="E51" s="108">
        <f>(E42+E43+E44+E45)*'ARCHIVE_Control Tower'!$B$6</f>
        <v>678.33333333333337</v>
      </c>
      <c r="F51" s="108">
        <f>(F42+F43+F44+F45)*'ARCHIVE_Control Tower'!$B$6</f>
        <v>678.33333333333337</v>
      </c>
      <c r="G51" s="108">
        <f>(G42+G43+G44+G45)*'ARCHIVE_Control Tower'!$B$6</f>
        <v>678.33333333333337</v>
      </c>
      <c r="H51" s="108">
        <f>(H42+H43+H44+H45)*'ARCHIVE_Control Tower'!$B$6</f>
        <v>678.33333333333337</v>
      </c>
      <c r="I51" s="108">
        <f>(I42+I43+I44+I45)*'ARCHIVE_Control Tower'!$B$6</f>
        <v>678.33333333333337</v>
      </c>
      <c r="J51" s="108">
        <f>(J42+J43+J44+J45)*'ARCHIVE_Control Tower'!$B$6</f>
        <v>678.33333333333337</v>
      </c>
      <c r="K51" s="108">
        <f>(K42+K43+K44+K45)*'ARCHIVE_Control Tower'!$B$6</f>
        <v>678.33333333333337</v>
      </c>
      <c r="L51" s="108">
        <f>(L42+L43+L44+L45)*'ARCHIVE_Control Tower'!$B$6</f>
        <v>678.33333333333337</v>
      </c>
      <c r="M51" s="108">
        <f>(M42+M43+M44+M45)*'ARCHIVE_Control Tower'!$B$6</f>
        <v>678.33333333333337</v>
      </c>
      <c r="N51" s="108">
        <f>(N42+N43+N44+N45)*'ARCHIVE_Control Tower'!$B$6</f>
        <v>678.33333333333337</v>
      </c>
      <c r="O51" s="108">
        <f>(O42+O43+O44+O45)*'ARCHIVE_Control Tower'!$B$6</f>
        <v>698.68333333333339</v>
      </c>
      <c r="P51" s="108">
        <f>(P42+P43+P44+P45)*'ARCHIVE_Control Tower'!$B$6</f>
        <v>698.68333333333339</v>
      </c>
      <c r="Q51" s="108">
        <f>(Q42+Q43+Q44+Q45)*'ARCHIVE_Control Tower'!$B$6</f>
        <v>698.68333333333339</v>
      </c>
      <c r="R51" s="108">
        <f>(R42+R43+R44+R45)*'ARCHIVE_Control Tower'!$B$6</f>
        <v>698.68333333333339</v>
      </c>
      <c r="S51" s="108">
        <f>(S42+S43+S44+S45)*'ARCHIVE_Control Tower'!$B$6</f>
        <v>698.68333333333339</v>
      </c>
      <c r="T51" s="108">
        <f>(T42+T43+T44+T45)*'ARCHIVE_Control Tower'!$B$6</f>
        <v>698.68333333333339</v>
      </c>
      <c r="U51" s="108">
        <f>(U42+U43+U44+U45)*'ARCHIVE_Control Tower'!$B$6</f>
        <v>698.68333333333339</v>
      </c>
      <c r="V51" s="108">
        <f>(V42+V43+V44+V45)*'ARCHIVE_Control Tower'!$B$6</f>
        <v>698.68333333333339</v>
      </c>
      <c r="W51" s="108">
        <f>(W42+W43+W44+W45)*'ARCHIVE_Control Tower'!$B$6</f>
        <v>698.68333333333339</v>
      </c>
      <c r="X51" s="108">
        <f>(X42+X43+X44+X45)*'ARCHIVE_Control Tower'!$B$6</f>
        <v>698.68333333333339</v>
      </c>
      <c r="Y51" s="108">
        <f>(Y42+Y43+Y44+Y45)*'ARCHIVE_Control Tower'!$B$6</f>
        <v>698.68333333333339</v>
      </c>
      <c r="Z51" s="108">
        <f>(Z42+Z43+Z44+Z45)*'ARCHIVE_Control Tower'!$B$6</f>
        <v>698.68333333333339</v>
      </c>
      <c r="AA51" s="108">
        <f>(AA42+AA43+AA44+AA45)*'ARCHIVE_Control Tower'!$B$6</f>
        <v>719.64383333333342</v>
      </c>
      <c r="AB51" s="108">
        <f>(AB42+AB43+AB44+AB45)*'ARCHIVE_Control Tower'!$B$6</f>
        <v>719.64383333333342</v>
      </c>
      <c r="AC51" s="108">
        <f>(AC42+AC43+AC44+AC45)*'ARCHIVE_Control Tower'!$B$6</f>
        <v>719.64383333333342</v>
      </c>
      <c r="AD51" s="108">
        <f>(AD42+AD43+AD44+AD45)*'ARCHIVE_Control Tower'!$B$6</f>
        <v>719.64383333333342</v>
      </c>
      <c r="AE51" s="108">
        <f>(AE42+AE43+AE44+AE45)*'ARCHIVE_Control Tower'!$B$6</f>
        <v>719.64383333333342</v>
      </c>
      <c r="AF51" s="108">
        <f>(AF42+AF43+AF44+AF45)*'ARCHIVE_Control Tower'!$B$6</f>
        <v>719.64383333333342</v>
      </c>
      <c r="AG51" s="108">
        <f>(AG42+AG43+AG44+AG45)*'ARCHIVE_Control Tower'!$B$6</f>
        <v>719.64383333333342</v>
      </c>
      <c r="AH51" s="108">
        <f>(AH42+AH43+AH44+AH45)*'ARCHIVE_Control Tower'!$B$6</f>
        <v>719.64383333333342</v>
      </c>
      <c r="AI51" s="108">
        <f>(AI42+AI43+AI44+AI45)*'ARCHIVE_Control Tower'!$B$6</f>
        <v>719.64383333333342</v>
      </c>
      <c r="AJ51" s="108">
        <f>(AJ42+AJ43+AJ44+AJ45)*'ARCHIVE_Control Tower'!$B$6</f>
        <v>719.64383333333342</v>
      </c>
      <c r="AK51" s="108">
        <f>(AK42+AK43+AK44+AK45)*'ARCHIVE_Control Tower'!$B$6</f>
        <v>719.64383333333342</v>
      </c>
      <c r="AL51" s="108">
        <f>(AL42+AL43+AL44+AL45)*'ARCHIVE_Control Tower'!$B$6</f>
        <v>719.64383333333342</v>
      </c>
      <c r="AM51" s="108">
        <f>(AM42+AM43+AM44+AM45)*'ARCHIVE_Control Tower'!$B$6</f>
        <v>7415.4166666666661</v>
      </c>
      <c r="AN51" s="108">
        <f>(AN42+AN43+AN44+AN45)*'ARCHIVE_Control Tower'!$B$6</f>
        <v>8384.1999999999989</v>
      </c>
      <c r="AO51" s="108">
        <f>(AO42+AO43+AO44+AO45)*'ARCHIVE_Control Tower'!$B$6</f>
        <v>8635.7259999999987</v>
      </c>
      <c r="AP51" s="102">
        <f>IF(AO$10=0,0,AO51/AO$10)</f>
        <v>2.3538614107238643E-3</v>
      </c>
    </row>
    <row r="52" spans="1:42" x14ac:dyDescent="0.2">
      <c r="A52" s="104" t="s">
        <v>537</v>
      </c>
      <c r="B52" s="175">
        <v>41600</v>
      </c>
      <c r="C52" s="108">
        <f>(C42+C43+C44+C45)*'ARCHIVE_Control Tower'!$B$7</f>
        <v>300</v>
      </c>
      <c r="D52" s="108">
        <f>(D42+D43+D44+D45)*'ARCHIVE_Control Tower'!$B$7</f>
        <v>725</v>
      </c>
      <c r="E52" s="108">
        <f>(E42+E43+E44+E45)*'ARCHIVE_Control Tower'!$B$7</f>
        <v>1100</v>
      </c>
      <c r="F52" s="108">
        <f>(F42+F43+F44+F45)*'ARCHIVE_Control Tower'!$B$7</f>
        <v>1100</v>
      </c>
      <c r="G52" s="108">
        <f>(G42+G43+G44+G45)*'ARCHIVE_Control Tower'!$B$7</f>
        <v>1100</v>
      </c>
      <c r="H52" s="108">
        <f>(H42+H43+H44+H45)*'ARCHIVE_Control Tower'!$B$7</f>
        <v>1100</v>
      </c>
      <c r="I52" s="108">
        <f>(I42+I43+I44+I45)*'ARCHIVE_Control Tower'!$B$7</f>
        <v>1100</v>
      </c>
      <c r="J52" s="108">
        <f>(J42+J43+J44+J45)*'ARCHIVE_Control Tower'!$B$7</f>
        <v>1100</v>
      </c>
      <c r="K52" s="108">
        <f>(K42+K43+K44+K45)*'ARCHIVE_Control Tower'!$B$7</f>
        <v>1100</v>
      </c>
      <c r="L52" s="108">
        <f>(L42+L43+L44+L45)*'ARCHIVE_Control Tower'!$B$7</f>
        <v>1100</v>
      </c>
      <c r="M52" s="108">
        <f>(M42+M43+M44+M45)*'ARCHIVE_Control Tower'!$B$7</f>
        <v>1100</v>
      </c>
      <c r="N52" s="108">
        <f>(N42+N43+N44+N45)*'ARCHIVE_Control Tower'!$B$7</f>
        <v>1100</v>
      </c>
      <c r="O52" s="108">
        <f>(O42+O43+O44+O45)*'ARCHIVE_Control Tower'!$B$7</f>
        <v>1133</v>
      </c>
      <c r="P52" s="108">
        <f>(P42+P43+P44+P45)*'ARCHIVE_Control Tower'!$B$7</f>
        <v>1133</v>
      </c>
      <c r="Q52" s="108">
        <f>(Q42+Q43+Q44+Q45)*'ARCHIVE_Control Tower'!$B$7</f>
        <v>1133</v>
      </c>
      <c r="R52" s="108">
        <f>(R42+R43+R44+R45)*'ARCHIVE_Control Tower'!$B$7</f>
        <v>1133</v>
      </c>
      <c r="S52" s="108">
        <f>(S42+S43+S44+S45)*'ARCHIVE_Control Tower'!$B$7</f>
        <v>1133</v>
      </c>
      <c r="T52" s="108">
        <f>(T42+T43+T44+T45)*'ARCHIVE_Control Tower'!$B$7</f>
        <v>1133</v>
      </c>
      <c r="U52" s="108">
        <f>(U42+U43+U44+U45)*'ARCHIVE_Control Tower'!$B$7</f>
        <v>1133</v>
      </c>
      <c r="V52" s="108">
        <f>(V42+V43+V44+V45)*'ARCHIVE_Control Tower'!$B$7</f>
        <v>1133</v>
      </c>
      <c r="W52" s="108">
        <f>(W42+W43+W44+W45)*'ARCHIVE_Control Tower'!$B$7</f>
        <v>1133</v>
      </c>
      <c r="X52" s="108">
        <f>(X42+X43+X44+X45)*'ARCHIVE_Control Tower'!$B$7</f>
        <v>1133</v>
      </c>
      <c r="Y52" s="108">
        <f>(Y42+Y43+Y44+Y45)*'ARCHIVE_Control Tower'!$B$7</f>
        <v>1133</v>
      </c>
      <c r="Z52" s="108">
        <f>(Z42+Z43+Z44+Z45)*'ARCHIVE_Control Tower'!$B$7</f>
        <v>1133</v>
      </c>
      <c r="AA52" s="108">
        <f>(AA42+AA43+AA44+AA45)*'ARCHIVE_Control Tower'!$B$7</f>
        <v>1166.99</v>
      </c>
      <c r="AB52" s="108">
        <f>(AB42+AB43+AB44+AB45)*'ARCHIVE_Control Tower'!$B$7</f>
        <v>1166.99</v>
      </c>
      <c r="AC52" s="108">
        <f>(AC42+AC43+AC44+AC45)*'ARCHIVE_Control Tower'!$B$7</f>
        <v>1166.99</v>
      </c>
      <c r="AD52" s="108">
        <f>(AD42+AD43+AD44+AD45)*'ARCHIVE_Control Tower'!$B$7</f>
        <v>1166.99</v>
      </c>
      <c r="AE52" s="108">
        <f>(AE42+AE43+AE44+AE45)*'ARCHIVE_Control Tower'!$B$7</f>
        <v>1166.99</v>
      </c>
      <c r="AF52" s="108">
        <f>(AF42+AF43+AF44+AF45)*'ARCHIVE_Control Tower'!$B$7</f>
        <v>1166.99</v>
      </c>
      <c r="AG52" s="108">
        <f>(AG42+AG43+AG44+AG45)*'ARCHIVE_Control Tower'!$B$7</f>
        <v>1166.99</v>
      </c>
      <c r="AH52" s="108">
        <f>(AH42+AH43+AH44+AH45)*'ARCHIVE_Control Tower'!$B$7</f>
        <v>1166.99</v>
      </c>
      <c r="AI52" s="108">
        <f>(AI42+AI43+AI44+AI45)*'ARCHIVE_Control Tower'!$B$7</f>
        <v>1166.99</v>
      </c>
      <c r="AJ52" s="108">
        <f>(AJ42+AJ43+AJ44+AJ45)*'ARCHIVE_Control Tower'!$B$7</f>
        <v>1166.99</v>
      </c>
      <c r="AK52" s="108">
        <f>(AK42+AK43+AK44+AK45)*'ARCHIVE_Control Tower'!$B$7</f>
        <v>1166.99</v>
      </c>
      <c r="AL52" s="108">
        <f>(AL42+AL43+AL44+AL45)*'ARCHIVE_Control Tower'!$B$7</f>
        <v>1166.99</v>
      </c>
      <c r="AM52" s="108">
        <f>(AM42+AM43+AM44+AM45)*'ARCHIVE_Control Tower'!$B$7</f>
        <v>12024.999999999998</v>
      </c>
      <c r="AN52" s="108">
        <f>(AN42+AN43+AN44+AN45)*'ARCHIVE_Control Tower'!$B$7</f>
        <v>13596</v>
      </c>
      <c r="AO52" s="108">
        <f>(AO42+AO43+AO44+AO45)*'ARCHIVE_Control Tower'!$B$7</f>
        <v>14003.88</v>
      </c>
      <c r="AP52" s="102">
        <f>IF(AO$10=0,0,AO52/AO$10)</f>
        <v>3.8170725579305905E-3</v>
      </c>
    </row>
    <row r="53" spans="1:42" x14ac:dyDescent="0.2">
      <c r="A53" s="104" t="s">
        <v>538</v>
      </c>
      <c r="B53" s="175">
        <v>41100</v>
      </c>
      <c r="C53" s="108">
        <f>'ARCHIVE_Staffing Summary'!D41-C25</f>
        <v>732.86806389998787</v>
      </c>
      <c r="D53" s="108">
        <f>'ARCHIVE_Staffing Summary'!E41-D25</f>
        <v>1749.1148875525919</v>
      </c>
      <c r="E53" s="108">
        <f>'ARCHIVE_Staffing Summary'!F41-E25</f>
        <v>2402.4712693102038</v>
      </c>
      <c r="F53" s="108">
        <f>'ARCHIVE_Staffing Summary'!G41-F25</f>
        <v>2385.1825952141853</v>
      </c>
      <c r="G53" s="108">
        <f>'ARCHIVE_Staffing Summary'!H41-G25</f>
        <v>2368.1409689733164</v>
      </c>
      <c r="H53" s="108">
        <f>'ARCHIVE_Staffing Summary'!I41-H25</f>
        <v>2359.7111499033322</v>
      </c>
      <c r="I53" s="108">
        <f>'ARCHIVE_Staffing Summary'!J41-I25</f>
        <v>2483.3673960199649</v>
      </c>
      <c r="J53" s="108">
        <f>'ARCHIVE_Staffing Summary'!K41-J25</f>
        <v>2475.1253032184759</v>
      </c>
      <c r="K53" s="108">
        <f>'ARCHIVE_Staffing Summary'!L41-K25</f>
        <v>2458.8041643201441</v>
      </c>
      <c r="L53" s="108">
        <f>'ARCHIVE_Staffing Summary'!M41-L25</f>
        <v>2442.6968607027443</v>
      </c>
      <c r="M53" s="108">
        <f>'ARCHIVE_Staffing Summary'!N41-M25</f>
        <v>2473.3315832638646</v>
      </c>
      <c r="N53" s="108">
        <f>'ARCHIVE_Staffing Summary'!O41-N25</f>
        <v>2458.6540992189866</v>
      </c>
      <c r="O53" s="108">
        <f>'ARCHIVE_Staffing Summary'!P41-O25</f>
        <v>2458.5832741549125</v>
      </c>
      <c r="P53" s="108">
        <f>'ARCHIVE_Staffing Summary'!Q41-P25</f>
        <v>2444.4998082777506</v>
      </c>
      <c r="Q53" s="108">
        <f>'ARCHIVE_Staffing Summary'!R41-Q25</f>
        <v>2550.8650222146098</v>
      </c>
      <c r="R53" s="108">
        <f>'ARCHIVE_Staffing Summary'!S41-R25</f>
        <v>2537.0782288111932</v>
      </c>
      <c r="S53" s="108">
        <f>'ARCHIVE_Staffing Summary'!T41-S25</f>
        <v>2530.2405671441961</v>
      </c>
      <c r="T53" s="108">
        <f>'ARCHIVE_Staffing Summary'!U41-T25</f>
        <v>2516.6752198218778</v>
      </c>
      <c r="U53" s="108">
        <f>'ARCHIVE_Staffing Summary'!V41-U25</f>
        <v>2509.9469461298486</v>
      </c>
      <c r="V53" s="108">
        <f>'ARCHIVE_Staffing Summary'!W41-V25</f>
        <v>2503.2545522858031</v>
      </c>
      <c r="W53" s="108">
        <f>'ARCHIVE_Staffing Summary'!X41-W25</f>
        <v>2518.7215054114631</v>
      </c>
      <c r="X53" s="108">
        <f>'ARCHIVE_Staffing Summary'!Y41-X25</f>
        <v>2512.5425232021653</v>
      </c>
      <c r="Y53" s="108">
        <f>'ARCHIVE_Staffing Summary'!Z41-Y25</f>
        <v>2595.2240204589784</v>
      </c>
      <c r="Z53" s="108">
        <f>'ARCHIVE_Staffing Summary'!AA41-Z25</f>
        <v>2589.1678745546151</v>
      </c>
      <c r="AA53" s="108">
        <f>'ARCHIVE_Staffing Summary'!AB41-AA25</f>
        <v>2592.1042170856831</v>
      </c>
      <c r="AB53" s="108">
        <f>'ARCHIVE_Staffing Summary'!AC41-AB25</f>
        <v>2586.2381770892098</v>
      </c>
      <c r="AC53" s="108">
        <f>'ARCHIVE_Staffing Summary'!AD41-AC25</f>
        <v>2586.2381770892098</v>
      </c>
      <c r="AD53" s="108">
        <f>'ARCHIVE_Staffing Summary'!AE41-AD25</f>
        <v>2580.398627330756</v>
      </c>
      <c r="AE53" s="108">
        <f>'ARCHIVE_Staffing Summary'!AF41-AE25</f>
        <v>2574.5853887751095</v>
      </c>
      <c r="AF53" s="108">
        <f>'ARCHIVE_Staffing Summary'!AG41-AF25</f>
        <v>2568.7982839967854</v>
      </c>
      <c r="AG53" s="108">
        <f>'ARCHIVE_Staffing Summary'!AH41-AG25</f>
        <v>2563.0371371619735</v>
      </c>
      <c r="AH53" s="108">
        <f>'ARCHIVE_Staffing Summary'!AI41-AH25</f>
        <v>2557.3017740107352</v>
      </c>
      <c r="AI53" s="108">
        <f>'ARCHIVE_Staffing Summary'!AJ41-AI25</f>
        <v>2551.5920218394281</v>
      </c>
      <c r="AJ53" s="108">
        <f>'ARCHIVE_Staffing Summary'!AK41-AJ25</f>
        <v>2551.5920218394281</v>
      </c>
      <c r="AK53" s="108">
        <f>'ARCHIVE_Staffing Summary'!AL41-AK25</f>
        <v>2545.9077094833724</v>
      </c>
      <c r="AL53" s="108">
        <f>'ARCHIVE_Staffing Summary'!AM41-AL25</f>
        <v>2540.2486672997502</v>
      </c>
      <c r="AM53" s="108">
        <f>'ARCHIVE_Staffing Summary'!AN41-AM25</f>
        <v>26858.792096061967</v>
      </c>
      <c r="AN53" s="108">
        <f>'ARCHIVE_Staffing Summary'!AO41-AN25</f>
        <v>30294.17690843431</v>
      </c>
      <c r="AO53" s="108">
        <f>'ARCHIVE_Staffing Summary'!AP41-AO25</f>
        <v>30796.735938885169</v>
      </c>
      <c r="AP53" s="102">
        <f>IF(AO$10=0,0,AO53/AO$10)</f>
        <v>8.3943432553087692E-3</v>
      </c>
    </row>
    <row r="54" spans="1:42" x14ac:dyDescent="0.2">
      <c r="A54" s="110" t="s">
        <v>564</v>
      </c>
      <c r="B54" s="2"/>
      <c r="C54" s="111">
        <f>SUM(C50:C53)</f>
        <v>1982.8680638999879</v>
      </c>
      <c r="D54" s="111">
        <f t="shared" ref="D54:AO54" si="4">SUM(D50:D53)</f>
        <v>4769.9482208859254</v>
      </c>
      <c r="E54" s="111">
        <f t="shared" si="4"/>
        <v>6985.8046026435377</v>
      </c>
      <c r="F54" s="111">
        <f t="shared" si="4"/>
        <v>6968.5159285475193</v>
      </c>
      <c r="G54" s="111">
        <f t="shared" si="4"/>
        <v>6951.4743023066503</v>
      </c>
      <c r="H54" s="111">
        <f t="shared" si="4"/>
        <v>6943.0444832366666</v>
      </c>
      <c r="I54" s="111">
        <f t="shared" si="4"/>
        <v>7066.7007293532988</v>
      </c>
      <c r="J54" s="111">
        <f t="shared" si="4"/>
        <v>7058.4586365518098</v>
      </c>
      <c r="K54" s="111">
        <f t="shared" si="4"/>
        <v>7042.137497653478</v>
      </c>
      <c r="L54" s="111">
        <f t="shared" si="4"/>
        <v>7026.0301940360787</v>
      </c>
      <c r="M54" s="111">
        <f t="shared" si="4"/>
        <v>7056.6649165971985</v>
      </c>
      <c r="N54" s="111">
        <f t="shared" si="4"/>
        <v>7041.9874325523206</v>
      </c>
      <c r="O54" s="111">
        <f t="shared" si="4"/>
        <v>7179.4166074882469</v>
      </c>
      <c r="P54" s="111">
        <f t="shared" si="4"/>
        <v>7165.333141611085</v>
      </c>
      <c r="Q54" s="111">
        <f t="shared" si="4"/>
        <v>7271.6983555479437</v>
      </c>
      <c r="R54" s="111">
        <f t="shared" si="4"/>
        <v>7257.9115621445271</v>
      </c>
      <c r="S54" s="111">
        <f t="shared" si="4"/>
        <v>7251.0739004775296</v>
      </c>
      <c r="T54" s="111">
        <f t="shared" si="4"/>
        <v>7237.5085531552122</v>
      </c>
      <c r="U54" s="111">
        <f t="shared" si="4"/>
        <v>7230.7802794631825</v>
      </c>
      <c r="V54" s="111">
        <f t="shared" si="4"/>
        <v>7224.0878856191375</v>
      </c>
      <c r="W54" s="111">
        <f t="shared" si="4"/>
        <v>7239.5548387447971</v>
      </c>
      <c r="X54" s="111">
        <f t="shared" si="4"/>
        <v>7233.3758565354992</v>
      </c>
      <c r="Y54" s="111">
        <f t="shared" si="4"/>
        <v>7316.0573537923119</v>
      </c>
      <c r="Z54" s="111">
        <f t="shared" si="4"/>
        <v>7310.001207887949</v>
      </c>
      <c r="AA54" s="111">
        <f t="shared" si="4"/>
        <v>7454.5625504190175</v>
      </c>
      <c r="AB54" s="111">
        <f t="shared" si="4"/>
        <v>7448.6965104225437</v>
      </c>
      <c r="AC54" s="111">
        <f t="shared" si="4"/>
        <v>7448.6965104225437</v>
      </c>
      <c r="AD54" s="111">
        <f t="shared" si="4"/>
        <v>7442.8569606640904</v>
      </c>
      <c r="AE54" s="111">
        <f t="shared" si="4"/>
        <v>7437.043722108443</v>
      </c>
      <c r="AF54" s="111">
        <f t="shared" si="4"/>
        <v>7431.2566173301193</v>
      </c>
      <c r="AG54" s="111">
        <f t="shared" si="4"/>
        <v>7425.495470495307</v>
      </c>
      <c r="AH54" s="111">
        <f t="shared" si="4"/>
        <v>7419.7601073440692</v>
      </c>
      <c r="AI54" s="111">
        <f t="shared" si="4"/>
        <v>7414.0503551727616</v>
      </c>
      <c r="AJ54" s="111">
        <f t="shared" si="4"/>
        <v>7414.0503551727616</v>
      </c>
      <c r="AK54" s="111">
        <f t="shared" si="4"/>
        <v>7408.3660428167059</v>
      </c>
      <c r="AL54" s="111">
        <f t="shared" si="4"/>
        <v>7402.7070006330841</v>
      </c>
      <c r="AM54" s="111">
        <f t="shared" si="4"/>
        <v>76962.958762728638</v>
      </c>
      <c r="AN54" s="111">
        <f t="shared" si="4"/>
        <v>86944.17690843431</v>
      </c>
      <c r="AO54" s="111">
        <f t="shared" si="4"/>
        <v>89146.235938885162</v>
      </c>
      <c r="AP54" s="103">
        <f>IF(AO$10=0,0,AO54/AO$10)</f>
        <v>2.429881224668623E-2</v>
      </c>
    </row>
    <row r="55" spans="1:42" x14ac:dyDescent="0.2">
      <c r="A55" s="168" t="s">
        <v>565</v>
      </c>
      <c r="B55" s="160"/>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row>
    <row r="56" spans="1:42" x14ac:dyDescent="0.2">
      <c r="A56" s="104" t="s">
        <v>566</v>
      </c>
      <c r="B56" s="175">
        <v>60800</v>
      </c>
      <c r="C56" s="108">
        <f>'ARCHIVE_Control Tower'!$B$75</f>
        <v>3450</v>
      </c>
      <c r="D56" s="108">
        <f>'ARCHIVE_Control Tower'!$B$75</f>
        <v>3450</v>
      </c>
      <c r="E56" s="108">
        <f>'ARCHIVE_Control Tower'!$B$75</f>
        <v>3450</v>
      </c>
      <c r="F56" s="108">
        <f>'ARCHIVE_Control Tower'!$B$75</f>
        <v>3450</v>
      </c>
      <c r="G56" s="108">
        <f>'ARCHIVE_Control Tower'!$B$75</f>
        <v>3450</v>
      </c>
      <c r="H56" s="108">
        <f>'ARCHIVE_Control Tower'!$B$75</f>
        <v>3450</v>
      </c>
      <c r="I56" s="108">
        <f>'ARCHIVE_Control Tower'!$B$75</f>
        <v>3450</v>
      </c>
      <c r="J56" s="108">
        <f>'ARCHIVE_Control Tower'!$B$75</f>
        <v>3450</v>
      </c>
      <c r="K56" s="108">
        <f>'ARCHIVE_Control Tower'!$B$75</f>
        <v>3450</v>
      </c>
      <c r="L56" s="108">
        <f>'ARCHIVE_Control Tower'!$B$75</f>
        <v>3450</v>
      </c>
      <c r="M56" s="108">
        <f>'ARCHIVE_Control Tower'!$B$75</f>
        <v>3450</v>
      </c>
      <c r="N56" s="108">
        <f>'ARCHIVE_Control Tower'!$B$75</f>
        <v>3450</v>
      </c>
      <c r="O56" s="108">
        <f>'ARCHIVE_Control Tower'!$B$75</f>
        <v>3450</v>
      </c>
      <c r="P56" s="108">
        <f>'ARCHIVE_Control Tower'!$B$75</f>
        <v>3450</v>
      </c>
      <c r="Q56" s="108">
        <f>'ARCHIVE_Control Tower'!$B$75</f>
        <v>3450</v>
      </c>
      <c r="R56" s="108">
        <f>'ARCHIVE_Control Tower'!$B$75</f>
        <v>3450</v>
      </c>
      <c r="S56" s="108">
        <f>'ARCHIVE_Control Tower'!$B$75</f>
        <v>3450</v>
      </c>
      <c r="T56" s="108">
        <f>'ARCHIVE_Control Tower'!$B$75</f>
        <v>3450</v>
      </c>
      <c r="U56" s="108">
        <f>'ARCHIVE_Control Tower'!$B$75</f>
        <v>3450</v>
      </c>
      <c r="V56" s="108">
        <f>'ARCHIVE_Control Tower'!$B$75</f>
        <v>3450</v>
      </c>
      <c r="W56" s="108">
        <f>'ARCHIVE_Control Tower'!$B$75</f>
        <v>3450</v>
      </c>
      <c r="X56" s="108">
        <f>'ARCHIVE_Control Tower'!$B$75</f>
        <v>3450</v>
      </c>
      <c r="Y56" s="108">
        <f>'ARCHIVE_Control Tower'!$B$75</f>
        <v>3450</v>
      </c>
      <c r="Z56" s="108">
        <f>'ARCHIVE_Control Tower'!$B$75</f>
        <v>3450</v>
      </c>
      <c r="AA56" s="108">
        <f>'ARCHIVE_Control Tower'!$B$75</f>
        <v>3450</v>
      </c>
      <c r="AB56" s="108">
        <f>'ARCHIVE_Control Tower'!$B$75</f>
        <v>3450</v>
      </c>
      <c r="AC56" s="108">
        <f>'ARCHIVE_Control Tower'!$B$75</f>
        <v>3450</v>
      </c>
      <c r="AD56" s="108">
        <f>'ARCHIVE_Control Tower'!$B$75</f>
        <v>3450</v>
      </c>
      <c r="AE56" s="108">
        <f>'ARCHIVE_Control Tower'!$B$75</f>
        <v>3450</v>
      </c>
      <c r="AF56" s="108">
        <f>'ARCHIVE_Control Tower'!$B$75</f>
        <v>3450</v>
      </c>
      <c r="AG56" s="108">
        <f>'ARCHIVE_Control Tower'!$B$75</f>
        <v>3450</v>
      </c>
      <c r="AH56" s="108">
        <f>'ARCHIVE_Control Tower'!$B$75</f>
        <v>3450</v>
      </c>
      <c r="AI56" s="108">
        <f>'ARCHIVE_Control Tower'!$B$75</f>
        <v>3450</v>
      </c>
      <c r="AJ56" s="108">
        <f>'ARCHIVE_Control Tower'!$B$75</f>
        <v>3450</v>
      </c>
      <c r="AK56" s="108">
        <f>'ARCHIVE_Control Tower'!$B$75</f>
        <v>3450</v>
      </c>
      <c r="AL56" s="108">
        <f>'ARCHIVE_Control Tower'!$B$75</f>
        <v>3450</v>
      </c>
      <c r="AM56" s="108">
        <f>'ARCHIVE_Control Tower'!$B$75</f>
        <v>3450</v>
      </c>
      <c r="AN56" s="108">
        <f>'ARCHIVE_Control Tower'!$B$75</f>
        <v>3450</v>
      </c>
      <c r="AO56" s="108">
        <f>'ARCHIVE_Control Tower'!$B$75</f>
        <v>3450</v>
      </c>
      <c r="AP56" s="102">
        <f>IF(AO$10=0,0,AO56/AO$10)</f>
        <v>9.4037511924270547E-4</v>
      </c>
    </row>
    <row r="57" spans="1:42" x14ac:dyDescent="0.2">
      <c r="A57" s="104" t="s">
        <v>567</v>
      </c>
      <c r="B57" s="175">
        <v>65801</v>
      </c>
      <c r="C57" s="108">
        <f>'ARCHIVE_Control Tower'!$B$76</f>
        <v>3333</v>
      </c>
      <c r="D57" s="108">
        <f>'ARCHIVE_Control Tower'!$B$76</f>
        <v>3333</v>
      </c>
      <c r="E57" s="108">
        <f>'ARCHIVE_Control Tower'!$B$76</f>
        <v>3333</v>
      </c>
      <c r="F57" s="108">
        <f>'ARCHIVE_Control Tower'!$B$76</f>
        <v>3333</v>
      </c>
      <c r="G57" s="108">
        <f>'ARCHIVE_Control Tower'!$B$76</f>
        <v>3333</v>
      </c>
      <c r="H57" s="108">
        <f>'ARCHIVE_Control Tower'!$B$76</f>
        <v>3333</v>
      </c>
      <c r="I57" s="108">
        <f>'ARCHIVE_Control Tower'!$B$76</f>
        <v>3333</v>
      </c>
      <c r="J57" s="108">
        <f>'ARCHIVE_Control Tower'!$B$76</f>
        <v>3333</v>
      </c>
      <c r="K57" s="108">
        <f>'ARCHIVE_Control Tower'!$B$76</f>
        <v>3333</v>
      </c>
      <c r="L57" s="108">
        <f>'ARCHIVE_Control Tower'!$B$76</f>
        <v>3333</v>
      </c>
      <c r="M57" s="108">
        <f>'ARCHIVE_Control Tower'!$B$76</f>
        <v>3333</v>
      </c>
      <c r="N57" s="108">
        <f>'ARCHIVE_Control Tower'!$B$76</f>
        <v>3333</v>
      </c>
      <c r="O57" s="108">
        <f>'ARCHIVE_Control Tower'!$B$76</f>
        <v>3333</v>
      </c>
      <c r="P57" s="108">
        <f>'ARCHIVE_Control Tower'!$B$76</f>
        <v>3333</v>
      </c>
      <c r="Q57" s="108">
        <f>'ARCHIVE_Control Tower'!$B$76</f>
        <v>3333</v>
      </c>
      <c r="R57" s="108">
        <f>'ARCHIVE_Control Tower'!$B$76</f>
        <v>3333</v>
      </c>
      <c r="S57" s="108">
        <f>'ARCHIVE_Control Tower'!$B$76</f>
        <v>3333</v>
      </c>
      <c r="T57" s="108">
        <f>'ARCHIVE_Control Tower'!$B$76</f>
        <v>3333</v>
      </c>
      <c r="U57" s="108">
        <f>'ARCHIVE_Control Tower'!$B$76</f>
        <v>3333</v>
      </c>
      <c r="V57" s="108">
        <f>'ARCHIVE_Control Tower'!$B$76</f>
        <v>3333</v>
      </c>
      <c r="W57" s="108">
        <f>'ARCHIVE_Control Tower'!$B$76</f>
        <v>3333</v>
      </c>
      <c r="X57" s="108">
        <f>'ARCHIVE_Control Tower'!$B$76</f>
        <v>3333</v>
      </c>
      <c r="Y57" s="108">
        <f>'ARCHIVE_Control Tower'!$B$76</f>
        <v>3333</v>
      </c>
      <c r="Z57" s="108">
        <f>'ARCHIVE_Control Tower'!$B$76</f>
        <v>3333</v>
      </c>
      <c r="AA57" s="108">
        <f>'ARCHIVE_Control Tower'!$B$76</f>
        <v>3333</v>
      </c>
      <c r="AB57" s="108">
        <f>'ARCHIVE_Control Tower'!$B$76</f>
        <v>3333</v>
      </c>
      <c r="AC57" s="108">
        <f>'ARCHIVE_Control Tower'!$B$76</f>
        <v>3333</v>
      </c>
      <c r="AD57" s="108">
        <f>'ARCHIVE_Control Tower'!$B$76</f>
        <v>3333</v>
      </c>
      <c r="AE57" s="108">
        <f>'ARCHIVE_Control Tower'!$B$76</f>
        <v>3333</v>
      </c>
      <c r="AF57" s="108">
        <f>'ARCHIVE_Control Tower'!$B$76</f>
        <v>3333</v>
      </c>
      <c r="AG57" s="108">
        <f>'ARCHIVE_Control Tower'!$B$76</f>
        <v>3333</v>
      </c>
      <c r="AH57" s="108">
        <f>'ARCHIVE_Control Tower'!$B$76</f>
        <v>3333</v>
      </c>
      <c r="AI57" s="108">
        <f>'ARCHIVE_Control Tower'!$B$76</f>
        <v>3333</v>
      </c>
      <c r="AJ57" s="108">
        <f>'ARCHIVE_Control Tower'!$B$76</f>
        <v>3333</v>
      </c>
      <c r="AK57" s="108">
        <f>'ARCHIVE_Control Tower'!$B$76</f>
        <v>3333</v>
      </c>
      <c r="AL57" s="108">
        <f>'ARCHIVE_Control Tower'!$B$76</f>
        <v>3333</v>
      </c>
      <c r="AM57" s="108">
        <f>'ARCHIVE_Control Tower'!$B$76</f>
        <v>3333</v>
      </c>
      <c r="AN57" s="108">
        <f>'ARCHIVE_Control Tower'!$B$76</f>
        <v>3333</v>
      </c>
      <c r="AO57" s="108">
        <f>'ARCHIVE_Control Tower'!$B$76</f>
        <v>3333</v>
      </c>
      <c r="AP57" s="102">
        <f>IF(AO$10=0,0,AO57/AO$10)</f>
        <v>9.0848413693795293E-4</v>
      </c>
    </row>
    <row r="58" spans="1:42" x14ac:dyDescent="0.2">
      <c r="A58" s="104" t="s">
        <v>568</v>
      </c>
      <c r="B58" s="175">
        <v>65007</v>
      </c>
      <c r="C58" s="108">
        <f>'ARCHIVE_Control Tower'!$B$77</f>
        <v>2000</v>
      </c>
      <c r="D58" s="108">
        <f>'ARCHIVE_Control Tower'!$B$77</f>
        <v>2000</v>
      </c>
      <c r="E58" s="108">
        <f>'ARCHIVE_Control Tower'!$B$77</f>
        <v>2000</v>
      </c>
      <c r="F58" s="108">
        <f>'ARCHIVE_Control Tower'!$B$77</f>
        <v>2000</v>
      </c>
      <c r="G58" s="108">
        <f>'ARCHIVE_Control Tower'!$B$77</f>
        <v>2000</v>
      </c>
      <c r="H58" s="108">
        <f>'ARCHIVE_Control Tower'!$B$77</f>
        <v>2000</v>
      </c>
      <c r="I58" s="108">
        <f>'ARCHIVE_Control Tower'!$B$77</f>
        <v>2000</v>
      </c>
      <c r="J58" s="108">
        <f>'ARCHIVE_Control Tower'!$B$77</f>
        <v>2000</v>
      </c>
      <c r="K58" s="108">
        <f>'ARCHIVE_Control Tower'!$B$77</f>
        <v>2000</v>
      </c>
      <c r="L58" s="108">
        <f>'ARCHIVE_Control Tower'!$B$77</f>
        <v>2000</v>
      </c>
      <c r="M58" s="108">
        <f>'ARCHIVE_Control Tower'!$B$77</f>
        <v>2000</v>
      </c>
      <c r="N58" s="108">
        <f>'ARCHIVE_Control Tower'!$B$77</f>
        <v>2000</v>
      </c>
      <c r="O58" s="108">
        <f>'ARCHIVE_Control Tower'!$B$77</f>
        <v>2000</v>
      </c>
      <c r="P58" s="108">
        <f>'ARCHIVE_Control Tower'!$B$77</f>
        <v>2000</v>
      </c>
      <c r="Q58" s="108">
        <f>'ARCHIVE_Control Tower'!$B$77</f>
        <v>2000</v>
      </c>
      <c r="R58" s="108">
        <f>'ARCHIVE_Control Tower'!$B$77</f>
        <v>2000</v>
      </c>
      <c r="S58" s="108">
        <f>'ARCHIVE_Control Tower'!$B$77</f>
        <v>2000</v>
      </c>
      <c r="T58" s="108">
        <f>'ARCHIVE_Control Tower'!$B$77</f>
        <v>2000</v>
      </c>
      <c r="U58" s="108">
        <f>'ARCHIVE_Control Tower'!$B$77</f>
        <v>2000</v>
      </c>
      <c r="V58" s="108">
        <f>'ARCHIVE_Control Tower'!$B$77</f>
        <v>2000</v>
      </c>
      <c r="W58" s="108">
        <f>'ARCHIVE_Control Tower'!$B$77</f>
        <v>2000</v>
      </c>
      <c r="X58" s="108">
        <f>'ARCHIVE_Control Tower'!$B$77</f>
        <v>2000</v>
      </c>
      <c r="Y58" s="108">
        <f>'ARCHIVE_Control Tower'!$B$77</f>
        <v>2000</v>
      </c>
      <c r="Z58" s="108">
        <f>'ARCHIVE_Control Tower'!$B$77</f>
        <v>2000</v>
      </c>
      <c r="AA58" s="108">
        <f>'ARCHIVE_Control Tower'!$B$77</f>
        <v>2000</v>
      </c>
      <c r="AB58" s="108">
        <f>'ARCHIVE_Control Tower'!$B$77</f>
        <v>2000</v>
      </c>
      <c r="AC58" s="108">
        <f>'ARCHIVE_Control Tower'!$B$77</f>
        <v>2000</v>
      </c>
      <c r="AD58" s="108">
        <f>'ARCHIVE_Control Tower'!$B$77</f>
        <v>2000</v>
      </c>
      <c r="AE58" s="108">
        <f>'ARCHIVE_Control Tower'!$B$77</f>
        <v>2000</v>
      </c>
      <c r="AF58" s="108">
        <f>'ARCHIVE_Control Tower'!$B$77</f>
        <v>2000</v>
      </c>
      <c r="AG58" s="108">
        <f>'ARCHIVE_Control Tower'!$B$77</f>
        <v>2000</v>
      </c>
      <c r="AH58" s="108">
        <f>'ARCHIVE_Control Tower'!$B$77</f>
        <v>2000</v>
      </c>
      <c r="AI58" s="108">
        <f>'ARCHIVE_Control Tower'!$B$77</f>
        <v>2000</v>
      </c>
      <c r="AJ58" s="108">
        <f>'ARCHIVE_Control Tower'!$B$77</f>
        <v>2000</v>
      </c>
      <c r="AK58" s="108">
        <f>'ARCHIVE_Control Tower'!$B$77</f>
        <v>2000</v>
      </c>
      <c r="AL58" s="108">
        <f>'ARCHIVE_Control Tower'!$B$77</f>
        <v>2000</v>
      </c>
      <c r="AM58" s="108">
        <f>'ARCHIVE_Control Tower'!$B$77</f>
        <v>2000</v>
      </c>
      <c r="AN58" s="108">
        <f>'ARCHIVE_Control Tower'!$B$77</f>
        <v>2000</v>
      </c>
      <c r="AO58" s="108">
        <f>'ARCHIVE_Control Tower'!$B$77</f>
        <v>2000</v>
      </c>
      <c r="AP58" s="102">
        <f>IF(AO$10=0,0,AO58/AO$10)</f>
        <v>5.4514499666243792E-4</v>
      </c>
    </row>
    <row r="59" spans="1:42" x14ac:dyDescent="0.2">
      <c r="A59" s="104" t="s">
        <v>569</v>
      </c>
      <c r="B59" s="175">
        <v>65100</v>
      </c>
      <c r="C59" s="108">
        <f>'ARCHIVE_Control Tower'!$B$78</f>
        <v>1000</v>
      </c>
      <c r="D59" s="108">
        <f>'ARCHIVE_Control Tower'!$B$78</f>
        <v>1000</v>
      </c>
      <c r="E59" s="108">
        <f>'ARCHIVE_Control Tower'!$B$78</f>
        <v>1000</v>
      </c>
      <c r="F59" s="108">
        <f>'ARCHIVE_Control Tower'!$B$78</f>
        <v>1000</v>
      </c>
      <c r="G59" s="108">
        <f>'ARCHIVE_Control Tower'!$B$78</f>
        <v>1000</v>
      </c>
      <c r="H59" s="108">
        <f>'ARCHIVE_Control Tower'!$B$78</f>
        <v>1000</v>
      </c>
      <c r="I59" s="108">
        <f>'ARCHIVE_Control Tower'!$B$78</f>
        <v>1000</v>
      </c>
      <c r="J59" s="108">
        <f>'ARCHIVE_Control Tower'!$B$78</f>
        <v>1000</v>
      </c>
      <c r="K59" s="108">
        <f>'ARCHIVE_Control Tower'!$B$78</f>
        <v>1000</v>
      </c>
      <c r="L59" s="108">
        <f>'ARCHIVE_Control Tower'!$B$78</f>
        <v>1000</v>
      </c>
      <c r="M59" s="108">
        <f>'ARCHIVE_Control Tower'!$B$78</f>
        <v>1000</v>
      </c>
      <c r="N59" s="108">
        <f>'ARCHIVE_Control Tower'!$B$78</f>
        <v>1000</v>
      </c>
      <c r="O59" s="108">
        <f>'ARCHIVE_Control Tower'!$B$78</f>
        <v>1000</v>
      </c>
      <c r="P59" s="108">
        <f>'ARCHIVE_Control Tower'!$B$78</f>
        <v>1000</v>
      </c>
      <c r="Q59" s="108">
        <f>'ARCHIVE_Control Tower'!$B$78</f>
        <v>1000</v>
      </c>
      <c r="R59" s="108">
        <f>'ARCHIVE_Control Tower'!$B$78</f>
        <v>1000</v>
      </c>
      <c r="S59" s="108">
        <f>'ARCHIVE_Control Tower'!$B$78</f>
        <v>1000</v>
      </c>
      <c r="T59" s="108">
        <f>'ARCHIVE_Control Tower'!$B$78</f>
        <v>1000</v>
      </c>
      <c r="U59" s="108">
        <f>'ARCHIVE_Control Tower'!$B$78</f>
        <v>1000</v>
      </c>
      <c r="V59" s="108">
        <f>'ARCHIVE_Control Tower'!$B$78</f>
        <v>1000</v>
      </c>
      <c r="W59" s="108">
        <f>'ARCHIVE_Control Tower'!$B$78</f>
        <v>1000</v>
      </c>
      <c r="X59" s="108">
        <f>'ARCHIVE_Control Tower'!$B$78</f>
        <v>1000</v>
      </c>
      <c r="Y59" s="108">
        <f>'ARCHIVE_Control Tower'!$B$78</f>
        <v>1000</v>
      </c>
      <c r="Z59" s="108">
        <f>'ARCHIVE_Control Tower'!$B$78</f>
        <v>1000</v>
      </c>
      <c r="AA59" s="108">
        <f>'ARCHIVE_Control Tower'!$B$78</f>
        <v>1000</v>
      </c>
      <c r="AB59" s="108">
        <f>'ARCHIVE_Control Tower'!$B$78</f>
        <v>1000</v>
      </c>
      <c r="AC59" s="108">
        <f>'ARCHIVE_Control Tower'!$B$78</f>
        <v>1000</v>
      </c>
      <c r="AD59" s="108">
        <f>'ARCHIVE_Control Tower'!$B$78</f>
        <v>1000</v>
      </c>
      <c r="AE59" s="108">
        <f>'ARCHIVE_Control Tower'!$B$78</f>
        <v>1000</v>
      </c>
      <c r="AF59" s="108">
        <f>'ARCHIVE_Control Tower'!$B$78</f>
        <v>1000</v>
      </c>
      <c r="AG59" s="108">
        <f>'ARCHIVE_Control Tower'!$B$78</f>
        <v>1000</v>
      </c>
      <c r="AH59" s="108">
        <f>'ARCHIVE_Control Tower'!$B$78</f>
        <v>1000</v>
      </c>
      <c r="AI59" s="108">
        <f>'ARCHIVE_Control Tower'!$B$78</f>
        <v>1000</v>
      </c>
      <c r="AJ59" s="108">
        <f>'ARCHIVE_Control Tower'!$B$78</f>
        <v>1000</v>
      </c>
      <c r="AK59" s="108">
        <f>'ARCHIVE_Control Tower'!$B$78</f>
        <v>1000</v>
      </c>
      <c r="AL59" s="108">
        <f>'ARCHIVE_Control Tower'!$B$78</f>
        <v>1000</v>
      </c>
      <c r="AM59" s="108">
        <f>'ARCHIVE_Control Tower'!$B$78</f>
        <v>1000</v>
      </c>
      <c r="AN59" s="108">
        <f>'ARCHIVE_Control Tower'!$B$78</f>
        <v>1000</v>
      </c>
      <c r="AO59" s="108">
        <f>'ARCHIVE_Control Tower'!$B$78</f>
        <v>1000</v>
      </c>
      <c r="AP59" s="102">
        <f>IF(AO$10=0,0,AO59/AO$10)</f>
        <v>2.7257249833121896E-4</v>
      </c>
    </row>
    <row r="60" spans="1:42" x14ac:dyDescent="0.2">
      <c r="A60" s="104" t="s">
        <v>570</v>
      </c>
      <c r="B60" s="175">
        <v>65000</v>
      </c>
      <c r="C60" s="108">
        <f>'ARCHIVE_Control Tower'!$B$79</f>
        <v>750</v>
      </c>
      <c r="D60" s="108">
        <f>'ARCHIVE_Control Tower'!$B$79</f>
        <v>750</v>
      </c>
      <c r="E60" s="108">
        <f>'ARCHIVE_Control Tower'!$B$79</f>
        <v>750</v>
      </c>
      <c r="F60" s="108">
        <f>'ARCHIVE_Control Tower'!$B$79</f>
        <v>750</v>
      </c>
      <c r="G60" s="108">
        <f>'ARCHIVE_Control Tower'!$B$79</f>
        <v>750</v>
      </c>
      <c r="H60" s="108">
        <f>'ARCHIVE_Control Tower'!$B$79</f>
        <v>750</v>
      </c>
      <c r="I60" s="108">
        <f>'ARCHIVE_Control Tower'!$B$79</f>
        <v>750</v>
      </c>
      <c r="J60" s="108">
        <f>'ARCHIVE_Control Tower'!$B$79</f>
        <v>750</v>
      </c>
      <c r="K60" s="108">
        <f>'ARCHIVE_Control Tower'!$B$79</f>
        <v>750</v>
      </c>
      <c r="L60" s="108">
        <f>'ARCHIVE_Control Tower'!$B$79</f>
        <v>750</v>
      </c>
      <c r="M60" s="108">
        <f>'ARCHIVE_Control Tower'!$B$79</f>
        <v>750</v>
      </c>
      <c r="N60" s="108">
        <f>'ARCHIVE_Control Tower'!$B$79</f>
        <v>750</v>
      </c>
      <c r="O60" s="108">
        <f>'ARCHIVE_Control Tower'!$B$79</f>
        <v>750</v>
      </c>
      <c r="P60" s="108">
        <f>'ARCHIVE_Control Tower'!$B$79</f>
        <v>750</v>
      </c>
      <c r="Q60" s="108">
        <f>'ARCHIVE_Control Tower'!$B$79</f>
        <v>750</v>
      </c>
      <c r="R60" s="108">
        <f>'ARCHIVE_Control Tower'!$B$79</f>
        <v>750</v>
      </c>
      <c r="S60" s="108">
        <f>'ARCHIVE_Control Tower'!$B$79</f>
        <v>750</v>
      </c>
      <c r="T60" s="108">
        <f>'ARCHIVE_Control Tower'!$B$79</f>
        <v>750</v>
      </c>
      <c r="U60" s="108">
        <f>'ARCHIVE_Control Tower'!$B$79</f>
        <v>750</v>
      </c>
      <c r="V60" s="108">
        <f>'ARCHIVE_Control Tower'!$B$79</f>
        <v>750</v>
      </c>
      <c r="W60" s="108">
        <f>'ARCHIVE_Control Tower'!$B$79</f>
        <v>750</v>
      </c>
      <c r="X60" s="108">
        <f>'ARCHIVE_Control Tower'!$B$79</f>
        <v>750</v>
      </c>
      <c r="Y60" s="108">
        <f>'ARCHIVE_Control Tower'!$B$79</f>
        <v>750</v>
      </c>
      <c r="Z60" s="108">
        <f>'ARCHIVE_Control Tower'!$B$79</f>
        <v>750</v>
      </c>
      <c r="AA60" s="108">
        <f>'ARCHIVE_Control Tower'!$B$79</f>
        <v>750</v>
      </c>
      <c r="AB60" s="108">
        <f>'ARCHIVE_Control Tower'!$B$79</f>
        <v>750</v>
      </c>
      <c r="AC60" s="108">
        <f>'ARCHIVE_Control Tower'!$B$79</f>
        <v>750</v>
      </c>
      <c r="AD60" s="108">
        <f>'ARCHIVE_Control Tower'!$B$79</f>
        <v>750</v>
      </c>
      <c r="AE60" s="108">
        <f>'ARCHIVE_Control Tower'!$B$79</f>
        <v>750</v>
      </c>
      <c r="AF60" s="108">
        <f>'ARCHIVE_Control Tower'!$B$79</f>
        <v>750</v>
      </c>
      <c r="AG60" s="108">
        <f>'ARCHIVE_Control Tower'!$B$79</f>
        <v>750</v>
      </c>
      <c r="AH60" s="108">
        <f>'ARCHIVE_Control Tower'!$B$79</f>
        <v>750</v>
      </c>
      <c r="AI60" s="108">
        <f>'ARCHIVE_Control Tower'!$B$79</f>
        <v>750</v>
      </c>
      <c r="AJ60" s="108">
        <f>'ARCHIVE_Control Tower'!$B$79</f>
        <v>750</v>
      </c>
      <c r="AK60" s="108">
        <f>'ARCHIVE_Control Tower'!$B$79</f>
        <v>750</v>
      </c>
      <c r="AL60" s="108">
        <f>'ARCHIVE_Control Tower'!$B$79</f>
        <v>750</v>
      </c>
      <c r="AM60" s="108">
        <f>'ARCHIVE_Control Tower'!$B$79</f>
        <v>750</v>
      </c>
      <c r="AN60" s="108">
        <f>'ARCHIVE_Control Tower'!$B$79</f>
        <v>750</v>
      </c>
      <c r="AO60" s="108">
        <f>'ARCHIVE_Control Tower'!$B$79</f>
        <v>750</v>
      </c>
      <c r="AP60" s="102">
        <f>IF(AO$10=0,0,AO60/AO$10)</f>
        <v>2.0442937374841425E-4</v>
      </c>
    </row>
    <row r="61" spans="1:42" x14ac:dyDescent="0.2">
      <c r="A61" s="104" t="s">
        <v>571</v>
      </c>
      <c r="B61" s="175">
        <v>65006</v>
      </c>
      <c r="C61" s="108">
        <f>MAX('ARCHIVE_Control Tower'!$B$74,'ARCHIVE_Control Tower'!$B$73*'ARCHIVE_Revenue Model'!C18)</f>
        <v>1125</v>
      </c>
      <c r="D61" s="108">
        <f>MAX('ARCHIVE_Control Tower'!$B$74,'ARCHIVE_Control Tower'!$B$73*'ARCHIVE_Revenue Model'!D18)</f>
        <v>1275</v>
      </c>
      <c r="E61" s="108">
        <f>MAX('ARCHIVE_Control Tower'!$B$74,'ARCHIVE_Control Tower'!$B$73*'ARCHIVE_Revenue Model'!E18)</f>
        <v>1350</v>
      </c>
      <c r="F61" s="108">
        <f>MAX('ARCHIVE_Control Tower'!$B$74,'ARCHIVE_Control Tower'!$B$73*'ARCHIVE_Revenue Model'!F18)</f>
        <v>1500</v>
      </c>
      <c r="G61" s="108">
        <f>MAX('ARCHIVE_Control Tower'!$B$74,'ARCHIVE_Control Tower'!$B$73*'ARCHIVE_Revenue Model'!G18)</f>
        <v>1650</v>
      </c>
      <c r="H61" s="108">
        <f>MAX('ARCHIVE_Control Tower'!$B$74,'ARCHIVE_Control Tower'!$B$73*'ARCHIVE_Revenue Model'!H18)</f>
        <v>1725</v>
      </c>
      <c r="I61" s="108">
        <f>MAX('ARCHIVE_Control Tower'!$B$74,'ARCHIVE_Control Tower'!$B$73*'ARCHIVE_Revenue Model'!I18)</f>
        <v>1875</v>
      </c>
      <c r="J61" s="108">
        <f>MAX('ARCHIVE_Control Tower'!$B$74,'ARCHIVE_Control Tower'!$B$73*'ARCHIVE_Revenue Model'!J18)</f>
        <v>1950</v>
      </c>
      <c r="K61" s="108">
        <f>MAX('ARCHIVE_Control Tower'!$B$74,'ARCHIVE_Control Tower'!$B$73*'ARCHIVE_Revenue Model'!K18)</f>
        <v>2100</v>
      </c>
      <c r="L61" s="108">
        <f>MAX('ARCHIVE_Control Tower'!$B$74,'ARCHIVE_Control Tower'!$B$73*'ARCHIVE_Revenue Model'!L18)</f>
        <v>2250</v>
      </c>
      <c r="M61" s="108">
        <f>MAX('ARCHIVE_Control Tower'!$B$74,'ARCHIVE_Control Tower'!$B$73*'ARCHIVE_Revenue Model'!M18)</f>
        <v>2325</v>
      </c>
      <c r="N61" s="108">
        <f>MAX('ARCHIVE_Control Tower'!$B$74,'ARCHIVE_Control Tower'!$B$73*'ARCHIVE_Revenue Model'!N18)</f>
        <v>2475</v>
      </c>
      <c r="O61" s="108">
        <f>MAX('ARCHIVE_Control Tower'!$B$74,'ARCHIVE_Control Tower'!$B$73*'ARCHIVE_Revenue Model'!O18)</f>
        <v>2550</v>
      </c>
      <c r="P61" s="108">
        <f>MAX('ARCHIVE_Control Tower'!$B$74,'ARCHIVE_Control Tower'!$B$73*'ARCHIVE_Revenue Model'!P18)</f>
        <v>2700</v>
      </c>
      <c r="Q61" s="108">
        <f>MAX('ARCHIVE_Control Tower'!$B$74,'ARCHIVE_Control Tower'!$B$73*'ARCHIVE_Revenue Model'!Q18)</f>
        <v>2775</v>
      </c>
      <c r="R61" s="108">
        <f>MAX('ARCHIVE_Control Tower'!$B$74,'ARCHIVE_Control Tower'!$B$73*'ARCHIVE_Revenue Model'!R18)</f>
        <v>2925</v>
      </c>
      <c r="S61" s="108">
        <f>MAX('ARCHIVE_Control Tower'!$B$74,'ARCHIVE_Control Tower'!$B$73*'ARCHIVE_Revenue Model'!S18)</f>
        <v>3000</v>
      </c>
      <c r="T61" s="108">
        <f>MAX('ARCHIVE_Control Tower'!$B$74,'ARCHIVE_Control Tower'!$B$73*'ARCHIVE_Revenue Model'!T18)</f>
        <v>3150</v>
      </c>
      <c r="U61" s="108">
        <f>MAX('ARCHIVE_Control Tower'!$B$74,'ARCHIVE_Control Tower'!$B$73*'ARCHIVE_Revenue Model'!U18)</f>
        <v>3225</v>
      </c>
      <c r="V61" s="108">
        <f>MAX('ARCHIVE_Control Tower'!$B$74,'ARCHIVE_Control Tower'!$B$73*'ARCHIVE_Revenue Model'!V18)</f>
        <v>3300</v>
      </c>
      <c r="W61" s="108">
        <f>MAX('ARCHIVE_Control Tower'!$B$74,'ARCHIVE_Control Tower'!$B$73*'ARCHIVE_Revenue Model'!W18)</f>
        <v>3450</v>
      </c>
      <c r="X61" s="108">
        <f>MAX('ARCHIVE_Control Tower'!$B$74,'ARCHIVE_Control Tower'!$B$73*'ARCHIVE_Revenue Model'!X18)</f>
        <v>3525</v>
      </c>
      <c r="Y61" s="108">
        <f>MAX('ARCHIVE_Control Tower'!$B$74,'ARCHIVE_Control Tower'!$B$73*'ARCHIVE_Revenue Model'!Y18)</f>
        <v>3675</v>
      </c>
      <c r="Z61" s="108">
        <f>MAX('ARCHIVE_Control Tower'!$B$74,'ARCHIVE_Control Tower'!$B$73*'ARCHIVE_Revenue Model'!Z18)</f>
        <v>3750</v>
      </c>
      <c r="AA61" s="108">
        <f>MAX('ARCHIVE_Control Tower'!$B$74,'ARCHIVE_Control Tower'!$B$73*'ARCHIVE_Revenue Model'!AA18)</f>
        <v>3825</v>
      </c>
      <c r="AB61" s="108">
        <f>MAX('ARCHIVE_Control Tower'!$B$74,'ARCHIVE_Control Tower'!$B$73*'ARCHIVE_Revenue Model'!AB18)</f>
        <v>3900</v>
      </c>
      <c r="AC61" s="108">
        <f>MAX('ARCHIVE_Control Tower'!$B$74,'ARCHIVE_Control Tower'!$B$73*'ARCHIVE_Revenue Model'!AC18)</f>
        <v>3900</v>
      </c>
      <c r="AD61" s="108">
        <f>MAX('ARCHIVE_Control Tower'!$B$74,'ARCHIVE_Control Tower'!$B$73*'ARCHIVE_Revenue Model'!AD18)</f>
        <v>3975</v>
      </c>
      <c r="AE61" s="108">
        <f>MAX('ARCHIVE_Control Tower'!$B$74,'ARCHIVE_Control Tower'!$B$73*'ARCHIVE_Revenue Model'!AE18)</f>
        <v>4050</v>
      </c>
      <c r="AF61" s="108">
        <f>MAX('ARCHIVE_Control Tower'!$B$74,'ARCHIVE_Control Tower'!$B$73*'ARCHIVE_Revenue Model'!AF18)</f>
        <v>4125</v>
      </c>
      <c r="AG61" s="108">
        <f>MAX('ARCHIVE_Control Tower'!$B$74,'ARCHIVE_Control Tower'!$B$73*'ARCHIVE_Revenue Model'!AG18)</f>
        <v>4200</v>
      </c>
      <c r="AH61" s="108">
        <f>MAX('ARCHIVE_Control Tower'!$B$74,'ARCHIVE_Control Tower'!$B$73*'ARCHIVE_Revenue Model'!AH18)</f>
        <v>4275</v>
      </c>
      <c r="AI61" s="108">
        <f>MAX('ARCHIVE_Control Tower'!$B$74,'ARCHIVE_Control Tower'!$B$73*'ARCHIVE_Revenue Model'!AI18)</f>
        <v>4350</v>
      </c>
      <c r="AJ61" s="108">
        <f>MAX('ARCHIVE_Control Tower'!$B$74,'ARCHIVE_Control Tower'!$B$73*'ARCHIVE_Revenue Model'!AJ18)</f>
        <v>4350</v>
      </c>
      <c r="AK61" s="108">
        <f>MAX('ARCHIVE_Control Tower'!$B$74,'ARCHIVE_Control Tower'!$B$73*'ARCHIVE_Revenue Model'!AK18)</f>
        <v>4425</v>
      </c>
      <c r="AL61" s="108">
        <f>MAX('ARCHIVE_Control Tower'!$B$74,'ARCHIVE_Control Tower'!$B$73*'ARCHIVE_Revenue Model'!AL18)</f>
        <v>4500</v>
      </c>
      <c r="AM61" s="108">
        <f>MAX('ARCHIVE_Control Tower'!$B$74,'ARCHIVE_Control Tower'!$B$73*'ARCHIVE_Revenue Model'!AM18)</f>
        <v>1000</v>
      </c>
      <c r="AN61" s="108">
        <f>MAX('ARCHIVE_Control Tower'!$B$74,'ARCHIVE_Control Tower'!$B$73*'ARCHIVE_Revenue Model'!AN18)</f>
        <v>1000</v>
      </c>
      <c r="AO61" s="108">
        <f>MAX('ARCHIVE_Control Tower'!$B$74,'ARCHIVE_Control Tower'!$B$73*'ARCHIVE_Revenue Model'!AO18)</f>
        <v>1000</v>
      </c>
      <c r="AP61" s="102">
        <f>IF(AO$10=0,0,AO61/AO$10)</f>
        <v>2.7257249833121896E-4</v>
      </c>
    </row>
    <row r="62" spans="1:42" x14ac:dyDescent="0.2">
      <c r="A62" s="104" t="s">
        <v>572</v>
      </c>
      <c r="B62" s="175">
        <v>68001</v>
      </c>
      <c r="C62" s="108">
        <f>'ARCHIVE_Control Tower'!$B$80</f>
        <v>1200</v>
      </c>
      <c r="D62" s="108">
        <f>'ARCHIVE_Control Tower'!$B$80</f>
        <v>1200</v>
      </c>
      <c r="E62" s="108">
        <f>'ARCHIVE_Control Tower'!$B$80</f>
        <v>1200</v>
      </c>
      <c r="F62" s="108">
        <f>'ARCHIVE_Control Tower'!$B$80</f>
        <v>1200</v>
      </c>
      <c r="G62" s="108">
        <f>'ARCHIVE_Control Tower'!$B$80</f>
        <v>1200</v>
      </c>
      <c r="H62" s="108">
        <f>'ARCHIVE_Control Tower'!$B$80</f>
        <v>1200</v>
      </c>
      <c r="I62" s="108">
        <f>'ARCHIVE_Control Tower'!$B$80</f>
        <v>1200</v>
      </c>
      <c r="J62" s="108">
        <f>'ARCHIVE_Control Tower'!$B$80</f>
        <v>1200</v>
      </c>
      <c r="K62" s="108">
        <f>'ARCHIVE_Control Tower'!$B$80</f>
        <v>1200</v>
      </c>
      <c r="L62" s="108">
        <f>'ARCHIVE_Control Tower'!$B$80</f>
        <v>1200</v>
      </c>
      <c r="M62" s="108">
        <f>'ARCHIVE_Control Tower'!$B$80</f>
        <v>1200</v>
      </c>
      <c r="N62" s="108">
        <f>'ARCHIVE_Control Tower'!$B$80</f>
        <v>1200</v>
      </c>
      <c r="O62" s="108">
        <f>'ARCHIVE_Control Tower'!$B$80</f>
        <v>1200</v>
      </c>
      <c r="P62" s="108">
        <f>'ARCHIVE_Control Tower'!$B$80</f>
        <v>1200</v>
      </c>
      <c r="Q62" s="108">
        <f>'ARCHIVE_Control Tower'!$B$80</f>
        <v>1200</v>
      </c>
      <c r="R62" s="108">
        <f>'ARCHIVE_Control Tower'!$B$80</f>
        <v>1200</v>
      </c>
      <c r="S62" s="108">
        <f>'ARCHIVE_Control Tower'!$B$80</f>
        <v>1200</v>
      </c>
      <c r="T62" s="108">
        <f>'ARCHIVE_Control Tower'!$B$80</f>
        <v>1200</v>
      </c>
      <c r="U62" s="108">
        <f>'ARCHIVE_Control Tower'!$B$80</f>
        <v>1200</v>
      </c>
      <c r="V62" s="108">
        <f>'ARCHIVE_Control Tower'!$B$80</f>
        <v>1200</v>
      </c>
      <c r="W62" s="108">
        <f>'ARCHIVE_Control Tower'!$B$80</f>
        <v>1200</v>
      </c>
      <c r="X62" s="108">
        <f>'ARCHIVE_Control Tower'!$B$80</f>
        <v>1200</v>
      </c>
      <c r="Y62" s="108">
        <f>'ARCHIVE_Control Tower'!$B$80</f>
        <v>1200</v>
      </c>
      <c r="Z62" s="108">
        <f>'ARCHIVE_Control Tower'!$B$80</f>
        <v>1200</v>
      </c>
      <c r="AA62" s="108">
        <f>'ARCHIVE_Control Tower'!$B$80</f>
        <v>1200</v>
      </c>
      <c r="AB62" s="108">
        <f>'ARCHIVE_Control Tower'!$B$80</f>
        <v>1200</v>
      </c>
      <c r="AC62" s="108">
        <f>'ARCHIVE_Control Tower'!$B$80</f>
        <v>1200</v>
      </c>
      <c r="AD62" s="108">
        <f>'ARCHIVE_Control Tower'!$B$80</f>
        <v>1200</v>
      </c>
      <c r="AE62" s="108">
        <f>'ARCHIVE_Control Tower'!$B$80</f>
        <v>1200</v>
      </c>
      <c r="AF62" s="108">
        <f>'ARCHIVE_Control Tower'!$B$80</f>
        <v>1200</v>
      </c>
      <c r="AG62" s="108">
        <f>'ARCHIVE_Control Tower'!$B$80</f>
        <v>1200</v>
      </c>
      <c r="AH62" s="108">
        <f>'ARCHIVE_Control Tower'!$B$80</f>
        <v>1200</v>
      </c>
      <c r="AI62" s="108">
        <f>'ARCHIVE_Control Tower'!$B$80</f>
        <v>1200</v>
      </c>
      <c r="AJ62" s="108">
        <f>'ARCHIVE_Control Tower'!$B$80</f>
        <v>1200</v>
      </c>
      <c r="AK62" s="108">
        <f>'ARCHIVE_Control Tower'!$B$80</f>
        <v>1200</v>
      </c>
      <c r="AL62" s="108">
        <f>'ARCHIVE_Control Tower'!$B$80</f>
        <v>1200</v>
      </c>
      <c r="AM62" s="108">
        <f>'ARCHIVE_Control Tower'!$B$80</f>
        <v>1200</v>
      </c>
      <c r="AN62" s="108">
        <f>'ARCHIVE_Control Tower'!$B$80</f>
        <v>1200</v>
      </c>
      <c r="AO62" s="108">
        <f>'ARCHIVE_Control Tower'!$B$80</f>
        <v>1200</v>
      </c>
      <c r="AP62" s="102">
        <f>IF(AO$10=0,0,AO62/AO$10)</f>
        <v>3.2708699799746281E-4</v>
      </c>
    </row>
    <row r="63" spans="1:42" x14ac:dyDescent="0.2">
      <c r="A63" s="104" t="s">
        <v>573</v>
      </c>
      <c r="B63" s="175">
        <v>68050</v>
      </c>
      <c r="C63" s="108">
        <f>'ARCHIVE_Control Tower'!$B$81</f>
        <v>800</v>
      </c>
      <c r="D63" s="108">
        <f>'ARCHIVE_Control Tower'!$B$81</f>
        <v>800</v>
      </c>
      <c r="E63" s="108">
        <f>'ARCHIVE_Control Tower'!$B$81</f>
        <v>800</v>
      </c>
      <c r="F63" s="108">
        <f>'ARCHIVE_Control Tower'!$B$81</f>
        <v>800</v>
      </c>
      <c r="G63" s="108">
        <f>'ARCHIVE_Control Tower'!$B$81</f>
        <v>800</v>
      </c>
      <c r="H63" s="108">
        <f>'ARCHIVE_Control Tower'!$B$81</f>
        <v>800</v>
      </c>
      <c r="I63" s="108">
        <f>'ARCHIVE_Control Tower'!$B$81</f>
        <v>800</v>
      </c>
      <c r="J63" s="108">
        <f>'ARCHIVE_Control Tower'!$B$81</f>
        <v>800</v>
      </c>
      <c r="K63" s="108">
        <f>'ARCHIVE_Control Tower'!$B$81</f>
        <v>800</v>
      </c>
      <c r="L63" s="108">
        <f>'ARCHIVE_Control Tower'!$B$81</f>
        <v>800</v>
      </c>
      <c r="M63" s="108">
        <f>'ARCHIVE_Control Tower'!$B$81</f>
        <v>800</v>
      </c>
      <c r="N63" s="108">
        <f>'ARCHIVE_Control Tower'!$B$81</f>
        <v>800</v>
      </c>
      <c r="O63" s="108">
        <f>'ARCHIVE_Control Tower'!$B$81</f>
        <v>800</v>
      </c>
      <c r="P63" s="108">
        <f>'ARCHIVE_Control Tower'!$B$81</f>
        <v>800</v>
      </c>
      <c r="Q63" s="108">
        <f>'ARCHIVE_Control Tower'!$B$81</f>
        <v>800</v>
      </c>
      <c r="R63" s="108">
        <f>'ARCHIVE_Control Tower'!$B$81</f>
        <v>800</v>
      </c>
      <c r="S63" s="108">
        <f>'ARCHIVE_Control Tower'!$B$81</f>
        <v>800</v>
      </c>
      <c r="T63" s="108">
        <f>'ARCHIVE_Control Tower'!$B$81</f>
        <v>800</v>
      </c>
      <c r="U63" s="108">
        <f>'ARCHIVE_Control Tower'!$B$81</f>
        <v>800</v>
      </c>
      <c r="V63" s="108">
        <f>'ARCHIVE_Control Tower'!$B$81</f>
        <v>800</v>
      </c>
      <c r="W63" s="108">
        <f>'ARCHIVE_Control Tower'!$B$81</f>
        <v>800</v>
      </c>
      <c r="X63" s="108">
        <f>'ARCHIVE_Control Tower'!$B$81</f>
        <v>800</v>
      </c>
      <c r="Y63" s="108">
        <f>'ARCHIVE_Control Tower'!$B$81</f>
        <v>800</v>
      </c>
      <c r="Z63" s="108">
        <f>'ARCHIVE_Control Tower'!$B$81</f>
        <v>800</v>
      </c>
      <c r="AA63" s="108">
        <f>'ARCHIVE_Control Tower'!$B$81</f>
        <v>800</v>
      </c>
      <c r="AB63" s="108">
        <f>'ARCHIVE_Control Tower'!$B$81</f>
        <v>800</v>
      </c>
      <c r="AC63" s="108">
        <f>'ARCHIVE_Control Tower'!$B$81</f>
        <v>800</v>
      </c>
      <c r="AD63" s="108">
        <f>'ARCHIVE_Control Tower'!$B$81</f>
        <v>800</v>
      </c>
      <c r="AE63" s="108">
        <f>'ARCHIVE_Control Tower'!$B$81</f>
        <v>800</v>
      </c>
      <c r="AF63" s="108">
        <f>'ARCHIVE_Control Tower'!$B$81</f>
        <v>800</v>
      </c>
      <c r="AG63" s="108">
        <f>'ARCHIVE_Control Tower'!$B$81</f>
        <v>800</v>
      </c>
      <c r="AH63" s="108">
        <f>'ARCHIVE_Control Tower'!$B$81</f>
        <v>800</v>
      </c>
      <c r="AI63" s="108">
        <f>'ARCHIVE_Control Tower'!$B$81</f>
        <v>800</v>
      </c>
      <c r="AJ63" s="108">
        <f>'ARCHIVE_Control Tower'!$B$81</f>
        <v>800</v>
      </c>
      <c r="AK63" s="108">
        <f>'ARCHIVE_Control Tower'!$B$81</f>
        <v>800</v>
      </c>
      <c r="AL63" s="108">
        <f>'ARCHIVE_Control Tower'!$B$81</f>
        <v>800</v>
      </c>
      <c r="AM63" s="108">
        <f>'ARCHIVE_Control Tower'!$B$81</f>
        <v>800</v>
      </c>
      <c r="AN63" s="108">
        <f>'ARCHIVE_Control Tower'!$B$81</f>
        <v>800</v>
      </c>
      <c r="AO63" s="108">
        <f>'ARCHIVE_Control Tower'!$B$81</f>
        <v>800</v>
      </c>
      <c r="AP63" s="102">
        <f>IF(AO$10=0,0,AO63/AO$10)</f>
        <v>2.180579986649752E-4</v>
      </c>
    </row>
    <row r="64" spans="1:42" x14ac:dyDescent="0.2">
      <c r="A64" s="104" t="s">
        <v>574</v>
      </c>
      <c r="B64" s="175">
        <v>66500</v>
      </c>
      <c r="C64" s="108">
        <f>'ARCHIVE_Control Tower'!$B$82</f>
        <v>500</v>
      </c>
      <c r="D64" s="108">
        <f>'ARCHIVE_Control Tower'!$B$82</f>
        <v>500</v>
      </c>
      <c r="E64" s="108">
        <f>'ARCHIVE_Control Tower'!$B$82</f>
        <v>500</v>
      </c>
      <c r="F64" s="108">
        <f>'ARCHIVE_Control Tower'!$B$82</f>
        <v>500</v>
      </c>
      <c r="G64" s="108">
        <f>'ARCHIVE_Control Tower'!$B$82</f>
        <v>500</v>
      </c>
      <c r="H64" s="108">
        <f>'ARCHIVE_Control Tower'!$B$82</f>
        <v>500</v>
      </c>
      <c r="I64" s="108">
        <f>'ARCHIVE_Control Tower'!$B$82</f>
        <v>500</v>
      </c>
      <c r="J64" s="108">
        <f>'ARCHIVE_Control Tower'!$B$82</f>
        <v>500</v>
      </c>
      <c r="K64" s="108">
        <f>'ARCHIVE_Control Tower'!$B$82</f>
        <v>500</v>
      </c>
      <c r="L64" s="108">
        <f>'ARCHIVE_Control Tower'!$B$82</f>
        <v>500</v>
      </c>
      <c r="M64" s="108">
        <f>'ARCHIVE_Control Tower'!$B$82</f>
        <v>500</v>
      </c>
      <c r="N64" s="108">
        <f>'ARCHIVE_Control Tower'!$B$82</f>
        <v>500</v>
      </c>
      <c r="O64" s="108">
        <f>'ARCHIVE_Control Tower'!$B$82</f>
        <v>500</v>
      </c>
      <c r="P64" s="108">
        <f>'ARCHIVE_Control Tower'!$B$82</f>
        <v>500</v>
      </c>
      <c r="Q64" s="108">
        <f>'ARCHIVE_Control Tower'!$B$82</f>
        <v>500</v>
      </c>
      <c r="R64" s="108">
        <f>'ARCHIVE_Control Tower'!$B$82</f>
        <v>500</v>
      </c>
      <c r="S64" s="108">
        <f>'ARCHIVE_Control Tower'!$B$82</f>
        <v>500</v>
      </c>
      <c r="T64" s="108">
        <f>'ARCHIVE_Control Tower'!$B$82</f>
        <v>500</v>
      </c>
      <c r="U64" s="108">
        <f>'ARCHIVE_Control Tower'!$B$82</f>
        <v>500</v>
      </c>
      <c r="V64" s="108">
        <f>'ARCHIVE_Control Tower'!$B$82</f>
        <v>500</v>
      </c>
      <c r="W64" s="108">
        <f>'ARCHIVE_Control Tower'!$B$82</f>
        <v>500</v>
      </c>
      <c r="X64" s="108">
        <f>'ARCHIVE_Control Tower'!$B$82</f>
        <v>500</v>
      </c>
      <c r="Y64" s="108">
        <f>'ARCHIVE_Control Tower'!$B$82</f>
        <v>500</v>
      </c>
      <c r="Z64" s="108">
        <f>'ARCHIVE_Control Tower'!$B$82</f>
        <v>500</v>
      </c>
      <c r="AA64" s="108">
        <f>'ARCHIVE_Control Tower'!$B$82</f>
        <v>500</v>
      </c>
      <c r="AB64" s="108">
        <f>'ARCHIVE_Control Tower'!$B$82</f>
        <v>500</v>
      </c>
      <c r="AC64" s="108">
        <f>'ARCHIVE_Control Tower'!$B$82</f>
        <v>500</v>
      </c>
      <c r="AD64" s="108">
        <f>'ARCHIVE_Control Tower'!$B$82</f>
        <v>500</v>
      </c>
      <c r="AE64" s="108">
        <f>'ARCHIVE_Control Tower'!$B$82</f>
        <v>500</v>
      </c>
      <c r="AF64" s="108">
        <f>'ARCHIVE_Control Tower'!$B$82</f>
        <v>500</v>
      </c>
      <c r="AG64" s="108">
        <f>'ARCHIVE_Control Tower'!$B$82</f>
        <v>500</v>
      </c>
      <c r="AH64" s="108">
        <f>'ARCHIVE_Control Tower'!$B$82</f>
        <v>500</v>
      </c>
      <c r="AI64" s="108">
        <f>'ARCHIVE_Control Tower'!$B$82</f>
        <v>500</v>
      </c>
      <c r="AJ64" s="108">
        <f>'ARCHIVE_Control Tower'!$B$82</f>
        <v>500</v>
      </c>
      <c r="AK64" s="108">
        <f>'ARCHIVE_Control Tower'!$B$82</f>
        <v>500</v>
      </c>
      <c r="AL64" s="108">
        <f>'ARCHIVE_Control Tower'!$B$82</f>
        <v>500</v>
      </c>
      <c r="AM64" s="108">
        <f>'ARCHIVE_Control Tower'!$B$82</f>
        <v>500</v>
      </c>
      <c r="AN64" s="108">
        <f>'ARCHIVE_Control Tower'!$B$82</f>
        <v>500</v>
      </c>
      <c r="AO64" s="108">
        <f>'ARCHIVE_Control Tower'!$B$82</f>
        <v>500</v>
      </c>
      <c r="AP64" s="102">
        <f>IF(AO$10=0,0,AO64/AO$10)</f>
        <v>1.3628624916560948E-4</v>
      </c>
    </row>
    <row r="65" spans="1:42" x14ac:dyDescent="0.2">
      <c r="A65" s="104" t="s">
        <v>575</v>
      </c>
      <c r="B65" s="175">
        <v>61500</v>
      </c>
      <c r="C65" s="108">
        <f>'ARCHIVE_Control Tower'!$B$83</f>
        <v>600</v>
      </c>
      <c r="D65" s="108">
        <f>'ARCHIVE_Control Tower'!$B$83</f>
        <v>600</v>
      </c>
      <c r="E65" s="108">
        <f>'ARCHIVE_Control Tower'!$B$83</f>
        <v>600</v>
      </c>
      <c r="F65" s="108">
        <f>'ARCHIVE_Control Tower'!$B$83</f>
        <v>600</v>
      </c>
      <c r="G65" s="108">
        <f>'ARCHIVE_Control Tower'!$B$83</f>
        <v>600</v>
      </c>
      <c r="H65" s="108">
        <f>'ARCHIVE_Control Tower'!$B$83</f>
        <v>600</v>
      </c>
      <c r="I65" s="108">
        <f>'ARCHIVE_Control Tower'!$B$83</f>
        <v>600</v>
      </c>
      <c r="J65" s="108">
        <f>'ARCHIVE_Control Tower'!$B$83</f>
        <v>600</v>
      </c>
      <c r="K65" s="108">
        <f>'ARCHIVE_Control Tower'!$B$83</f>
        <v>600</v>
      </c>
      <c r="L65" s="108">
        <f>'ARCHIVE_Control Tower'!$B$83</f>
        <v>600</v>
      </c>
      <c r="M65" s="108">
        <f>'ARCHIVE_Control Tower'!$B$83</f>
        <v>600</v>
      </c>
      <c r="N65" s="108">
        <f>'ARCHIVE_Control Tower'!$B$83</f>
        <v>600</v>
      </c>
      <c r="O65" s="108">
        <f>'ARCHIVE_Control Tower'!$B$83</f>
        <v>600</v>
      </c>
      <c r="P65" s="108">
        <f>'ARCHIVE_Control Tower'!$B$83</f>
        <v>600</v>
      </c>
      <c r="Q65" s="108">
        <f>'ARCHIVE_Control Tower'!$B$83</f>
        <v>600</v>
      </c>
      <c r="R65" s="108">
        <f>'ARCHIVE_Control Tower'!$B$83</f>
        <v>600</v>
      </c>
      <c r="S65" s="108">
        <f>'ARCHIVE_Control Tower'!$B$83</f>
        <v>600</v>
      </c>
      <c r="T65" s="108">
        <f>'ARCHIVE_Control Tower'!$B$83</f>
        <v>600</v>
      </c>
      <c r="U65" s="108">
        <f>'ARCHIVE_Control Tower'!$B$83</f>
        <v>600</v>
      </c>
      <c r="V65" s="108">
        <f>'ARCHIVE_Control Tower'!$B$83</f>
        <v>600</v>
      </c>
      <c r="W65" s="108">
        <f>'ARCHIVE_Control Tower'!$B$83</f>
        <v>600</v>
      </c>
      <c r="X65" s="108">
        <f>'ARCHIVE_Control Tower'!$B$83</f>
        <v>600</v>
      </c>
      <c r="Y65" s="108">
        <f>'ARCHIVE_Control Tower'!$B$83</f>
        <v>600</v>
      </c>
      <c r="Z65" s="108">
        <f>'ARCHIVE_Control Tower'!$B$83</f>
        <v>600</v>
      </c>
      <c r="AA65" s="108">
        <f>'ARCHIVE_Control Tower'!$B$83</f>
        <v>600</v>
      </c>
      <c r="AB65" s="108">
        <f>'ARCHIVE_Control Tower'!$B$83</f>
        <v>600</v>
      </c>
      <c r="AC65" s="108">
        <f>'ARCHIVE_Control Tower'!$B$83</f>
        <v>600</v>
      </c>
      <c r="AD65" s="108">
        <f>'ARCHIVE_Control Tower'!$B$83</f>
        <v>600</v>
      </c>
      <c r="AE65" s="108">
        <f>'ARCHIVE_Control Tower'!$B$83</f>
        <v>600</v>
      </c>
      <c r="AF65" s="108">
        <f>'ARCHIVE_Control Tower'!$B$83</f>
        <v>600</v>
      </c>
      <c r="AG65" s="108">
        <f>'ARCHIVE_Control Tower'!$B$83</f>
        <v>600</v>
      </c>
      <c r="AH65" s="108">
        <f>'ARCHIVE_Control Tower'!$B$83</f>
        <v>600</v>
      </c>
      <c r="AI65" s="108">
        <f>'ARCHIVE_Control Tower'!$B$83</f>
        <v>600</v>
      </c>
      <c r="AJ65" s="108">
        <f>'ARCHIVE_Control Tower'!$B$83</f>
        <v>600</v>
      </c>
      <c r="AK65" s="108">
        <f>'ARCHIVE_Control Tower'!$B$83</f>
        <v>600</v>
      </c>
      <c r="AL65" s="108">
        <f>'ARCHIVE_Control Tower'!$B$83</f>
        <v>600</v>
      </c>
      <c r="AM65" s="108">
        <f>'ARCHIVE_Control Tower'!$B$83</f>
        <v>600</v>
      </c>
      <c r="AN65" s="108">
        <f>'ARCHIVE_Control Tower'!$B$83</f>
        <v>600</v>
      </c>
      <c r="AO65" s="108">
        <f>'ARCHIVE_Control Tower'!$B$83</f>
        <v>600</v>
      </c>
      <c r="AP65" s="102">
        <f>IF(AO$10=0,0,AO65/AO$10)</f>
        <v>1.635434989987314E-4</v>
      </c>
    </row>
    <row r="66" spans="1:42" x14ac:dyDescent="0.2">
      <c r="A66" s="104" t="s">
        <v>576</v>
      </c>
      <c r="B66" s="175">
        <v>61500</v>
      </c>
      <c r="C66" s="108">
        <f>'ARCHIVE_Control Tower'!$B$84</f>
        <v>600</v>
      </c>
      <c r="D66" s="108">
        <f>'ARCHIVE_Control Tower'!$B$84</f>
        <v>600</v>
      </c>
      <c r="E66" s="108">
        <f>'ARCHIVE_Control Tower'!$B$84</f>
        <v>600</v>
      </c>
      <c r="F66" s="108">
        <f>'ARCHIVE_Control Tower'!$B$84</f>
        <v>600</v>
      </c>
      <c r="G66" s="108">
        <f>'ARCHIVE_Control Tower'!$B$84</f>
        <v>600</v>
      </c>
      <c r="H66" s="108">
        <f>'ARCHIVE_Control Tower'!$B$84</f>
        <v>600</v>
      </c>
      <c r="I66" s="108">
        <f>'ARCHIVE_Control Tower'!$B$84</f>
        <v>600</v>
      </c>
      <c r="J66" s="108">
        <f>'ARCHIVE_Control Tower'!$B$84</f>
        <v>600</v>
      </c>
      <c r="K66" s="108">
        <f>'ARCHIVE_Control Tower'!$B$84</f>
        <v>600</v>
      </c>
      <c r="L66" s="108">
        <f>'ARCHIVE_Control Tower'!$B$84</f>
        <v>600</v>
      </c>
      <c r="M66" s="108">
        <f>'ARCHIVE_Control Tower'!$B$84</f>
        <v>600</v>
      </c>
      <c r="N66" s="108">
        <f>'ARCHIVE_Control Tower'!$B$84</f>
        <v>600</v>
      </c>
      <c r="O66" s="108">
        <f>'ARCHIVE_Control Tower'!$B$84</f>
        <v>600</v>
      </c>
      <c r="P66" s="108">
        <f>'ARCHIVE_Control Tower'!$B$84</f>
        <v>600</v>
      </c>
      <c r="Q66" s="108">
        <f>'ARCHIVE_Control Tower'!$B$84</f>
        <v>600</v>
      </c>
      <c r="R66" s="108">
        <f>'ARCHIVE_Control Tower'!$B$84</f>
        <v>600</v>
      </c>
      <c r="S66" s="108">
        <f>'ARCHIVE_Control Tower'!$B$84</f>
        <v>600</v>
      </c>
      <c r="T66" s="108">
        <f>'ARCHIVE_Control Tower'!$B$84</f>
        <v>600</v>
      </c>
      <c r="U66" s="108">
        <f>'ARCHIVE_Control Tower'!$B$84</f>
        <v>600</v>
      </c>
      <c r="V66" s="108">
        <f>'ARCHIVE_Control Tower'!$B$84</f>
        <v>600</v>
      </c>
      <c r="W66" s="108">
        <f>'ARCHIVE_Control Tower'!$B$84</f>
        <v>600</v>
      </c>
      <c r="X66" s="108">
        <f>'ARCHIVE_Control Tower'!$B$84</f>
        <v>600</v>
      </c>
      <c r="Y66" s="108">
        <f>'ARCHIVE_Control Tower'!$B$84</f>
        <v>600</v>
      </c>
      <c r="Z66" s="108">
        <f>'ARCHIVE_Control Tower'!$B$84</f>
        <v>600</v>
      </c>
      <c r="AA66" s="108">
        <f>'ARCHIVE_Control Tower'!$B$84</f>
        <v>600</v>
      </c>
      <c r="AB66" s="108">
        <f>'ARCHIVE_Control Tower'!$B$84</f>
        <v>600</v>
      </c>
      <c r="AC66" s="108">
        <f>'ARCHIVE_Control Tower'!$B$84</f>
        <v>600</v>
      </c>
      <c r="AD66" s="108">
        <f>'ARCHIVE_Control Tower'!$B$84</f>
        <v>600</v>
      </c>
      <c r="AE66" s="108">
        <f>'ARCHIVE_Control Tower'!$B$84</f>
        <v>600</v>
      </c>
      <c r="AF66" s="108">
        <f>'ARCHIVE_Control Tower'!$B$84</f>
        <v>600</v>
      </c>
      <c r="AG66" s="108">
        <f>'ARCHIVE_Control Tower'!$B$84</f>
        <v>600</v>
      </c>
      <c r="AH66" s="108">
        <f>'ARCHIVE_Control Tower'!$B$84</f>
        <v>600</v>
      </c>
      <c r="AI66" s="108">
        <f>'ARCHIVE_Control Tower'!$B$84</f>
        <v>600</v>
      </c>
      <c r="AJ66" s="108">
        <f>'ARCHIVE_Control Tower'!$B$84</f>
        <v>600</v>
      </c>
      <c r="AK66" s="108">
        <f>'ARCHIVE_Control Tower'!$B$84</f>
        <v>600</v>
      </c>
      <c r="AL66" s="108">
        <f>'ARCHIVE_Control Tower'!$B$84</f>
        <v>600</v>
      </c>
      <c r="AM66" s="108">
        <f>'ARCHIVE_Control Tower'!$B$84</f>
        <v>600</v>
      </c>
      <c r="AN66" s="108">
        <f>'ARCHIVE_Control Tower'!$B$84</f>
        <v>600</v>
      </c>
      <c r="AO66" s="108">
        <f>'ARCHIVE_Control Tower'!$B$84</f>
        <v>600</v>
      </c>
      <c r="AP66" s="102">
        <f>IF(AO$10=0,0,AO66/AO$10)</f>
        <v>1.635434989987314E-4</v>
      </c>
    </row>
    <row r="67" spans="1:42" x14ac:dyDescent="0.2">
      <c r="A67" s="104" t="s">
        <v>577</v>
      </c>
      <c r="B67" s="175">
        <v>65200</v>
      </c>
      <c r="C67" s="108">
        <f>'ARCHIVE_Control Tower'!$B$85</f>
        <v>150</v>
      </c>
      <c r="D67" s="108">
        <f>'ARCHIVE_Control Tower'!$B$85</f>
        <v>150</v>
      </c>
      <c r="E67" s="108">
        <f>'ARCHIVE_Control Tower'!$B$85</f>
        <v>150</v>
      </c>
      <c r="F67" s="108">
        <f>'ARCHIVE_Control Tower'!$B$85</f>
        <v>150</v>
      </c>
      <c r="G67" s="108">
        <f>'ARCHIVE_Control Tower'!$B$85</f>
        <v>150</v>
      </c>
      <c r="H67" s="108">
        <f>'ARCHIVE_Control Tower'!$B$85</f>
        <v>150</v>
      </c>
      <c r="I67" s="108">
        <f>'ARCHIVE_Control Tower'!$B$85</f>
        <v>150</v>
      </c>
      <c r="J67" s="108">
        <f>'ARCHIVE_Control Tower'!$B$85</f>
        <v>150</v>
      </c>
      <c r="K67" s="108">
        <f>'ARCHIVE_Control Tower'!$B$85</f>
        <v>150</v>
      </c>
      <c r="L67" s="108">
        <f>'ARCHIVE_Control Tower'!$B$85</f>
        <v>150</v>
      </c>
      <c r="M67" s="108">
        <f>'ARCHIVE_Control Tower'!$B$85</f>
        <v>150</v>
      </c>
      <c r="N67" s="108">
        <f>'ARCHIVE_Control Tower'!$B$85</f>
        <v>150</v>
      </c>
      <c r="O67" s="108">
        <f>'ARCHIVE_Control Tower'!$B$85</f>
        <v>150</v>
      </c>
      <c r="P67" s="108">
        <f>'ARCHIVE_Control Tower'!$B$85</f>
        <v>150</v>
      </c>
      <c r="Q67" s="108">
        <f>'ARCHIVE_Control Tower'!$B$85</f>
        <v>150</v>
      </c>
      <c r="R67" s="108">
        <f>'ARCHIVE_Control Tower'!$B$85</f>
        <v>150</v>
      </c>
      <c r="S67" s="108">
        <f>'ARCHIVE_Control Tower'!$B$85</f>
        <v>150</v>
      </c>
      <c r="T67" s="108">
        <f>'ARCHIVE_Control Tower'!$B$85</f>
        <v>150</v>
      </c>
      <c r="U67" s="108">
        <f>'ARCHIVE_Control Tower'!$B$85</f>
        <v>150</v>
      </c>
      <c r="V67" s="108">
        <f>'ARCHIVE_Control Tower'!$B$85</f>
        <v>150</v>
      </c>
      <c r="W67" s="108">
        <f>'ARCHIVE_Control Tower'!$B$85</f>
        <v>150</v>
      </c>
      <c r="X67" s="108">
        <f>'ARCHIVE_Control Tower'!$B$85</f>
        <v>150</v>
      </c>
      <c r="Y67" s="108">
        <f>'ARCHIVE_Control Tower'!$B$85</f>
        <v>150</v>
      </c>
      <c r="Z67" s="108">
        <f>'ARCHIVE_Control Tower'!$B$85</f>
        <v>150</v>
      </c>
      <c r="AA67" s="108">
        <f>'ARCHIVE_Control Tower'!$B$85</f>
        <v>150</v>
      </c>
      <c r="AB67" s="108">
        <f>'ARCHIVE_Control Tower'!$B$85</f>
        <v>150</v>
      </c>
      <c r="AC67" s="108">
        <f>'ARCHIVE_Control Tower'!$B$85</f>
        <v>150</v>
      </c>
      <c r="AD67" s="108">
        <f>'ARCHIVE_Control Tower'!$B$85</f>
        <v>150</v>
      </c>
      <c r="AE67" s="108">
        <f>'ARCHIVE_Control Tower'!$B$85</f>
        <v>150</v>
      </c>
      <c r="AF67" s="108">
        <f>'ARCHIVE_Control Tower'!$B$85</f>
        <v>150</v>
      </c>
      <c r="AG67" s="108">
        <f>'ARCHIVE_Control Tower'!$B$85</f>
        <v>150</v>
      </c>
      <c r="AH67" s="108">
        <f>'ARCHIVE_Control Tower'!$B$85</f>
        <v>150</v>
      </c>
      <c r="AI67" s="108">
        <f>'ARCHIVE_Control Tower'!$B$85</f>
        <v>150</v>
      </c>
      <c r="AJ67" s="108">
        <f>'ARCHIVE_Control Tower'!$B$85</f>
        <v>150</v>
      </c>
      <c r="AK67" s="108">
        <f>'ARCHIVE_Control Tower'!$B$85</f>
        <v>150</v>
      </c>
      <c r="AL67" s="108">
        <f>'ARCHIVE_Control Tower'!$B$85</f>
        <v>150</v>
      </c>
      <c r="AM67" s="108">
        <f>'ARCHIVE_Control Tower'!$B$85</f>
        <v>150</v>
      </c>
      <c r="AN67" s="108">
        <f>'ARCHIVE_Control Tower'!$B$85</f>
        <v>150</v>
      </c>
      <c r="AO67" s="108">
        <f>'ARCHIVE_Control Tower'!$B$85</f>
        <v>150</v>
      </c>
      <c r="AP67" s="102">
        <f>IF(AO$10=0,0,AO67/AO$10)</f>
        <v>4.0885874749682851E-5</v>
      </c>
    </row>
    <row r="68" spans="1:42" x14ac:dyDescent="0.2">
      <c r="A68" s="104" t="s">
        <v>578</v>
      </c>
      <c r="B68" s="175">
        <v>65700</v>
      </c>
      <c r="C68" s="108">
        <f>'ARCHIVE_Control Tower'!$B$86</f>
        <v>300</v>
      </c>
      <c r="D68" s="108">
        <f>'ARCHIVE_Control Tower'!$B$86</f>
        <v>300</v>
      </c>
      <c r="E68" s="108">
        <f>'ARCHIVE_Control Tower'!$B$86</f>
        <v>300</v>
      </c>
      <c r="F68" s="108">
        <f>'ARCHIVE_Control Tower'!$B$86</f>
        <v>300</v>
      </c>
      <c r="G68" s="108">
        <f>'ARCHIVE_Control Tower'!$B$86</f>
        <v>300</v>
      </c>
      <c r="H68" s="108">
        <f>'ARCHIVE_Control Tower'!$B$86</f>
        <v>300</v>
      </c>
      <c r="I68" s="108">
        <f>'ARCHIVE_Control Tower'!$B$86</f>
        <v>300</v>
      </c>
      <c r="J68" s="108">
        <f>'ARCHIVE_Control Tower'!$B$86</f>
        <v>300</v>
      </c>
      <c r="K68" s="108">
        <f>'ARCHIVE_Control Tower'!$B$86</f>
        <v>300</v>
      </c>
      <c r="L68" s="108">
        <f>'ARCHIVE_Control Tower'!$B$86</f>
        <v>300</v>
      </c>
      <c r="M68" s="108">
        <f>'ARCHIVE_Control Tower'!$B$86</f>
        <v>300</v>
      </c>
      <c r="N68" s="108">
        <f>'ARCHIVE_Control Tower'!$B$86</f>
        <v>300</v>
      </c>
      <c r="O68" s="108">
        <f>'ARCHIVE_Control Tower'!$B$86</f>
        <v>300</v>
      </c>
      <c r="P68" s="108">
        <f>'ARCHIVE_Control Tower'!$B$86</f>
        <v>300</v>
      </c>
      <c r="Q68" s="108">
        <f>'ARCHIVE_Control Tower'!$B$86</f>
        <v>300</v>
      </c>
      <c r="R68" s="108">
        <f>'ARCHIVE_Control Tower'!$B$86</f>
        <v>300</v>
      </c>
      <c r="S68" s="108">
        <f>'ARCHIVE_Control Tower'!$B$86</f>
        <v>300</v>
      </c>
      <c r="T68" s="108">
        <f>'ARCHIVE_Control Tower'!$B$86</f>
        <v>300</v>
      </c>
      <c r="U68" s="108">
        <f>'ARCHIVE_Control Tower'!$B$86</f>
        <v>300</v>
      </c>
      <c r="V68" s="108">
        <f>'ARCHIVE_Control Tower'!$B$86</f>
        <v>300</v>
      </c>
      <c r="W68" s="108">
        <f>'ARCHIVE_Control Tower'!$B$86</f>
        <v>300</v>
      </c>
      <c r="X68" s="108">
        <f>'ARCHIVE_Control Tower'!$B$86</f>
        <v>300</v>
      </c>
      <c r="Y68" s="108">
        <f>'ARCHIVE_Control Tower'!$B$86</f>
        <v>300</v>
      </c>
      <c r="Z68" s="108">
        <f>'ARCHIVE_Control Tower'!$B$86</f>
        <v>300</v>
      </c>
      <c r="AA68" s="108">
        <f>'ARCHIVE_Control Tower'!$B$86</f>
        <v>300</v>
      </c>
      <c r="AB68" s="108">
        <f>'ARCHIVE_Control Tower'!$B$86</f>
        <v>300</v>
      </c>
      <c r="AC68" s="108">
        <f>'ARCHIVE_Control Tower'!$B$86</f>
        <v>300</v>
      </c>
      <c r="AD68" s="108">
        <f>'ARCHIVE_Control Tower'!$B$86</f>
        <v>300</v>
      </c>
      <c r="AE68" s="108">
        <f>'ARCHIVE_Control Tower'!$B$86</f>
        <v>300</v>
      </c>
      <c r="AF68" s="108">
        <f>'ARCHIVE_Control Tower'!$B$86</f>
        <v>300</v>
      </c>
      <c r="AG68" s="108">
        <f>'ARCHIVE_Control Tower'!$B$86</f>
        <v>300</v>
      </c>
      <c r="AH68" s="108">
        <f>'ARCHIVE_Control Tower'!$B$86</f>
        <v>300</v>
      </c>
      <c r="AI68" s="108">
        <f>'ARCHIVE_Control Tower'!$B$86</f>
        <v>300</v>
      </c>
      <c r="AJ68" s="108">
        <f>'ARCHIVE_Control Tower'!$B$86</f>
        <v>300</v>
      </c>
      <c r="AK68" s="108">
        <f>'ARCHIVE_Control Tower'!$B$86</f>
        <v>300</v>
      </c>
      <c r="AL68" s="108">
        <f>'ARCHIVE_Control Tower'!$B$86</f>
        <v>300</v>
      </c>
      <c r="AM68" s="108">
        <f>'ARCHIVE_Control Tower'!$B$86</f>
        <v>300</v>
      </c>
      <c r="AN68" s="108">
        <f>'ARCHIVE_Control Tower'!$B$86</f>
        <v>300</v>
      </c>
      <c r="AO68" s="108">
        <f>'ARCHIVE_Control Tower'!$B$86</f>
        <v>300</v>
      </c>
      <c r="AP68" s="102">
        <f>IF(AO$10=0,0,AO68/AO$10)</f>
        <v>8.1771749499365702E-5</v>
      </c>
    </row>
    <row r="69" spans="1:42" x14ac:dyDescent="0.2">
      <c r="A69" s="110" t="s">
        <v>579</v>
      </c>
      <c r="B69" s="175"/>
      <c r="C69" s="111">
        <f>SUM(C56:C68)</f>
        <v>15808</v>
      </c>
      <c r="D69" s="111">
        <f t="shared" ref="D69:AO69" si="5">SUM(D56:D68)</f>
        <v>15958</v>
      </c>
      <c r="E69" s="111">
        <f t="shared" si="5"/>
        <v>16033</v>
      </c>
      <c r="F69" s="111">
        <f t="shared" si="5"/>
        <v>16183</v>
      </c>
      <c r="G69" s="111">
        <f t="shared" si="5"/>
        <v>16333</v>
      </c>
      <c r="H69" s="111">
        <f t="shared" si="5"/>
        <v>16408</v>
      </c>
      <c r="I69" s="111">
        <f t="shared" si="5"/>
        <v>16558</v>
      </c>
      <c r="J69" s="111">
        <f t="shared" si="5"/>
        <v>16633</v>
      </c>
      <c r="K69" s="111">
        <f t="shared" si="5"/>
        <v>16783</v>
      </c>
      <c r="L69" s="111">
        <f t="shared" si="5"/>
        <v>16933</v>
      </c>
      <c r="M69" s="111">
        <f t="shared" si="5"/>
        <v>17008</v>
      </c>
      <c r="N69" s="111">
        <f t="shared" si="5"/>
        <v>17158</v>
      </c>
      <c r="O69" s="111">
        <f t="shared" si="5"/>
        <v>17233</v>
      </c>
      <c r="P69" s="111">
        <f t="shared" si="5"/>
        <v>17383</v>
      </c>
      <c r="Q69" s="111">
        <f t="shared" si="5"/>
        <v>17458</v>
      </c>
      <c r="R69" s="111">
        <f t="shared" si="5"/>
        <v>17608</v>
      </c>
      <c r="S69" s="111">
        <f t="shared" si="5"/>
        <v>17683</v>
      </c>
      <c r="T69" s="111">
        <f t="shared" si="5"/>
        <v>17833</v>
      </c>
      <c r="U69" s="111">
        <f t="shared" si="5"/>
        <v>17908</v>
      </c>
      <c r="V69" s="111">
        <f t="shared" si="5"/>
        <v>17983</v>
      </c>
      <c r="W69" s="111">
        <f t="shared" si="5"/>
        <v>18133</v>
      </c>
      <c r="X69" s="111">
        <f t="shared" si="5"/>
        <v>18208</v>
      </c>
      <c r="Y69" s="111">
        <f t="shared" si="5"/>
        <v>18358</v>
      </c>
      <c r="Z69" s="111">
        <f t="shared" si="5"/>
        <v>18433</v>
      </c>
      <c r="AA69" s="111">
        <f t="shared" si="5"/>
        <v>18508</v>
      </c>
      <c r="AB69" s="111">
        <f t="shared" si="5"/>
        <v>18583</v>
      </c>
      <c r="AC69" s="111">
        <f t="shared" si="5"/>
        <v>18583</v>
      </c>
      <c r="AD69" s="111">
        <f t="shared" si="5"/>
        <v>18658</v>
      </c>
      <c r="AE69" s="111">
        <f t="shared" si="5"/>
        <v>18733</v>
      </c>
      <c r="AF69" s="111">
        <f t="shared" si="5"/>
        <v>18808</v>
      </c>
      <c r="AG69" s="111">
        <f t="shared" si="5"/>
        <v>18883</v>
      </c>
      <c r="AH69" s="111">
        <f t="shared" si="5"/>
        <v>18958</v>
      </c>
      <c r="AI69" s="111">
        <f t="shared" si="5"/>
        <v>19033</v>
      </c>
      <c r="AJ69" s="111">
        <f t="shared" si="5"/>
        <v>19033</v>
      </c>
      <c r="AK69" s="111">
        <f t="shared" si="5"/>
        <v>19108</v>
      </c>
      <c r="AL69" s="111">
        <f t="shared" si="5"/>
        <v>19183</v>
      </c>
      <c r="AM69" s="111">
        <f t="shared" si="5"/>
        <v>15683</v>
      </c>
      <c r="AN69" s="111">
        <f t="shared" si="5"/>
        <v>15683</v>
      </c>
      <c r="AO69" s="111">
        <f t="shared" si="5"/>
        <v>15683</v>
      </c>
      <c r="AP69" s="103">
        <f>IF(AO$10=0,0,AO69/AO$10)</f>
        <v>4.2747544913285078E-3</v>
      </c>
    </row>
    <row r="70" spans="1:42" x14ac:dyDescent="0.2">
      <c r="A70" s="110"/>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row>
    <row r="71" spans="1:42" x14ac:dyDescent="0.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row>
    <row r="72" spans="1:42" x14ac:dyDescent="0.2">
      <c r="A72" s="105" t="s">
        <v>507</v>
      </c>
      <c r="B72" s="101"/>
      <c r="C72" s="112">
        <f>C48+C54+C69</f>
        <v>35790.868063899987</v>
      </c>
      <c r="D72" s="112">
        <f t="shared" ref="D72:AO72" si="6">D48+D54+D69</f>
        <v>51394.614887552591</v>
      </c>
      <c r="E72" s="112">
        <f t="shared" si="6"/>
        <v>63685.471269310212</v>
      </c>
      <c r="F72" s="112">
        <f t="shared" si="6"/>
        <v>63818.182595214188</v>
      </c>
      <c r="G72" s="112">
        <f t="shared" si="6"/>
        <v>63951.140968973319</v>
      </c>
      <c r="H72" s="112">
        <f t="shared" si="6"/>
        <v>64017.711149903334</v>
      </c>
      <c r="I72" s="112">
        <f t="shared" si="6"/>
        <v>64291.367396019967</v>
      </c>
      <c r="J72" s="112">
        <f t="shared" si="6"/>
        <v>64358.125303218483</v>
      </c>
      <c r="K72" s="112">
        <f t="shared" si="6"/>
        <v>64491.80416432015</v>
      </c>
      <c r="L72" s="112">
        <f t="shared" si="6"/>
        <v>64625.696860702752</v>
      </c>
      <c r="M72" s="112">
        <f t="shared" si="6"/>
        <v>64731.331583263869</v>
      </c>
      <c r="N72" s="112">
        <f t="shared" si="6"/>
        <v>64866.654099218991</v>
      </c>
      <c r="O72" s="112">
        <f t="shared" si="6"/>
        <v>66179.083274154924</v>
      </c>
      <c r="P72" s="112">
        <f t="shared" si="6"/>
        <v>66314.99980827776</v>
      </c>
      <c r="Q72" s="112">
        <f t="shared" si="6"/>
        <v>66496.365022214624</v>
      </c>
      <c r="R72" s="112">
        <f t="shared" si="6"/>
        <v>66632.578228811195</v>
      </c>
      <c r="S72" s="112">
        <f t="shared" si="6"/>
        <v>66700.74056714421</v>
      </c>
      <c r="T72" s="112">
        <f t="shared" si="6"/>
        <v>66837.175219821889</v>
      </c>
      <c r="U72" s="112">
        <f t="shared" si="6"/>
        <v>66905.446946129858</v>
      </c>
      <c r="V72" s="112">
        <f t="shared" si="6"/>
        <v>66973.754552285813</v>
      </c>
      <c r="W72" s="112">
        <f t="shared" si="6"/>
        <v>67139.221505411464</v>
      </c>
      <c r="X72" s="112">
        <f t="shared" si="6"/>
        <v>67208.042523202166</v>
      </c>
      <c r="Y72" s="112">
        <f t="shared" si="6"/>
        <v>67440.724020458991</v>
      </c>
      <c r="Z72" s="112">
        <f t="shared" si="6"/>
        <v>67509.667874554623</v>
      </c>
      <c r="AA72" s="112">
        <f t="shared" si="6"/>
        <v>68862.229217085696</v>
      </c>
      <c r="AB72" s="112">
        <f t="shared" si="6"/>
        <v>68931.363177089224</v>
      </c>
      <c r="AC72" s="112">
        <f t="shared" si="6"/>
        <v>68931.363177089224</v>
      </c>
      <c r="AD72" s="112">
        <f t="shared" si="6"/>
        <v>69000.523627330753</v>
      </c>
      <c r="AE72" s="112">
        <f t="shared" si="6"/>
        <v>69069.710388775115</v>
      </c>
      <c r="AF72" s="112">
        <f t="shared" si="6"/>
        <v>69138.923283996788</v>
      </c>
      <c r="AG72" s="112">
        <f t="shared" si="6"/>
        <v>69208.162137161969</v>
      </c>
      <c r="AH72" s="112">
        <f t="shared" si="6"/>
        <v>69277.426774010732</v>
      </c>
      <c r="AI72" s="112">
        <f t="shared" si="6"/>
        <v>69346.717021839431</v>
      </c>
      <c r="AJ72" s="112">
        <f t="shared" si="6"/>
        <v>69346.717021839431</v>
      </c>
      <c r="AK72" s="112">
        <f t="shared" si="6"/>
        <v>69416.032709483377</v>
      </c>
      <c r="AL72" s="112">
        <f t="shared" si="6"/>
        <v>69485.373667299747</v>
      </c>
      <c r="AM72" s="112">
        <f t="shared" si="6"/>
        <v>547979.29209606198</v>
      </c>
      <c r="AN72" s="112">
        <f t="shared" si="6"/>
        <v>603827.17690843437</v>
      </c>
      <c r="AO72" s="112">
        <f t="shared" si="6"/>
        <v>619625.23593888513</v>
      </c>
      <c r="AP72" s="113">
        <f>IF(AO$10=0,0,AO72/AO$10)</f>
        <v>0.16889279858893294</v>
      </c>
    </row>
    <row r="73" spans="1:42" x14ac:dyDescent="0.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row>
    <row r="74" spans="1:42" ht="17" thickBot="1" x14ac:dyDescent="0.25">
      <c r="A74" s="115" t="s">
        <v>409</v>
      </c>
      <c r="B74" s="101"/>
      <c r="C74" s="116">
        <f>C36-C72</f>
        <v>17065.358687210544</v>
      </c>
      <c r="D74" s="116">
        <f t="shared" ref="D74:AO74" si="7">D36-D72</f>
        <v>3024.0940121719395</v>
      </c>
      <c r="E74" s="116">
        <f t="shared" si="7"/>
        <v>-4422.6945753473628</v>
      </c>
      <c r="F74" s="116">
        <f t="shared" si="7"/>
        <v>4739.4469996140615</v>
      </c>
      <c r="G74" s="116">
        <f t="shared" si="7"/>
        <v>13901.588574575457</v>
      </c>
      <c r="H74" s="116">
        <f t="shared" si="7"/>
        <v>18482.659362056147</v>
      </c>
      <c r="I74" s="116">
        <f t="shared" si="7"/>
        <v>22819.129062017586</v>
      </c>
      <c r="J74" s="116">
        <f t="shared" si="7"/>
        <v>27400.199849498262</v>
      </c>
      <c r="K74" s="116">
        <f t="shared" si="7"/>
        <v>36562.341424459657</v>
      </c>
      <c r="L74" s="116">
        <f t="shared" si="7"/>
        <v>45724.482999421074</v>
      </c>
      <c r="M74" s="116">
        <f t="shared" si="7"/>
        <v>42656.741286901794</v>
      </c>
      <c r="N74" s="116">
        <f t="shared" si="7"/>
        <v>51818.882861863174</v>
      </c>
      <c r="O74" s="116">
        <f t="shared" si="7"/>
        <v>54129.750055593875</v>
      </c>
      <c r="P74" s="116">
        <f t="shared" si="7"/>
        <v>63291.891630555299</v>
      </c>
      <c r="Q74" s="116">
        <f t="shared" si="7"/>
        <v>62917.520386786011</v>
      </c>
      <c r="R74" s="116">
        <f t="shared" si="7"/>
        <v>72079.661961747406</v>
      </c>
      <c r="S74" s="116">
        <f t="shared" si="7"/>
        <v>76660.732749228104</v>
      </c>
      <c r="T74" s="116">
        <f t="shared" si="7"/>
        <v>85822.874324189528</v>
      </c>
      <c r="U74" s="116">
        <f t="shared" si="7"/>
        <v>90403.945111670226</v>
      </c>
      <c r="V74" s="116">
        <f t="shared" si="7"/>
        <v>94985.015899150938</v>
      </c>
      <c r="W74" s="116">
        <f t="shared" si="7"/>
        <v>96283.880599112337</v>
      </c>
      <c r="X74" s="116">
        <f t="shared" si="7"/>
        <v>100864.95138659308</v>
      </c>
      <c r="Y74" s="116">
        <f t="shared" si="7"/>
        <v>105071.65093030443</v>
      </c>
      <c r="Z74" s="116">
        <f t="shared" si="7"/>
        <v>109652.72171778516</v>
      </c>
      <c r="AA74" s="116">
        <f t="shared" si="7"/>
        <v>111407.25797557831</v>
      </c>
      <c r="AB74" s="116">
        <f t="shared" si="7"/>
        <v>115988.32876305902</v>
      </c>
      <c r="AC74" s="116">
        <f t="shared" si="7"/>
        <v>115988.32876305902</v>
      </c>
      <c r="AD74" s="116">
        <f t="shared" si="7"/>
        <v>120569.39955053973</v>
      </c>
      <c r="AE74" s="116">
        <f t="shared" si="7"/>
        <v>125150.47033802043</v>
      </c>
      <c r="AF74" s="116">
        <f t="shared" si="7"/>
        <v>129731.54112550116</v>
      </c>
      <c r="AG74" s="116">
        <f t="shared" si="7"/>
        <v>134312.61191298184</v>
      </c>
      <c r="AH74" s="116">
        <f t="shared" si="7"/>
        <v>138893.68270046255</v>
      </c>
      <c r="AI74" s="116">
        <f t="shared" si="7"/>
        <v>143474.75348794326</v>
      </c>
      <c r="AJ74" s="116">
        <f t="shared" si="7"/>
        <v>143474.75348794326</v>
      </c>
      <c r="AK74" s="116">
        <f t="shared" si="7"/>
        <v>148055.82427542401</v>
      </c>
      <c r="AL74" s="116">
        <f t="shared" si="7"/>
        <v>152636.89506290466</v>
      </c>
      <c r="AM74" s="116">
        <f t="shared" si="7"/>
        <v>461885.23054444243</v>
      </c>
      <c r="AN74" s="116">
        <f t="shared" si="7"/>
        <v>1210702.5967527162</v>
      </c>
      <c r="AO74" s="116">
        <f t="shared" si="7"/>
        <v>1790071.8474434172</v>
      </c>
      <c r="AP74" s="171">
        <f>IF(AO$10=0,0,AO74/AO$10)</f>
        <v>0.48792435565003289</v>
      </c>
    </row>
    <row r="75" spans="1:42" ht="16" thickTop="1" x14ac:dyDescent="0.2">
      <c r="A75" s="174" t="s">
        <v>580</v>
      </c>
      <c r="B75" s="2"/>
      <c r="C75" s="173">
        <f>IF(C10=0,0,C74/C10)</f>
        <v>0.20621860371824985</v>
      </c>
      <c r="D75" s="173">
        <f>IF(D10=0,0,D74/D10)</f>
        <v>3.2244084232783132E-2</v>
      </c>
      <c r="E75" s="173">
        <f>IF(E10=0,0,E74/E10)</f>
        <v>-4.453670916607276E-2</v>
      </c>
      <c r="F75" s="173">
        <f>IF(F10=0,0,F74/F10)</f>
        <v>4.2953776737324048E-2</v>
      </c>
      <c r="G75" s="173">
        <f>IF(G10=0,0,G74/G10)</f>
        <v>0.11453690156737574</v>
      </c>
      <c r="H75" s="173">
        <f>IF(H10=0,0,H74/H10)</f>
        <v>0.14565999931957208</v>
      </c>
      <c r="I75" s="173">
        <f>IF(I10=0,0,I74/I10)</f>
        <v>0.16544846268349911</v>
      </c>
      <c r="J75" s="173">
        <f>IF(J10=0,0,J74/J10)</f>
        <v>0.19102229680597566</v>
      </c>
      <c r="K75" s="173">
        <f>IF(K10=0,0,K74/K10)</f>
        <v>0.23668985773896975</v>
      </c>
      <c r="L75" s="173">
        <f>IF(L10=0,0,L74/L10)</f>
        <v>0.27626841054756474</v>
      </c>
      <c r="M75" s="173">
        <f>IF(M10=0,0,M74/M10)</f>
        <v>0.24941907326626195</v>
      </c>
      <c r="N75" s="173">
        <f>IF(N10=0,0,N74/N10)</f>
        <v>0.28462810821181528</v>
      </c>
      <c r="O75" s="173">
        <f>IF(O10=0,0,O74/O10)</f>
        <v>0.28857638242511607</v>
      </c>
      <c r="P75" s="173">
        <f>IF(P10=0,0,P74/P10)</f>
        <v>0.31867592506082598</v>
      </c>
      <c r="Q75" s="173">
        <f>IF(Q10=0,0,Q74/Q10)</f>
        <v>0.30822904065459616</v>
      </c>
      <c r="R75" s="173">
        <f>IF(R10=0,0,R74/R10)</f>
        <v>0.33500540522963701</v>
      </c>
      <c r="S75" s="173">
        <f>IF(S10=0,0,S74/S10)</f>
        <v>0.34738947384559338</v>
      </c>
      <c r="T75" s="173">
        <f>IF(T10=0,0,T74/T10)</f>
        <v>0.37038845841808399</v>
      </c>
      <c r="U75" s="173">
        <f>IF(U10=0,0,U74/U10)</f>
        <v>0.38108566054482368</v>
      </c>
      <c r="V75" s="173">
        <f>IF(V10=0,0,V74/V10)</f>
        <v>0.39129662621125716</v>
      </c>
      <c r="W75" s="173">
        <f>IF(W10=0,0,W74/W10)</f>
        <v>0.37940184114804382</v>
      </c>
      <c r="X75" s="173">
        <f>IF(X10=0,0,X74/X10)</f>
        <v>0.38899686899314712</v>
      </c>
      <c r="Y75" s="173">
        <f>IF(Y10=0,0,Y74/Y10)</f>
        <v>0.3886808611137984</v>
      </c>
      <c r="Z75" s="173">
        <f>IF(Z10=0,0,Z74/Z10)</f>
        <v>0.39751460688888035</v>
      </c>
      <c r="AA75" s="173">
        <f>IF(AA10=0,0,AA74/AA10)</f>
        <v>0.39595605558218849</v>
      </c>
      <c r="AB75" s="173">
        <f>IF(AB10=0,0,AB74/AB10)</f>
        <v>0.40431013431845203</v>
      </c>
      <c r="AC75" s="173">
        <f>IF(AC10=0,0,AC74/AC10)</f>
        <v>0.40431013431845203</v>
      </c>
      <c r="AD75" s="173">
        <f>IF(AD10=0,0,AD74/AD10)</f>
        <v>0.41234896480051708</v>
      </c>
      <c r="AE75" s="173">
        <f>IF(AE10=0,0,AE74/AE10)</f>
        <v>0.42009006082028327</v>
      </c>
      <c r="AF75" s="173">
        <f>IF(AF10=0,0,AF74/AF10)</f>
        <v>0.42754966243933079</v>
      </c>
      <c r="AG75" s="173">
        <f>IF(AG10=0,0,AG74/AG10)</f>
        <v>0.43474284971484078</v>
      </c>
      <c r="AH75" s="173">
        <f>IF(AH10=0,0,AH74/AH10)</f>
        <v>0.44168364445436803</v>
      </c>
      <c r="AI75" s="173">
        <f>IF(AI10=0,0,AI74/AI10)</f>
        <v>0.44838510144425642</v>
      </c>
      <c r="AJ75" s="173">
        <f>IF(AJ10=0,0,AJ74/AJ10)</f>
        <v>0.44838510144425642</v>
      </c>
      <c r="AK75" s="173">
        <f>IF(AK10=0,0,AK74/AK10)</f>
        <v>0.45485939040058937</v>
      </c>
      <c r="AL75" s="173">
        <f>IF(AL10=0,0,AL74/AL10)</f>
        <v>0.46111786972504432</v>
      </c>
      <c r="AM75" s="173">
        <f>IF(AM10=0,0,AM74/AM10)</f>
        <v>0.29070015787895892</v>
      </c>
      <c r="AN75" s="173">
        <f>IF(AN10=0,0,AN74/AN10)</f>
        <v>0.43284578692195896</v>
      </c>
      <c r="AO75" s="173">
        <f>IF(AO10=0,0,AO74/AO10)</f>
        <v>0.48792435565003289</v>
      </c>
      <c r="AP75" s="2"/>
    </row>
    <row r="76" spans="1:42" x14ac:dyDescent="0.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row>
    <row r="77" spans="1:42" x14ac:dyDescent="0.2">
      <c r="A77" s="168" t="s">
        <v>510</v>
      </c>
      <c r="B77" s="160"/>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row>
    <row r="78" spans="1:42" x14ac:dyDescent="0.2">
      <c r="A78" s="104" t="s">
        <v>581</v>
      </c>
      <c r="B78" s="175">
        <v>7000</v>
      </c>
      <c r="C78" s="108">
        <f>'ARCHIVE_Control Tower'!$B$89/'ARCHIVE_Control Tower'!$B$90/12</f>
        <v>1666.6666666666667</v>
      </c>
      <c r="D78" s="108">
        <f>'ARCHIVE_Control Tower'!$B$89/'ARCHIVE_Control Tower'!$B$90/12</f>
        <v>1666.6666666666667</v>
      </c>
      <c r="E78" s="108">
        <f>'ARCHIVE_Control Tower'!$B$89/'ARCHIVE_Control Tower'!$B$90/12</f>
        <v>1666.6666666666667</v>
      </c>
      <c r="F78" s="108">
        <f>'ARCHIVE_Control Tower'!$B$89/'ARCHIVE_Control Tower'!$B$90/12</f>
        <v>1666.6666666666667</v>
      </c>
      <c r="G78" s="108">
        <f>'ARCHIVE_Control Tower'!$B$89/'ARCHIVE_Control Tower'!$B$90/12</f>
        <v>1666.6666666666667</v>
      </c>
      <c r="H78" s="108">
        <f>'ARCHIVE_Control Tower'!$B$89/'ARCHIVE_Control Tower'!$B$90/12</f>
        <v>1666.6666666666667</v>
      </c>
      <c r="I78" s="108">
        <f>'ARCHIVE_Control Tower'!$B$89/'ARCHIVE_Control Tower'!$B$90/12</f>
        <v>1666.6666666666667</v>
      </c>
      <c r="J78" s="108">
        <f>'ARCHIVE_Control Tower'!$B$89/'ARCHIVE_Control Tower'!$B$90/12</f>
        <v>1666.6666666666667</v>
      </c>
      <c r="K78" s="108">
        <f>'ARCHIVE_Control Tower'!$B$89/'ARCHIVE_Control Tower'!$B$90/12</f>
        <v>1666.6666666666667</v>
      </c>
      <c r="L78" s="108">
        <f>'ARCHIVE_Control Tower'!$B$89/'ARCHIVE_Control Tower'!$B$90/12</f>
        <v>1666.6666666666667</v>
      </c>
      <c r="M78" s="108">
        <f>'ARCHIVE_Control Tower'!$B$89/'ARCHIVE_Control Tower'!$B$90/12</f>
        <v>1666.6666666666667</v>
      </c>
      <c r="N78" s="108">
        <f>'ARCHIVE_Control Tower'!$B$89/'ARCHIVE_Control Tower'!$B$90/12</f>
        <v>1666.6666666666667</v>
      </c>
      <c r="O78" s="108">
        <f>'ARCHIVE_Control Tower'!$B$89/'ARCHIVE_Control Tower'!$B$90/12</f>
        <v>1666.6666666666667</v>
      </c>
      <c r="P78" s="108">
        <f>'ARCHIVE_Control Tower'!$B$89/'ARCHIVE_Control Tower'!$B$90/12</f>
        <v>1666.6666666666667</v>
      </c>
      <c r="Q78" s="108">
        <f>'ARCHIVE_Control Tower'!$B$89/'ARCHIVE_Control Tower'!$B$90/12</f>
        <v>1666.6666666666667</v>
      </c>
      <c r="R78" s="108">
        <f>'ARCHIVE_Control Tower'!$B$89/'ARCHIVE_Control Tower'!$B$90/12</f>
        <v>1666.6666666666667</v>
      </c>
      <c r="S78" s="108">
        <f>'ARCHIVE_Control Tower'!$B$89/'ARCHIVE_Control Tower'!$B$90/12</f>
        <v>1666.6666666666667</v>
      </c>
      <c r="T78" s="108">
        <f>'ARCHIVE_Control Tower'!$B$89/'ARCHIVE_Control Tower'!$B$90/12</f>
        <v>1666.6666666666667</v>
      </c>
      <c r="U78" s="108">
        <f>'ARCHIVE_Control Tower'!$B$89/'ARCHIVE_Control Tower'!$B$90/12</f>
        <v>1666.6666666666667</v>
      </c>
      <c r="V78" s="108">
        <f>'ARCHIVE_Control Tower'!$B$89/'ARCHIVE_Control Tower'!$B$90/12</f>
        <v>1666.6666666666667</v>
      </c>
      <c r="W78" s="108">
        <f>'ARCHIVE_Control Tower'!$B$89/'ARCHIVE_Control Tower'!$B$90/12</f>
        <v>1666.6666666666667</v>
      </c>
      <c r="X78" s="108">
        <f>'ARCHIVE_Control Tower'!$B$89/'ARCHIVE_Control Tower'!$B$90/12</f>
        <v>1666.6666666666667</v>
      </c>
      <c r="Y78" s="108">
        <f>'ARCHIVE_Control Tower'!$B$89/'ARCHIVE_Control Tower'!$B$90/12</f>
        <v>1666.6666666666667</v>
      </c>
      <c r="Z78" s="108">
        <f>'ARCHIVE_Control Tower'!$B$89/'ARCHIVE_Control Tower'!$B$90/12</f>
        <v>1666.6666666666667</v>
      </c>
      <c r="AA78" s="108">
        <f>'ARCHIVE_Control Tower'!$B$89/'ARCHIVE_Control Tower'!$B$90/12</f>
        <v>1666.6666666666667</v>
      </c>
      <c r="AB78" s="108">
        <f>'ARCHIVE_Control Tower'!$B$89/'ARCHIVE_Control Tower'!$B$90/12</f>
        <v>1666.6666666666667</v>
      </c>
      <c r="AC78" s="108">
        <f>'ARCHIVE_Control Tower'!$B$89/'ARCHIVE_Control Tower'!$B$90/12</f>
        <v>1666.6666666666667</v>
      </c>
      <c r="AD78" s="108">
        <f>'ARCHIVE_Control Tower'!$B$89/'ARCHIVE_Control Tower'!$B$90/12</f>
        <v>1666.6666666666667</v>
      </c>
      <c r="AE78" s="108">
        <f>'ARCHIVE_Control Tower'!$B$89/'ARCHIVE_Control Tower'!$B$90/12</f>
        <v>1666.6666666666667</v>
      </c>
      <c r="AF78" s="108">
        <f>'ARCHIVE_Control Tower'!$B$89/'ARCHIVE_Control Tower'!$B$90/12</f>
        <v>1666.6666666666667</v>
      </c>
      <c r="AG78" s="108">
        <f>'ARCHIVE_Control Tower'!$B$89/'ARCHIVE_Control Tower'!$B$90/12</f>
        <v>1666.6666666666667</v>
      </c>
      <c r="AH78" s="108">
        <f>'ARCHIVE_Control Tower'!$B$89/'ARCHIVE_Control Tower'!$B$90/12</f>
        <v>1666.6666666666667</v>
      </c>
      <c r="AI78" s="108">
        <f>'ARCHIVE_Control Tower'!$B$89/'ARCHIVE_Control Tower'!$B$90/12</f>
        <v>1666.6666666666667</v>
      </c>
      <c r="AJ78" s="108">
        <f>'ARCHIVE_Control Tower'!$B$89/'ARCHIVE_Control Tower'!$B$90/12</f>
        <v>1666.6666666666667</v>
      </c>
      <c r="AK78" s="108">
        <f>'ARCHIVE_Control Tower'!$B$89/'ARCHIVE_Control Tower'!$B$90/12</f>
        <v>1666.6666666666667</v>
      </c>
      <c r="AL78" s="108">
        <f>'ARCHIVE_Control Tower'!$B$89/'ARCHIVE_Control Tower'!$B$90/12</f>
        <v>1666.6666666666667</v>
      </c>
      <c r="AM78" s="108">
        <f>'ARCHIVE_Control Tower'!$B$89/'ARCHIVE_Control Tower'!$B$90/12</f>
        <v>1666.6666666666667</v>
      </c>
      <c r="AN78" s="108">
        <f>'ARCHIVE_Control Tower'!$B$89/'ARCHIVE_Control Tower'!$B$90/12</f>
        <v>1666.6666666666667</v>
      </c>
      <c r="AO78" s="108">
        <f>'ARCHIVE_Control Tower'!$B$89/'ARCHIVE_Control Tower'!$B$90/12</f>
        <v>1666.6666666666667</v>
      </c>
      <c r="AP78" s="102">
        <f>IF(AO$10=0,0,AO78/AO$10)</f>
        <v>4.5428749721869834E-4</v>
      </c>
    </row>
    <row r="79" spans="1:42" x14ac:dyDescent="0.2">
      <c r="A79" s="104" t="s">
        <v>582</v>
      </c>
      <c r="B79" s="175">
        <v>7100</v>
      </c>
      <c r="C79" s="108">
        <f>'ARCHIVE_Control Tower'!$B$91*'ARCHIVE_Control Tower'!$B$92/12</f>
        <v>4791.666666666667</v>
      </c>
      <c r="D79" s="108">
        <f>'ARCHIVE_Control Tower'!$B$91*'ARCHIVE_Control Tower'!$B$92/12</f>
        <v>4791.666666666667</v>
      </c>
      <c r="E79" s="108">
        <f>'ARCHIVE_Control Tower'!$B$91*'ARCHIVE_Control Tower'!$B$92/12</f>
        <v>4791.666666666667</v>
      </c>
      <c r="F79" s="108">
        <f>'ARCHIVE_Control Tower'!$B$91*'ARCHIVE_Control Tower'!$B$92/12</f>
        <v>4791.666666666667</v>
      </c>
      <c r="G79" s="108">
        <f>'ARCHIVE_Control Tower'!$B$91*'ARCHIVE_Control Tower'!$B$92/12</f>
        <v>4791.666666666667</v>
      </c>
      <c r="H79" s="108">
        <f>'ARCHIVE_Control Tower'!$B$91*'ARCHIVE_Control Tower'!$B$92/12</f>
        <v>4791.666666666667</v>
      </c>
      <c r="I79" s="108">
        <f>'ARCHIVE_Control Tower'!$B$91*'ARCHIVE_Control Tower'!$B$92/12</f>
        <v>4791.666666666667</v>
      </c>
      <c r="J79" s="108">
        <f>'ARCHIVE_Control Tower'!$B$91*'ARCHIVE_Control Tower'!$B$92/12</f>
        <v>4791.666666666667</v>
      </c>
      <c r="K79" s="108">
        <f>'ARCHIVE_Control Tower'!$B$91*'ARCHIVE_Control Tower'!$B$92/12</f>
        <v>4791.666666666667</v>
      </c>
      <c r="L79" s="108">
        <f>'ARCHIVE_Control Tower'!$B$91*'ARCHIVE_Control Tower'!$B$92/12</f>
        <v>4791.666666666667</v>
      </c>
      <c r="M79" s="108">
        <f>'ARCHIVE_Control Tower'!$B$91*'ARCHIVE_Control Tower'!$B$92/12</f>
        <v>4791.666666666667</v>
      </c>
      <c r="N79" s="108">
        <f>'ARCHIVE_Control Tower'!$B$91*'ARCHIVE_Control Tower'!$B$92/12</f>
        <v>4791.666666666667</v>
      </c>
      <c r="O79" s="108">
        <f>'ARCHIVE_Control Tower'!$B$91*'ARCHIVE_Control Tower'!$B$92/12</f>
        <v>4791.666666666667</v>
      </c>
      <c r="P79" s="108">
        <f>'ARCHIVE_Control Tower'!$B$91*'ARCHIVE_Control Tower'!$B$92/12</f>
        <v>4791.666666666667</v>
      </c>
      <c r="Q79" s="108">
        <f>'ARCHIVE_Control Tower'!$B$91*'ARCHIVE_Control Tower'!$B$92/12</f>
        <v>4791.666666666667</v>
      </c>
      <c r="R79" s="108">
        <f>'ARCHIVE_Control Tower'!$B$91*'ARCHIVE_Control Tower'!$B$92/12</f>
        <v>4791.666666666667</v>
      </c>
      <c r="S79" s="108">
        <f>'ARCHIVE_Control Tower'!$B$91*'ARCHIVE_Control Tower'!$B$92/12</f>
        <v>4791.666666666667</v>
      </c>
      <c r="T79" s="108">
        <f>'ARCHIVE_Control Tower'!$B$91*'ARCHIVE_Control Tower'!$B$92/12</f>
        <v>4791.666666666667</v>
      </c>
      <c r="U79" s="108">
        <f>'ARCHIVE_Control Tower'!$B$91*'ARCHIVE_Control Tower'!$B$92/12</f>
        <v>4791.666666666667</v>
      </c>
      <c r="V79" s="108">
        <f>'ARCHIVE_Control Tower'!$B$91*'ARCHIVE_Control Tower'!$B$92/12</f>
        <v>4791.666666666667</v>
      </c>
      <c r="W79" s="108">
        <f>'ARCHIVE_Control Tower'!$B$91*'ARCHIVE_Control Tower'!$B$92/12</f>
        <v>4791.666666666667</v>
      </c>
      <c r="X79" s="108">
        <f>'ARCHIVE_Control Tower'!$B$91*'ARCHIVE_Control Tower'!$B$92/12</f>
        <v>4791.666666666667</v>
      </c>
      <c r="Y79" s="108">
        <f>'ARCHIVE_Control Tower'!$B$91*'ARCHIVE_Control Tower'!$B$92/12</f>
        <v>4791.666666666667</v>
      </c>
      <c r="Z79" s="108">
        <f>'ARCHIVE_Control Tower'!$B$91*'ARCHIVE_Control Tower'!$B$92/12</f>
        <v>4791.666666666667</v>
      </c>
      <c r="AA79" s="108">
        <f>'ARCHIVE_Control Tower'!$B$91*'ARCHIVE_Control Tower'!$B$92/12</f>
        <v>4791.666666666667</v>
      </c>
      <c r="AB79" s="108">
        <f>'ARCHIVE_Control Tower'!$B$91*'ARCHIVE_Control Tower'!$B$92/12</f>
        <v>4791.666666666667</v>
      </c>
      <c r="AC79" s="108">
        <f>'ARCHIVE_Control Tower'!$B$91*'ARCHIVE_Control Tower'!$B$92/12</f>
        <v>4791.666666666667</v>
      </c>
      <c r="AD79" s="108">
        <f>'ARCHIVE_Control Tower'!$B$91*'ARCHIVE_Control Tower'!$B$92/12</f>
        <v>4791.666666666667</v>
      </c>
      <c r="AE79" s="108">
        <f>'ARCHIVE_Control Tower'!$B$91*'ARCHIVE_Control Tower'!$B$92/12</f>
        <v>4791.666666666667</v>
      </c>
      <c r="AF79" s="108">
        <f>'ARCHIVE_Control Tower'!$B$91*'ARCHIVE_Control Tower'!$B$92/12</f>
        <v>4791.666666666667</v>
      </c>
      <c r="AG79" s="108">
        <f>'ARCHIVE_Control Tower'!$B$91*'ARCHIVE_Control Tower'!$B$92/12</f>
        <v>4791.666666666667</v>
      </c>
      <c r="AH79" s="108">
        <f>'ARCHIVE_Control Tower'!$B$91*'ARCHIVE_Control Tower'!$B$92/12</f>
        <v>4791.666666666667</v>
      </c>
      <c r="AI79" s="108">
        <f>'ARCHIVE_Control Tower'!$B$91*'ARCHIVE_Control Tower'!$B$92/12</f>
        <v>4791.666666666667</v>
      </c>
      <c r="AJ79" s="108">
        <f>'ARCHIVE_Control Tower'!$B$91*'ARCHIVE_Control Tower'!$B$92/12</f>
        <v>4791.666666666667</v>
      </c>
      <c r="AK79" s="108">
        <f>'ARCHIVE_Control Tower'!$B$91*'ARCHIVE_Control Tower'!$B$92/12</f>
        <v>4791.666666666667</v>
      </c>
      <c r="AL79" s="108">
        <f>'ARCHIVE_Control Tower'!$B$91*'ARCHIVE_Control Tower'!$B$92/12</f>
        <v>4791.666666666667</v>
      </c>
      <c r="AM79" s="108">
        <f>'ARCHIVE_Control Tower'!$B$91*'ARCHIVE_Control Tower'!$B$92/12</f>
        <v>4791.666666666667</v>
      </c>
      <c r="AN79" s="108">
        <f>'ARCHIVE_Control Tower'!$B$91*'ARCHIVE_Control Tower'!$B$92/12</f>
        <v>4791.666666666667</v>
      </c>
      <c r="AO79" s="108">
        <f>'ARCHIVE_Control Tower'!$B$91*'ARCHIVE_Control Tower'!$B$92/12</f>
        <v>4791.666666666667</v>
      </c>
      <c r="AP79" s="102">
        <f>IF(AO$10=0,0,AO79/AO$10)</f>
        <v>1.3060765545037578E-3</v>
      </c>
    </row>
    <row r="80" spans="1:42" x14ac:dyDescent="0.2">
      <c r="A80" s="104" t="s">
        <v>583</v>
      </c>
      <c r="B80" s="175">
        <v>7100</v>
      </c>
      <c r="C80" s="108">
        <f>'ARCHIVE_Control Tower'!$B$94*'ARCHIVE_Control Tower'!$B$95/12</f>
        <v>1000</v>
      </c>
      <c r="D80" s="108">
        <f>'ARCHIVE_Control Tower'!$B$94*'ARCHIVE_Control Tower'!$B$95/12</f>
        <v>1000</v>
      </c>
      <c r="E80" s="108">
        <f>'ARCHIVE_Control Tower'!$B$94*'ARCHIVE_Control Tower'!$B$95/12</f>
        <v>1000</v>
      </c>
      <c r="F80" s="108">
        <f>'ARCHIVE_Control Tower'!$B$94*'ARCHIVE_Control Tower'!$B$95/12</f>
        <v>1000</v>
      </c>
      <c r="G80" s="108">
        <f>'ARCHIVE_Control Tower'!$B$94*'ARCHIVE_Control Tower'!$B$95/12</f>
        <v>1000</v>
      </c>
      <c r="H80" s="108">
        <f>'ARCHIVE_Control Tower'!$B$94*'ARCHIVE_Control Tower'!$B$95/12</f>
        <v>1000</v>
      </c>
      <c r="I80" s="108">
        <f>'ARCHIVE_Control Tower'!$B$94*'ARCHIVE_Control Tower'!$B$95/12</f>
        <v>1000</v>
      </c>
      <c r="J80" s="108">
        <f>'ARCHIVE_Control Tower'!$B$94*'ARCHIVE_Control Tower'!$B$95/12</f>
        <v>1000</v>
      </c>
      <c r="K80" s="108">
        <f>'ARCHIVE_Control Tower'!$B$94*'ARCHIVE_Control Tower'!$B$95/12</f>
        <v>1000</v>
      </c>
      <c r="L80" s="108">
        <f>'ARCHIVE_Control Tower'!$B$94*'ARCHIVE_Control Tower'!$B$95/12</f>
        <v>1000</v>
      </c>
      <c r="M80" s="108">
        <f>'ARCHIVE_Control Tower'!$B$94*'ARCHIVE_Control Tower'!$B$95/12</f>
        <v>1000</v>
      </c>
      <c r="N80" s="108">
        <f>'ARCHIVE_Control Tower'!$B$94*'ARCHIVE_Control Tower'!$B$95/12</f>
        <v>1000</v>
      </c>
      <c r="O80" s="108">
        <f>'ARCHIVE_Control Tower'!$B$94*'ARCHIVE_Control Tower'!$B$95/12</f>
        <v>1000</v>
      </c>
      <c r="P80" s="108">
        <f>'ARCHIVE_Control Tower'!$B$94*'ARCHIVE_Control Tower'!$B$95/12</f>
        <v>1000</v>
      </c>
      <c r="Q80" s="108">
        <f>'ARCHIVE_Control Tower'!$B$94*'ARCHIVE_Control Tower'!$B$95/12</f>
        <v>1000</v>
      </c>
      <c r="R80" s="108">
        <f>'ARCHIVE_Control Tower'!$B$94*'ARCHIVE_Control Tower'!$B$95/12</f>
        <v>1000</v>
      </c>
      <c r="S80" s="108">
        <f>'ARCHIVE_Control Tower'!$B$94*'ARCHIVE_Control Tower'!$B$95/12</f>
        <v>1000</v>
      </c>
      <c r="T80" s="108">
        <f>'ARCHIVE_Control Tower'!$B$94*'ARCHIVE_Control Tower'!$B$95/12</f>
        <v>1000</v>
      </c>
      <c r="U80" s="108">
        <f>'ARCHIVE_Control Tower'!$B$94*'ARCHIVE_Control Tower'!$B$95/12</f>
        <v>1000</v>
      </c>
      <c r="V80" s="108">
        <f>'ARCHIVE_Control Tower'!$B$94*'ARCHIVE_Control Tower'!$B$95/12</f>
        <v>1000</v>
      </c>
      <c r="W80" s="108">
        <f>'ARCHIVE_Control Tower'!$B$94*'ARCHIVE_Control Tower'!$B$95/12</f>
        <v>1000</v>
      </c>
      <c r="X80" s="108">
        <f>'ARCHIVE_Control Tower'!$B$94*'ARCHIVE_Control Tower'!$B$95/12</f>
        <v>1000</v>
      </c>
      <c r="Y80" s="108">
        <f>'ARCHIVE_Control Tower'!$B$94*'ARCHIVE_Control Tower'!$B$95/12</f>
        <v>1000</v>
      </c>
      <c r="Z80" s="108">
        <f>'ARCHIVE_Control Tower'!$B$94*'ARCHIVE_Control Tower'!$B$95/12</f>
        <v>1000</v>
      </c>
      <c r="AA80" s="108">
        <f>'ARCHIVE_Control Tower'!$B$94*'ARCHIVE_Control Tower'!$B$95/12</f>
        <v>1000</v>
      </c>
      <c r="AB80" s="108">
        <f>'ARCHIVE_Control Tower'!$B$94*'ARCHIVE_Control Tower'!$B$95/12</f>
        <v>1000</v>
      </c>
      <c r="AC80" s="108">
        <f>'ARCHIVE_Control Tower'!$B$94*'ARCHIVE_Control Tower'!$B$95/12</f>
        <v>1000</v>
      </c>
      <c r="AD80" s="108">
        <f>'ARCHIVE_Control Tower'!$B$94*'ARCHIVE_Control Tower'!$B$95/12</f>
        <v>1000</v>
      </c>
      <c r="AE80" s="108">
        <f>'ARCHIVE_Control Tower'!$B$94*'ARCHIVE_Control Tower'!$B$95/12</f>
        <v>1000</v>
      </c>
      <c r="AF80" s="108">
        <f>'ARCHIVE_Control Tower'!$B$94*'ARCHIVE_Control Tower'!$B$95/12</f>
        <v>1000</v>
      </c>
      <c r="AG80" s="108">
        <f>'ARCHIVE_Control Tower'!$B$94*'ARCHIVE_Control Tower'!$B$95/12</f>
        <v>1000</v>
      </c>
      <c r="AH80" s="108">
        <f>'ARCHIVE_Control Tower'!$B$94*'ARCHIVE_Control Tower'!$B$95/12</f>
        <v>1000</v>
      </c>
      <c r="AI80" s="108">
        <f>'ARCHIVE_Control Tower'!$B$94*'ARCHIVE_Control Tower'!$B$95/12</f>
        <v>1000</v>
      </c>
      <c r="AJ80" s="108">
        <f>'ARCHIVE_Control Tower'!$B$94*'ARCHIVE_Control Tower'!$B$95/12</f>
        <v>1000</v>
      </c>
      <c r="AK80" s="108">
        <f>'ARCHIVE_Control Tower'!$B$94*'ARCHIVE_Control Tower'!$B$95/12</f>
        <v>1000</v>
      </c>
      <c r="AL80" s="108">
        <f>'ARCHIVE_Control Tower'!$B$94*'ARCHIVE_Control Tower'!$B$95/12</f>
        <v>1000</v>
      </c>
      <c r="AM80" s="108">
        <f>'ARCHIVE_Control Tower'!$B$94*'ARCHIVE_Control Tower'!$B$95/12</f>
        <v>1000</v>
      </c>
      <c r="AN80" s="108">
        <f>'ARCHIVE_Control Tower'!$B$94*'ARCHIVE_Control Tower'!$B$95/12</f>
        <v>1000</v>
      </c>
      <c r="AO80" s="108">
        <f>'ARCHIVE_Control Tower'!$B$94*'ARCHIVE_Control Tower'!$B$95/12</f>
        <v>1000</v>
      </c>
      <c r="AP80" s="102">
        <f>IF(AO$10=0,0,AO80/AO$10)</f>
        <v>2.7257249833121896E-4</v>
      </c>
    </row>
    <row r="81" spans="1:42" x14ac:dyDescent="0.2">
      <c r="A81" s="109" t="s">
        <v>590</v>
      </c>
      <c r="B81" s="175">
        <v>7200</v>
      </c>
      <c r="C81" s="108">
        <f>IF(COLUMN()-2&lt;=3,'ARCHIVE_Control Tower'!$B$98,0)</f>
        <v>25000</v>
      </c>
      <c r="D81" s="108">
        <f>IF(COLUMN()-2&lt;=3,'ARCHIVE_Control Tower'!$B$98,0)</f>
        <v>25000</v>
      </c>
      <c r="E81" s="108">
        <f>IF(COLUMN()-2&lt;=3,'ARCHIVE_Control Tower'!$B$98,0)</f>
        <v>25000</v>
      </c>
      <c r="F81" s="108">
        <f>IF(COLUMN()-2&lt;=3,'ARCHIVE_Control Tower'!$B$98,0)</f>
        <v>0</v>
      </c>
      <c r="G81" s="108">
        <f>IF(COLUMN()-2&lt;=3,'ARCHIVE_Control Tower'!$B$98,0)</f>
        <v>0</v>
      </c>
      <c r="H81" s="108">
        <f>IF(COLUMN()-2&lt;=3,'ARCHIVE_Control Tower'!$B$98,0)</f>
        <v>0</v>
      </c>
      <c r="I81" s="108">
        <f>IF(COLUMN()-2&lt;=3,'ARCHIVE_Control Tower'!$B$98,0)</f>
        <v>0</v>
      </c>
      <c r="J81" s="108">
        <f>IF(COLUMN()-2&lt;=3,'ARCHIVE_Control Tower'!$B$98,0)</f>
        <v>0</v>
      </c>
      <c r="K81" s="108">
        <f>IF(COLUMN()-2&lt;=3,'ARCHIVE_Control Tower'!$B$98,0)</f>
        <v>0</v>
      </c>
      <c r="L81" s="108">
        <f>IF(COLUMN()-2&lt;=3,'ARCHIVE_Control Tower'!$B$98,0)</f>
        <v>0</v>
      </c>
      <c r="M81" s="108">
        <f>IF(COLUMN()-2&lt;=3,'ARCHIVE_Control Tower'!$B$98,0)</f>
        <v>0</v>
      </c>
      <c r="N81" s="108">
        <f>IF(COLUMN()-2&lt;=3,'ARCHIVE_Control Tower'!$B$98,0)</f>
        <v>0</v>
      </c>
      <c r="O81" s="108">
        <f>IF(COLUMN()-2&lt;=3,'ARCHIVE_Control Tower'!$B$98,0)</f>
        <v>0</v>
      </c>
      <c r="P81" s="108">
        <f>IF(COLUMN()-2&lt;=3,'ARCHIVE_Control Tower'!$B$98,0)</f>
        <v>0</v>
      </c>
      <c r="Q81" s="108">
        <f>IF(COLUMN()-2&lt;=3,'ARCHIVE_Control Tower'!$B$98,0)</f>
        <v>0</v>
      </c>
      <c r="R81" s="108">
        <f>IF(COLUMN()-2&lt;=3,'ARCHIVE_Control Tower'!$B$98,0)</f>
        <v>0</v>
      </c>
      <c r="S81" s="108">
        <f>IF(COLUMN()-2&lt;=3,'ARCHIVE_Control Tower'!$B$98,0)</f>
        <v>0</v>
      </c>
      <c r="T81" s="108">
        <f>IF(COLUMN()-2&lt;=3,'ARCHIVE_Control Tower'!$B$98,0)</f>
        <v>0</v>
      </c>
      <c r="U81" s="108">
        <f>IF(COLUMN()-2&lt;=3,'ARCHIVE_Control Tower'!$B$98,0)</f>
        <v>0</v>
      </c>
      <c r="V81" s="108">
        <f>IF(COLUMN()-2&lt;=3,'ARCHIVE_Control Tower'!$B$98,0)</f>
        <v>0</v>
      </c>
      <c r="W81" s="108">
        <f>IF(COLUMN()-2&lt;=3,'ARCHIVE_Control Tower'!$B$98,0)</f>
        <v>0</v>
      </c>
      <c r="X81" s="108">
        <f>IF(COLUMN()-2&lt;=3,'ARCHIVE_Control Tower'!$B$98,0)</f>
        <v>0</v>
      </c>
      <c r="Y81" s="108">
        <f>IF(COLUMN()-2&lt;=3,'ARCHIVE_Control Tower'!$B$98,0)</f>
        <v>0</v>
      </c>
      <c r="Z81" s="108">
        <f>IF(COLUMN()-2&lt;=3,'ARCHIVE_Control Tower'!$B$98,0)</f>
        <v>0</v>
      </c>
      <c r="AA81" s="108">
        <f>IF(COLUMN()-2&lt;=3,'ARCHIVE_Control Tower'!$B$98,0)</f>
        <v>0</v>
      </c>
      <c r="AB81" s="108">
        <f>IF(COLUMN()-2&lt;=3,'ARCHIVE_Control Tower'!$B$98,0)</f>
        <v>0</v>
      </c>
      <c r="AC81" s="108">
        <f>IF(COLUMN()-2&lt;=3,'ARCHIVE_Control Tower'!$B$98,0)</f>
        <v>0</v>
      </c>
      <c r="AD81" s="108">
        <f>IF(COLUMN()-2&lt;=3,'ARCHIVE_Control Tower'!$B$98,0)</f>
        <v>0</v>
      </c>
      <c r="AE81" s="108">
        <f>IF(COLUMN()-2&lt;=3,'ARCHIVE_Control Tower'!$B$98,0)</f>
        <v>0</v>
      </c>
      <c r="AF81" s="108">
        <f>IF(COLUMN()-2&lt;=3,'ARCHIVE_Control Tower'!$B$98,0)</f>
        <v>0</v>
      </c>
      <c r="AG81" s="108">
        <f>IF(COLUMN()-2&lt;=3,'ARCHIVE_Control Tower'!$B$98,0)</f>
        <v>0</v>
      </c>
      <c r="AH81" s="108">
        <f>IF(COLUMN()-2&lt;=3,'ARCHIVE_Control Tower'!$B$98,0)</f>
        <v>0</v>
      </c>
      <c r="AI81" s="108">
        <f>IF(COLUMN()-2&lt;=3,'ARCHIVE_Control Tower'!$B$98,0)</f>
        <v>0</v>
      </c>
      <c r="AJ81" s="108">
        <f>IF(COLUMN()-2&lt;=3,'ARCHIVE_Control Tower'!$B$98,0)</f>
        <v>0</v>
      </c>
      <c r="AK81" s="108">
        <f>IF(COLUMN()-2&lt;=3,'ARCHIVE_Control Tower'!$B$98,0)</f>
        <v>0</v>
      </c>
      <c r="AL81" s="108">
        <f>IF(COLUMN()-2&lt;=3,'ARCHIVE_Control Tower'!$B$98,0)</f>
        <v>0</v>
      </c>
      <c r="AM81" s="108">
        <f>SUM(C81:N81)</f>
        <v>75000</v>
      </c>
      <c r="AN81" s="108">
        <f>SUM(O81:Z81)</f>
        <v>0</v>
      </c>
      <c r="AO81" s="108">
        <f>SUM(AA81:AL81)</f>
        <v>0</v>
      </c>
      <c r="AP81" s="102">
        <f>IF(AO$10=0,0,AO81/AO$10)</f>
        <v>0</v>
      </c>
    </row>
    <row r="82" spans="1:42" x14ac:dyDescent="0.2">
      <c r="A82" s="109" t="s">
        <v>591</v>
      </c>
      <c r="B82" s="175">
        <v>7200</v>
      </c>
      <c r="C82" s="108">
        <f>IF(COLUMN()-2&gt;3,-IPMT('ARCHIVE_Control Tower'!$B$99/12,COLUMN()-2-3,'ARCHIVE_Control Tower'!$B$100,'ARCHIVE_Control Tower'!$B$97-3*'ARCHIVE_Control Tower'!$B$98),0)</f>
        <v>0</v>
      </c>
      <c r="D82" s="108">
        <f>IF(COLUMN()-2&gt;3,-IPMT('ARCHIVE_Control Tower'!$B$99/12,COLUMN()-2-3,'ARCHIVE_Control Tower'!$B$100,'ARCHIVE_Control Tower'!$B$97-3*'ARCHIVE_Control Tower'!$B$98),0)</f>
        <v>0</v>
      </c>
      <c r="E82" s="108">
        <f>IF(COLUMN()-2&gt;3,-IPMT('ARCHIVE_Control Tower'!$B$99/12,COLUMN()-2-3,'ARCHIVE_Control Tower'!$B$100,'ARCHIVE_Control Tower'!$B$97-3*'ARCHIVE_Control Tower'!$B$98),0)</f>
        <v>0</v>
      </c>
      <c r="F82" s="108">
        <f>IF(COLUMN()-2&gt;3,-IPMT('ARCHIVE_Control Tower'!$B$99/12,COLUMN()-2-3,'ARCHIVE_Control Tower'!$B$100,'ARCHIVE_Control Tower'!$B$97-3*'ARCHIVE_Control Tower'!$B$98),0)</f>
        <v>1124.9999999999998</v>
      </c>
      <c r="G82" s="108">
        <f>IF(COLUMN()-2&gt;3,-IPMT('ARCHIVE_Control Tower'!$B$99/12,COLUMN()-2-3,'ARCHIVE_Control Tower'!$B$100,'ARCHIVE_Control Tower'!$B$97-3*'ARCHIVE_Control Tower'!$B$98),0)</f>
        <v>1096.4003203670006</v>
      </c>
      <c r="H82" s="108">
        <f>IF(COLUMN()-2&gt;3,-IPMT('ARCHIVE_Control Tower'!$B$99/12,COLUMN()-2-3,'ARCHIVE_Control Tower'!$B$100,'ARCHIVE_Control Tower'!$B$97-3*'ARCHIVE_Control Tower'!$B$98),0)</f>
        <v>1067.6576423358358</v>
      </c>
      <c r="I82" s="108">
        <f>IF(COLUMN()-2&gt;3,-IPMT('ARCHIVE_Control Tower'!$B$99/12,COLUMN()-2-3,'ARCHIVE_Control Tower'!$B$100,'ARCHIVE_Control Tower'!$B$97-3*'ARCHIVE_Control Tower'!$B$98),0)</f>
        <v>1038.7712509145156</v>
      </c>
      <c r="J82" s="108">
        <f>IF(COLUMN()-2&gt;3,-IPMT('ARCHIVE_Control Tower'!$B$99/12,COLUMN()-2-3,'ARCHIVE_Control Tower'!$B$100,'ARCHIVE_Control Tower'!$B$97-3*'ARCHIVE_Control Tower'!$B$98),0)</f>
        <v>1009.7404275360884</v>
      </c>
      <c r="K82" s="108">
        <f>IF(COLUMN()-2&gt;3,-IPMT('ARCHIVE_Control Tower'!$B$99/12,COLUMN()-2-3,'ARCHIVE_Control Tower'!$B$100,'ARCHIVE_Control Tower'!$B$97-3*'ARCHIVE_Control Tower'!$B$98),0)</f>
        <v>980.56445004076966</v>
      </c>
      <c r="L82" s="108">
        <f>IF(COLUMN()-2&gt;3,-IPMT('ARCHIVE_Control Tower'!$B$99/12,COLUMN()-2-3,'ARCHIVE_Control Tower'!$B$100,'ARCHIVE_Control Tower'!$B$97-3*'ARCHIVE_Control Tower'!$B$98),0)</f>
        <v>951.242592657974</v>
      </c>
      <c r="M82" s="108">
        <f>IF(COLUMN()-2&gt;3,-IPMT('ARCHIVE_Control Tower'!$B$99/12,COLUMN()-2-3,'ARCHIVE_Control Tower'!$B$100,'ARCHIVE_Control Tower'!$B$97-3*'ARCHIVE_Control Tower'!$B$98),0)</f>
        <v>921.77412598826425</v>
      </c>
      <c r="N82" s="108">
        <f>IF(COLUMN()-2&gt;3,-IPMT('ARCHIVE_Control Tower'!$B$99/12,COLUMN()-2-3,'ARCHIVE_Control Tower'!$B$100,'ARCHIVE_Control Tower'!$B$97-3*'ARCHIVE_Control Tower'!$B$98),0)</f>
        <v>892.15831698520606</v>
      </c>
      <c r="O82" s="108">
        <f>IF(COLUMN()-2&gt;3,-IPMT('ARCHIVE_Control Tower'!$B$99/12,COLUMN()-2-3,'ARCHIVE_Control Tower'!$B$100,'ARCHIVE_Control Tower'!$B$97-3*'ARCHIVE_Control Tower'!$B$98),0)</f>
        <v>862.3944289371326</v>
      </c>
      <c r="P82" s="108">
        <f>IF(COLUMN()-2&gt;3,-IPMT('ARCHIVE_Control Tower'!$B$99/12,COLUMN()-2-3,'ARCHIVE_Control Tower'!$B$100,'ARCHIVE_Control Tower'!$B$97-3*'ARCHIVE_Control Tower'!$B$98),0)</f>
        <v>832.48172144881858</v>
      </c>
      <c r="Q82" s="108">
        <f>IF(COLUMN()-2&gt;3,-IPMT('ARCHIVE_Control Tower'!$B$99/12,COLUMN()-2-3,'ARCHIVE_Control Tower'!$B$100,'ARCHIVE_Control Tower'!$B$97-3*'ARCHIVE_Control Tower'!$B$98),0)</f>
        <v>802.41945042306338</v>
      </c>
      <c r="R82" s="108">
        <f>IF(COLUMN()-2&gt;3,-IPMT('ARCHIVE_Control Tower'!$B$99/12,COLUMN()-2-3,'ARCHIVE_Control Tower'!$B$100,'ARCHIVE_Control Tower'!$B$97-3*'ARCHIVE_Control Tower'!$B$98),0)</f>
        <v>772.20686804217928</v>
      </c>
      <c r="S82" s="108">
        <f>IF(COLUMN()-2&gt;3,-IPMT('ARCHIVE_Control Tower'!$B$99/12,COLUMN()-2-3,'ARCHIVE_Control Tower'!$B$100,'ARCHIVE_Control Tower'!$B$97-3*'ARCHIVE_Control Tower'!$B$98),0)</f>
        <v>741.84322274939052</v>
      </c>
      <c r="T82" s="108">
        <f>IF(COLUMN()-2&gt;3,-IPMT('ARCHIVE_Control Tower'!$B$99/12,COLUMN()-2-3,'ARCHIVE_Control Tower'!$B$100,'ARCHIVE_Control Tower'!$B$97-3*'ARCHIVE_Control Tower'!$B$98),0)</f>
        <v>711.3277592301381</v>
      </c>
      <c r="U82" s="108">
        <f>IF(COLUMN()-2&gt;3,-IPMT('ARCHIVE_Control Tower'!$B$99/12,COLUMN()-2-3,'ARCHIVE_Control Tower'!$B$100,'ARCHIVE_Control Tower'!$B$97-3*'ARCHIVE_Control Tower'!$B$98),0)</f>
        <v>680.65971839328927</v>
      </c>
      <c r="V82" s="108">
        <f>IF(COLUMN()-2&gt;3,-IPMT('ARCHIVE_Control Tower'!$B$99/12,COLUMN()-2-3,'ARCHIVE_Control Tower'!$B$100,'ARCHIVE_Control Tower'!$B$97-3*'ARCHIVE_Control Tower'!$B$98),0)</f>
        <v>649.83833735225619</v>
      </c>
      <c r="W82" s="108">
        <f>IF(COLUMN()-2&gt;3,-IPMT('ARCHIVE_Control Tower'!$B$99/12,COLUMN()-2-3,'ARCHIVE_Control Tower'!$B$100,'ARCHIVE_Control Tower'!$B$97-3*'ARCHIVE_Control Tower'!$B$98),0)</f>
        <v>618.86284940601797</v>
      </c>
      <c r="X82" s="108">
        <f>IF(COLUMN()-2&gt;3,-IPMT('ARCHIVE_Control Tower'!$B$99/12,COLUMN()-2-3,'ARCHIVE_Control Tower'!$B$100,'ARCHIVE_Control Tower'!$B$97-3*'ARCHIVE_Control Tower'!$B$98),0)</f>
        <v>587.73248402004856</v>
      </c>
      <c r="Y82" s="108">
        <f>IF(COLUMN()-2&gt;3,-IPMT('ARCHIVE_Control Tower'!$B$99/12,COLUMN()-2-3,'ARCHIVE_Control Tower'!$B$100,'ARCHIVE_Control Tower'!$B$97-3*'ARCHIVE_Control Tower'!$B$98),0)</f>
        <v>556.44646680714925</v>
      </c>
      <c r="Z82" s="108">
        <f>IF(COLUMN()-2&gt;3,-IPMT('ARCHIVE_Control Tower'!$B$99/12,COLUMN()-2-3,'ARCHIVE_Control Tower'!$B$100,'ARCHIVE_Control Tower'!$B$97-3*'ARCHIVE_Control Tower'!$B$98),0)</f>
        <v>525.00401950818548</v>
      </c>
      <c r="AA82" s="108">
        <f>IF(COLUMN()-2&gt;3,-IPMT('ARCHIVE_Control Tower'!$B$99/12,COLUMN()-2-3,'ARCHIVE_Control Tower'!$B$100,'ARCHIVE_Control Tower'!$B$97-3*'ARCHIVE_Control Tower'!$B$98),0)</f>
        <v>493.40435997272692</v>
      </c>
      <c r="AB82" s="108">
        <f>IF(COLUMN()-2&gt;3,-IPMT('ARCHIVE_Control Tower'!$B$99/12,COLUMN()-2-3,'ARCHIVE_Control Tower'!$B$100,'ARCHIVE_Control Tower'!$B$97-3*'ARCHIVE_Control Tower'!$B$98),0)</f>
        <v>461.64670213959101</v>
      </c>
      <c r="AC82" s="108">
        <f>IF(COLUMN()-2&gt;3,-IPMT('ARCHIVE_Control Tower'!$B$99/12,COLUMN()-2-3,'ARCHIVE_Control Tower'!$B$100,'ARCHIVE_Control Tower'!$B$97-3*'ARCHIVE_Control Tower'!$B$98),0)</f>
        <v>429.73025601728949</v>
      </c>
      <c r="AD82" s="108">
        <f>IF(COLUMN()-2&gt;3,-IPMT('ARCHIVE_Control Tower'!$B$99/12,COLUMN()-2-3,'ARCHIVE_Control Tower'!$B$100,'ARCHIVE_Control Tower'!$B$97-3*'ARCHIVE_Control Tower'!$B$98),0)</f>
        <v>397.65422766437644</v>
      </c>
      <c r="AE82" s="108">
        <f>IF(COLUMN()-2&gt;3,-IPMT('ARCHIVE_Control Tower'!$B$99/12,COLUMN()-2-3,'ARCHIVE_Control Tower'!$B$100,'ARCHIVE_Control Tower'!$B$97-3*'ARCHIVE_Control Tower'!$B$98),0)</f>
        <v>365.41781916969887</v>
      </c>
      <c r="AF82" s="108">
        <f>IF(COLUMN()-2&gt;3,-IPMT('ARCHIVE_Control Tower'!$B$99/12,COLUMN()-2-3,'ARCHIVE_Control Tower'!$B$100,'ARCHIVE_Control Tower'!$B$97-3*'ARCHIVE_Control Tower'!$B$98),0)</f>
        <v>333.0202286325478</v>
      </c>
      <c r="AG82" s="108">
        <f>IF(COLUMN()-2&gt;3,-IPMT('ARCHIVE_Control Tower'!$B$99/12,COLUMN()-2-3,'ARCHIVE_Control Tower'!$B$100,'ARCHIVE_Control Tower'!$B$97-3*'ARCHIVE_Control Tower'!$B$98),0)</f>
        <v>300.46065014271107</v>
      </c>
      <c r="AH82" s="108">
        <f>IF(COLUMN()-2&gt;3,-IPMT('ARCHIVE_Control Tower'!$B$99/12,COLUMN()-2-3,'ARCHIVE_Control Tower'!$B$100,'ARCHIVE_Control Tower'!$B$97-3*'ARCHIVE_Control Tower'!$B$98),0)</f>
        <v>267.7382737604251</v>
      </c>
      <c r="AI82" s="108">
        <f>IF(COLUMN()-2&gt;3,-IPMT('ARCHIVE_Control Tower'!$B$99/12,COLUMN()-2-3,'ARCHIVE_Control Tower'!$B$100,'ARCHIVE_Control Tower'!$B$97-3*'ARCHIVE_Control Tower'!$B$98),0)</f>
        <v>234.85228549622767</v>
      </c>
      <c r="AJ82" s="108">
        <f>IF(COLUMN()-2&gt;3,-IPMT('ARCHIVE_Control Tower'!$B$99/12,COLUMN()-2-3,'ARCHIVE_Control Tower'!$B$100,'ARCHIVE_Control Tower'!$B$97-3*'ARCHIVE_Control Tower'!$B$98),0)</f>
        <v>201.80186729070934</v>
      </c>
      <c r="AK82" s="108">
        <f>IF(COLUMN()-2&gt;3,-IPMT('ARCHIVE_Control Tower'!$B$99/12,COLUMN()-2-3,'ARCHIVE_Control Tower'!$B$100,'ARCHIVE_Control Tower'!$B$97-3*'ARCHIVE_Control Tower'!$B$98),0)</f>
        <v>168.5861969941634</v>
      </c>
      <c r="AL82" s="108">
        <f>IF(COLUMN()-2&gt;3,-IPMT('ARCHIVE_Control Tower'!$B$99/12,COLUMN()-2-3,'ARCHIVE_Control Tower'!$B$100,'ARCHIVE_Control Tower'!$B$97-3*'ARCHIVE_Control Tower'!$B$98),0)</f>
        <v>135.20444834613468</v>
      </c>
      <c r="AM82" s="108">
        <f>SUM(C82:N82)</f>
        <v>9083.3091268256539</v>
      </c>
      <c r="AN82" s="108">
        <f>SUM(O82:Z82)</f>
        <v>8341.2173263176683</v>
      </c>
      <c r="AO82" s="108">
        <f>SUM(AA82:AL82)</f>
        <v>3789.5173156266014</v>
      </c>
      <c r="AP82" s="102">
        <f>IF(AO$10=0,0,AO82/AO$10)</f>
        <v>1.0329182021897572E-3</v>
      </c>
    </row>
    <row r="83" spans="1:42" x14ac:dyDescent="0.2">
      <c r="A83" s="110" t="s">
        <v>584</v>
      </c>
      <c r="B83" s="2"/>
      <c r="C83" s="111">
        <f>SUM(C78:C82)</f>
        <v>32458.333333333336</v>
      </c>
      <c r="D83" s="111">
        <f>SUM(D78:D82)</f>
        <v>32458.333333333336</v>
      </c>
      <c r="E83" s="111">
        <f>SUM(E78:E82)</f>
        <v>32458.333333333336</v>
      </c>
      <c r="F83" s="111">
        <f>SUM(F78:F82)</f>
        <v>8583.3333333333339</v>
      </c>
      <c r="G83" s="111">
        <f>SUM(G78:G82)</f>
        <v>8554.7336537003339</v>
      </c>
      <c r="H83" s="111">
        <f>SUM(H78:H82)</f>
        <v>8525.9909756691704</v>
      </c>
      <c r="I83" s="111">
        <f>SUM(I78:I82)</f>
        <v>8497.1045842478488</v>
      </c>
      <c r="J83" s="111">
        <f>SUM(J78:J82)</f>
        <v>8468.0737608694217</v>
      </c>
      <c r="K83" s="111">
        <f>SUM(K78:K82)</f>
        <v>8438.8977833741028</v>
      </c>
      <c r="L83" s="111">
        <f>SUM(L78:L82)</f>
        <v>8409.5759259913084</v>
      </c>
      <c r="M83" s="111">
        <f>SUM(M78:M82)</f>
        <v>8380.1074593215981</v>
      </c>
      <c r="N83" s="111">
        <f>SUM(N78:N82)</f>
        <v>8350.4916503185395</v>
      </c>
      <c r="O83" s="111">
        <f>SUM(O78:O82)</f>
        <v>8320.727762270466</v>
      </c>
      <c r="P83" s="111">
        <f>SUM(P78:P82)</f>
        <v>8290.8150547821533</v>
      </c>
      <c r="Q83" s="111">
        <f>SUM(Q78:Q82)</f>
        <v>8260.7527837563975</v>
      </c>
      <c r="R83" s="111">
        <f>SUM(R78:R82)</f>
        <v>8230.5402013755138</v>
      </c>
      <c r="S83" s="111">
        <f>SUM(S78:S82)</f>
        <v>8200.1765560827243</v>
      </c>
      <c r="T83" s="111">
        <f>SUM(T78:T82)</f>
        <v>8169.6610925634723</v>
      </c>
      <c r="U83" s="111">
        <f>SUM(U78:U82)</f>
        <v>8138.993051726623</v>
      </c>
      <c r="V83" s="111">
        <f>SUM(V78:V82)</f>
        <v>8108.1716706855905</v>
      </c>
      <c r="W83" s="111">
        <f>SUM(W78:W82)</f>
        <v>8077.1961827393516</v>
      </c>
      <c r="X83" s="111">
        <f>SUM(X78:X82)</f>
        <v>8046.065817353383</v>
      </c>
      <c r="Y83" s="111">
        <f>SUM(Y78:Y82)</f>
        <v>8014.7798001404835</v>
      </c>
      <c r="Z83" s="111">
        <f>SUM(Z78:Z82)</f>
        <v>7983.3373528415195</v>
      </c>
      <c r="AA83" s="111">
        <f>SUM(AA78:AA82)</f>
        <v>7951.7376933060605</v>
      </c>
      <c r="AB83" s="111">
        <f>SUM(AB78:AB82)</f>
        <v>7919.980035472925</v>
      </c>
      <c r="AC83" s="111">
        <f>SUM(AC78:AC82)</f>
        <v>7888.0635893506233</v>
      </c>
      <c r="AD83" s="111">
        <f>SUM(AD78:AD82)</f>
        <v>7855.9875609977107</v>
      </c>
      <c r="AE83" s="111">
        <f>SUM(AE78:AE82)</f>
        <v>7823.7511525030332</v>
      </c>
      <c r="AF83" s="111">
        <f>SUM(AF78:AF82)</f>
        <v>7791.3535619658815</v>
      </c>
      <c r="AG83" s="111">
        <f>SUM(AG78:AG82)</f>
        <v>7758.7939834760455</v>
      </c>
      <c r="AH83" s="111">
        <f>SUM(AH78:AH82)</f>
        <v>7726.0716070937588</v>
      </c>
      <c r="AI83" s="111">
        <f>SUM(AI78:AI82)</f>
        <v>7693.1856188295615</v>
      </c>
      <c r="AJ83" s="111">
        <f>SUM(AJ78:AJ82)</f>
        <v>7660.1352006240431</v>
      </c>
      <c r="AK83" s="111">
        <f>SUM(AK78:AK82)</f>
        <v>7626.9195303274973</v>
      </c>
      <c r="AL83" s="111">
        <f>SUM(AL78:AL82)</f>
        <v>7593.5377816794689</v>
      </c>
      <c r="AM83" s="111">
        <f>SUM(AM78:AM82)</f>
        <v>91541.642460158982</v>
      </c>
      <c r="AN83" s="111">
        <f>SUM(AN78:AN82)</f>
        <v>15799.550659651002</v>
      </c>
      <c r="AO83" s="111">
        <f>SUM(AO78:AO82)</f>
        <v>11247.850648959935</v>
      </c>
      <c r="AP83" s="114">
        <f>IF(AO$10=0,0,AO83/AO$10)</f>
        <v>3.0658547522434323E-3</v>
      </c>
    </row>
    <row r="84" spans="1:42" x14ac:dyDescent="0.2">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row>
    <row r="85" spans="1:42" x14ac:dyDescent="0.2">
      <c r="A85" s="105" t="s">
        <v>410</v>
      </c>
      <c r="B85" s="101"/>
      <c r="C85" s="112">
        <f>C74-C83</f>
        <v>-15392.974646122791</v>
      </c>
      <c r="D85" s="112">
        <f t="shared" ref="D85:AO85" si="8">D74-D83</f>
        <v>-29434.239321161396</v>
      </c>
      <c r="E85" s="112">
        <f t="shared" si="8"/>
        <v>-36881.027908680699</v>
      </c>
      <c r="F85" s="112">
        <f t="shared" si="8"/>
        <v>-3843.8863337192724</v>
      </c>
      <c r="G85" s="112">
        <f t="shared" si="8"/>
        <v>5346.8549208751228</v>
      </c>
      <c r="H85" s="112">
        <f t="shared" si="8"/>
        <v>9956.6683863869766</v>
      </c>
      <c r="I85" s="112">
        <f t="shared" si="8"/>
        <v>14322.024477769737</v>
      </c>
      <c r="J85" s="112">
        <f t="shared" si="8"/>
        <v>18932.12608862884</v>
      </c>
      <c r="K85" s="112">
        <f t="shared" si="8"/>
        <v>28123.443641085556</v>
      </c>
      <c r="L85" s="112">
        <f t="shared" si="8"/>
        <v>37314.907073429764</v>
      </c>
      <c r="M85" s="112">
        <f t="shared" si="8"/>
        <v>34276.633827580197</v>
      </c>
      <c r="N85" s="112">
        <f t="shared" si="8"/>
        <v>43468.391211544636</v>
      </c>
      <c r="O85" s="112">
        <f t="shared" si="8"/>
        <v>45809.022293323411</v>
      </c>
      <c r="P85" s="112">
        <f t="shared" si="8"/>
        <v>55001.076575773142</v>
      </c>
      <c r="Q85" s="112">
        <f t="shared" si="8"/>
        <v>54656.767603029613</v>
      </c>
      <c r="R85" s="112">
        <f t="shared" si="8"/>
        <v>63849.121760371891</v>
      </c>
      <c r="S85" s="112">
        <f t="shared" si="8"/>
        <v>68460.556193145385</v>
      </c>
      <c r="T85" s="112">
        <f t="shared" si="8"/>
        <v>77653.213231626054</v>
      </c>
      <c r="U85" s="112">
        <f t="shared" si="8"/>
        <v>82264.952059943607</v>
      </c>
      <c r="V85" s="112">
        <f t="shared" si="8"/>
        <v>86876.844228465343</v>
      </c>
      <c r="W85" s="112">
        <f t="shared" si="8"/>
        <v>88206.684416372984</v>
      </c>
      <c r="X85" s="112">
        <f t="shared" si="8"/>
        <v>92818.88556923969</v>
      </c>
      <c r="Y85" s="112">
        <f t="shared" si="8"/>
        <v>97056.871130163941</v>
      </c>
      <c r="Z85" s="112">
        <f t="shared" si="8"/>
        <v>101669.38436494363</v>
      </c>
      <c r="AA85" s="112">
        <f t="shared" si="8"/>
        <v>103455.52028227225</v>
      </c>
      <c r="AB85" s="112">
        <f t="shared" si="8"/>
        <v>108068.3487275861</v>
      </c>
      <c r="AC85" s="112">
        <f t="shared" si="8"/>
        <v>108100.26517370839</v>
      </c>
      <c r="AD85" s="112">
        <f t="shared" si="8"/>
        <v>112713.41198954202</v>
      </c>
      <c r="AE85" s="112">
        <f t="shared" si="8"/>
        <v>117326.7191855174</v>
      </c>
      <c r="AF85" s="112">
        <f t="shared" si="8"/>
        <v>121940.18756353528</v>
      </c>
      <c r="AG85" s="112">
        <f t="shared" si="8"/>
        <v>126553.81792950579</v>
      </c>
      <c r="AH85" s="112">
        <f t="shared" si="8"/>
        <v>131167.61109336879</v>
      </c>
      <c r="AI85" s="112">
        <f t="shared" si="8"/>
        <v>135781.5678691137</v>
      </c>
      <c r="AJ85" s="112">
        <f t="shared" si="8"/>
        <v>135814.61828731923</v>
      </c>
      <c r="AK85" s="112">
        <f t="shared" si="8"/>
        <v>140428.90474509652</v>
      </c>
      <c r="AL85" s="112">
        <f t="shared" si="8"/>
        <v>145043.35728122518</v>
      </c>
      <c r="AM85" s="112">
        <f t="shared" si="8"/>
        <v>370343.58808428346</v>
      </c>
      <c r="AN85" s="112">
        <f t="shared" si="8"/>
        <v>1194903.0460930653</v>
      </c>
      <c r="AO85" s="112">
        <f t="shared" si="8"/>
        <v>1778823.9967944573</v>
      </c>
      <c r="AP85" s="103">
        <f>IF(AO$10=0,0,AO85/AO$10)</f>
        <v>0.48485850089778948</v>
      </c>
    </row>
    <row r="86" spans="1:42" x14ac:dyDescent="0.2">
      <c r="A86" s="104" t="s">
        <v>585</v>
      </c>
      <c r="B86" s="175">
        <v>9000</v>
      </c>
      <c r="C86" s="108">
        <f>IF(C85&gt;0,C10*'ARCHIVE_Control Tower'!$B$96,0)</f>
        <v>0</v>
      </c>
      <c r="D86" s="108">
        <f>IF(D85&gt;0,D10*'ARCHIVE_Control Tower'!$B$96,0)</f>
        <v>0</v>
      </c>
      <c r="E86" s="108">
        <f>IF(E85&gt;0,E10*'ARCHIVE_Control Tower'!$B$96,0)</f>
        <v>0</v>
      </c>
      <c r="F86" s="108">
        <f>IF(F85&gt;0,F10*'ARCHIVE_Control Tower'!$B$96,0)</f>
        <v>0</v>
      </c>
      <c r="G86" s="108">
        <f>IF(G85&gt;0,G10*'ARCHIVE_Control Tower'!$B$96,0)</f>
        <v>455.1455159103653</v>
      </c>
      <c r="H86" s="108">
        <f>IF(H85&gt;0,H10*'ARCHIVE_Control Tower'!$B$96,0)</f>
        <v>475.83394845174553</v>
      </c>
      <c r="I86" s="108">
        <f>IF(I85&gt;0,I10*'ARCHIVE_Control Tower'!$B$96,0)</f>
        <v>517.21081353450609</v>
      </c>
      <c r="J86" s="108">
        <f>IF(J85&gt;0,J10*'ARCHIVE_Control Tower'!$B$96,0)</f>
        <v>537.89924607588625</v>
      </c>
      <c r="K86" s="108">
        <f>IF(K85&gt;0,K10*'ARCHIVE_Control Tower'!$B$96,0)</f>
        <v>579.2761111586467</v>
      </c>
      <c r="L86" s="108">
        <f>IF(L85&gt;0,L10*'ARCHIVE_Control Tower'!$B$96,0)</f>
        <v>620.65297624140715</v>
      </c>
      <c r="M86" s="108">
        <f>IF(M85&gt;0,M10*'ARCHIVE_Control Tower'!$B$96,0)</f>
        <v>641.34140878278754</v>
      </c>
      <c r="N86" s="108">
        <f>IF(N85&gt;0,N10*'ARCHIVE_Control Tower'!$B$96,0)</f>
        <v>682.71827386554787</v>
      </c>
      <c r="O86" s="108">
        <f>IF(O85&gt;0,O10*'ARCHIVE_Control Tower'!$B$96,0)</f>
        <v>703.40670640692815</v>
      </c>
      <c r="P86" s="108">
        <f>IF(P85&gt;0,P10*'ARCHIVE_Control Tower'!$B$96,0)</f>
        <v>744.7835714896886</v>
      </c>
      <c r="Q86" s="108">
        <f>IF(Q85&gt;0,Q10*'ARCHIVE_Control Tower'!$B$96,0)</f>
        <v>765.47200403106899</v>
      </c>
      <c r="R86" s="108">
        <f>IF(R85&gt;0,R10*'ARCHIVE_Control Tower'!$B$96,0)</f>
        <v>806.84886911382932</v>
      </c>
      <c r="S86" s="108">
        <f>IF(S85&gt;0,S10*'ARCHIVE_Control Tower'!$B$96,0)</f>
        <v>827.53730165520972</v>
      </c>
      <c r="T86" s="108">
        <f>IF(T85&gt;0,T10*'ARCHIVE_Control Tower'!$B$96,0)</f>
        <v>868.91416673797005</v>
      </c>
      <c r="U86" s="108">
        <f>IF(U85&gt;0,U10*'ARCHIVE_Control Tower'!$B$96,0)</f>
        <v>889.60259927935044</v>
      </c>
      <c r="V86" s="108">
        <f>IF(V85&gt;0,V10*'ARCHIVE_Control Tower'!$B$96,0)</f>
        <v>910.29103182073061</v>
      </c>
      <c r="W86" s="108">
        <f>IF(W85&gt;0,W10*'ARCHIVE_Control Tower'!$B$96,0)</f>
        <v>951.66789690349106</v>
      </c>
      <c r="X86" s="108">
        <f>IF(X85&gt;0,X10*'ARCHIVE_Control Tower'!$B$96,0)</f>
        <v>972.35632944487145</v>
      </c>
      <c r="Y86" s="108">
        <f>IF(Y85&gt;0,Y10*'ARCHIVE_Control Tower'!$B$96,0)</f>
        <v>1013.7331945276318</v>
      </c>
      <c r="Z86" s="108">
        <f>IF(Z85&gt;0,Z10*'ARCHIVE_Control Tower'!$B$96,0)</f>
        <v>1034.4216270690122</v>
      </c>
      <c r="AA86" s="108">
        <f>IF(AA85&gt;0,AA10*'ARCHIVE_Control Tower'!$B$96,0)</f>
        <v>1055.1100596103922</v>
      </c>
      <c r="AB86" s="108">
        <f>IF(AB85&gt;0,AB10*'ARCHIVE_Control Tower'!$B$96,0)</f>
        <v>1075.7984921517725</v>
      </c>
      <c r="AC86" s="108">
        <f>IF(AC85&gt;0,AC10*'ARCHIVE_Control Tower'!$B$96,0)</f>
        <v>1075.7984921517725</v>
      </c>
      <c r="AD86" s="108">
        <f>IF(AD85&gt;0,AD10*'ARCHIVE_Control Tower'!$B$96,0)</f>
        <v>1096.4869246931526</v>
      </c>
      <c r="AE86" s="108">
        <f>IF(AE85&gt;0,AE10*'ARCHIVE_Control Tower'!$B$96,0)</f>
        <v>1117.1753572345328</v>
      </c>
      <c r="AF86" s="108">
        <f>IF(AF85&gt;0,AF10*'ARCHIVE_Control Tower'!$B$96,0)</f>
        <v>1137.8637897759131</v>
      </c>
      <c r="AG86" s="108">
        <f>IF(AG85&gt;0,AG10*'ARCHIVE_Control Tower'!$B$96,0)</f>
        <v>1158.5522223172934</v>
      </c>
      <c r="AH86" s="108">
        <f>IF(AH85&gt;0,AH10*'ARCHIVE_Control Tower'!$B$96,0)</f>
        <v>1179.2406548586737</v>
      </c>
      <c r="AI86" s="108">
        <f>IF(AI85&gt;0,AI10*'ARCHIVE_Control Tower'!$B$96,0)</f>
        <v>1199.929087400054</v>
      </c>
      <c r="AJ86" s="108">
        <f>IF(AJ85&gt;0,AJ10*'ARCHIVE_Control Tower'!$B$96,0)</f>
        <v>1199.929087400054</v>
      </c>
      <c r="AK86" s="108">
        <f>IF(AK85&gt;0,AK10*'ARCHIVE_Control Tower'!$B$96,0)</f>
        <v>1220.6175199414342</v>
      </c>
      <c r="AL86" s="108">
        <f>IF(AL85&gt;0,AL10*'ARCHIVE_Control Tower'!$B$96,0)</f>
        <v>1241.3059524828143</v>
      </c>
      <c r="AM86" s="108">
        <f>IF(AM85&gt;0,AM10*'ARCHIVE_Control Tower'!$B$96,0)</f>
        <v>5958.2685719175088</v>
      </c>
      <c r="AN86" s="108">
        <f>IF(AN85&gt;0,AN10*'ARCHIVE_Control Tower'!$B$96,0)</f>
        <v>10489.035298479781</v>
      </c>
      <c r="AO86" s="108">
        <f>IF(AO85&gt;0,AO10*'ARCHIVE_Control Tower'!$B$96,0)</f>
        <v>13757.80764001786</v>
      </c>
      <c r="AP86" s="102">
        <f>IF(AO$10=0,0,AO86/AO$10)</f>
        <v>3.7499999999999999E-3</v>
      </c>
    </row>
    <row r="87" spans="1:42" ht="17" thickBot="1" x14ac:dyDescent="0.25">
      <c r="A87" s="115" t="s">
        <v>511</v>
      </c>
      <c r="B87" s="101"/>
      <c r="C87" s="116">
        <f>C85-C86</f>
        <v>-15392.974646122791</v>
      </c>
      <c r="D87" s="116">
        <f t="shared" ref="D87:AO87" si="9">D85-D86</f>
        <v>-29434.239321161396</v>
      </c>
      <c r="E87" s="116">
        <f t="shared" si="9"/>
        <v>-36881.027908680699</v>
      </c>
      <c r="F87" s="116">
        <f t="shared" si="9"/>
        <v>-3843.8863337192724</v>
      </c>
      <c r="G87" s="116">
        <f t="shared" si="9"/>
        <v>4891.7094049647576</v>
      </c>
      <c r="H87" s="116">
        <f t="shared" si="9"/>
        <v>9480.8344379352311</v>
      </c>
      <c r="I87" s="116">
        <f t="shared" si="9"/>
        <v>13804.813664235231</v>
      </c>
      <c r="J87" s="116">
        <f t="shared" si="9"/>
        <v>18394.226842552955</v>
      </c>
      <c r="K87" s="116">
        <f t="shared" si="9"/>
        <v>27544.167529926908</v>
      </c>
      <c r="L87" s="116">
        <f t="shared" si="9"/>
        <v>36694.254097188357</v>
      </c>
      <c r="M87" s="116">
        <f t="shared" si="9"/>
        <v>33635.292418797413</v>
      </c>
      <c r="N87" s="116">
        <f t="shared" si="9"/>
        <v>42785.67293767909</v>
      </c>
      <c r="O87" s="116">
        <f t="shared" si="9"/>
        <v>45105.61558691648</v>
      </c>
      <c r="P87" s="116">
        <f t="shared" si="9"/>
        <v>54256.293004283456</v>
      </c>
      <c r="Q87" s="116">
        <f t="shared" si="9"/>
        <v>53891.295598998542</v>
      </c>
      <c r="R87" s="116">
        <f t="shared" si="9"/>
        <v>63042.272891258064</v>
      </c>
      <c r="S87" s="116">
        <f t="shared" si="9"/>
        <v>67633.018891490181</v>
      </c>
      <c r="T87" s="116">
        <f t="shared" si="9"/>
        <v>76784.29906488808</v>
      </c>
      <c r="U87" s="116">
        <f t="shared" si="9"/>
        <v>81375.349460664263</v>
      </c>
      <c r="V87" s="116">
        <f t="shared" si="9"/>
        <v>85966.553196644614</v>
      </c>
      <c r="W87" s="116">
        <f t="shared" si="9"/>
        <v>87255.0165194695</v>
      </c>
      <c r="X87" s="116">
        <f t="shared" si="9"/>
        <v>91846.529239794821</v>
      </c>
      <c r="Y87" s="116">
        <f t="shared" si="9"/>
        <v>96043.137935636303</v>
      </c>
      <c r="Z87" s="116">
        <f t="shared" si="9"/>
        <v>100634.96273787462</v>
      </c>
      <c r="AA87" s="116">
        <f t="shared" si="9"/>
        <v>102400.41022266186</v>
      </c>
      <c r="AB87" s="116">
        <f t="shared" si="9"/>
        <v>106992.55023543432</v>
      </c>
      <c r="AC87" s="116">
        <f t="shared" si="9"/>
        <v>107024.46668155662</v>
      </c>
      <c r="AD87" s="116">
        <f t="shared" si="9"/>
        <v>111616.92506484887</v>
      </c>
      <c r="AE87" s="116">
        <f t="shared" si="9"/>
        <v>116209.54382828287</v>
      </c>
      <c r="AF87" s="116">
        <f t="shared" si="9"/>
        <v>120802.32377375936</v>
      </c>
      <c r="AG87" s="116">
        <f t="shared" si="9"/>
        <v>125395.2657071885</v>
      </c>
      <c r="AH87" s="116">
        <f t="shared" si="9"/>
        <v>129988.37043851012</v>
      </c>
      <c r="AI87" s="116">
        <f t="shared" si="9"/>
        <v>134581.63878171364</v>
      </c>
      <c r="AJ87" s="116">
        <f t="shared" si="9"/>
        <v>134614.68919991917</v>
      </c>
      <c r="AK87" s="116">
        <f t="shared" si="9"/>
        <v>139208.28722515507</v>
      </c>
      <c r="AL87" s="116">
        <f t="shared" si="9"/>
        <v>143802.05132874235</v>
      </c>
      <c r="AM87" s="116">
        <f t="shared" si="9"/>
        <v>364385.31951236597</v>
      </c>
      <c r="AN87" s="116">
        <f t="shared" si="9"/>
        <v>1184414.0107945856</v>
      </c>
      <c r="AO87" s="116">
        <f t="shared" si="9"/>
        <v>1765066.1891544394</v>
      </c>
      <c r="AP87" s="113">
        <f>IF(AO$10=0,0,AO87/AO$10)</f>
        <v>0.4811085008977895</v>
      </c>
    </row>
    <row r="88" spans="1:42" ht="16" thickTop="1" x14ac:dyDescent="0.2"/>
  </sheetData>
  <pageMargins left="0.75" right="0.75" top="1" bottom="1"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P88"/>
  <sheetViews>
    <sheetView showGridLines="0" zoomScale="125" zoomScaleNormal="100" workbookViewId="0">
      <pane xSplit="2" ySplit="4" topLeftCell="C61" activePane="bottomRight" state="frozen"/>
      <selection pane="topRight" activeCell="C1" sqref="C1"/>
      <selection pane="bottomLeft" activeCell="A5" sqref="A5"/>
      <selection pane="bottomRight" activeCell="K96" sqref="K96"/>
    </sheetView>
  </sheetViews>
  <sheetFormatPr baseColWidth="10" defaultColWidth="8.6640625" defaultRowHeight="15" x14ac:dyDescent="0.2"/>
  <cols>
    <col min="1" max="1" width="41.6640625" customWidth="1"/>
    <col min="2" max="2" width="13.33203125" customWidth="1"/>
    <col min="3" max="38" width="11.6640625" customWidth="1"/>
    <col min="39" max="41" width="14.1640625" customWidth="1"/>
  </cols>
  <sheetData>
    <row r="1" spans="1:42" ht="25.5" customHeight="1" x14ac:dyDescent="0.25">
      <c r="A1" s="100" t="s">
        <v>508</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2"/>
    </row>
    <row r="2" spans="1:42" x14ac:dyDescent="0.2">
      <c r="A2" s="153" t="s">
        <v>512</v>
      </c>
      <c r="B2" s="101"/>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101"/>
      <c r="AN2" s="101"/>
      <c r="AO2" s="101"/>
      <c r="AP2" s="2"/>
    </row>
    <row r="3" spans="1:42" x14ac:dyDescent="0.2">
      <c r="A3" s="154"/>
      <c r="B3" s="154" t="s">
        <v>505</v>
      </c>
      <c r="C3" s="155" t="s">
        <v>271</v>
      </c>
      <c r="D3" s="155"/>
      <c r="E3" s="155"/>
      <c r="F3" s="155"/>
      <c r="G3" s="155"/>
      <c r="H3" s="155"/>
      <c r="I3" s="155"/>
      <c r="J3" s="155"/>
      <c r="K3" s="155"/>
      <c r="L3" s="155"/>
      <c r="M3" s="155"/>
      <c r="N3" s="155"/>
      <c r="O3" s="155" t="s">
        <v>287</v>
      </c>
      <c r="P3" s="155"/>
      <c r="Q3" s="155"/>
      <c r="R3" s="155"/>
      <c r="S3" s="155"/>
      <c r="T3" s="155"/>
      <c r="U3" s="155"/>
      <c r="V3" s="155"/>
      <c r="W3" s="155"/>
      <c r="X3" s="155"/>
      <c r="Y3" s="155"/>
      <c r="Z3" s="155"/>
      <c r="AA3" s="155" t="s">
        <v>301</v>
      </c>
      <c r="AB3" s="155"/>
      <c r="AC3" s="155"/>
      <c r="AD3" s="155"/>
      <c r="AE3" s="155"/>
      <c r="AF3" s="155"/>
      <c r="AG3" s="155"/>
      <c r="AH3" s="155"/>
      <c r="AI3" s="155"/>
      <c r="AJ3" s="155"/>
      <c r="AK3" s="155"/>
      <c r="AL3" s="155"/>
      <c r="AM3" s="155" t="s">
        <v>506</v>
      </c>
      <c r="AN3" s="155"/>
      <c r="AO3" s="155"/>
      <c r="AP3" s="155" t="s">
        <v>592</v>
      </c>
    </row>
    <row r="4" spans="1:42" x14ac:dyDescent="0.2">
      <c r="A4" s="156"/>
      <c r="B4" s="156"/>
      <c r="C4" s="157" t="s">
        <v>270</v>
      </c>
      <c r="D4" s="157" t="s">
        <v>273</v>
      </c>
      <c r="E4" s="157" t="s">
        <v>275</v>
      </c>
      <c r="F4" s="157" t="s">
        <v>276</v>
      </c>
      <c r="G4" s="157" t="s">
        <v>277</v>
      </c>
      <c r="H4" s="157" t="s">
        <v>278</v>
      </c>
      <c r="I4" s="157" t="s">
        <v>279</v>
      </c>
      <c r="J4" s="157" t="s">
        <v>280</v>
      </c>
      <c r="K4" s="157" t="s">
        <v>281</v>
      </c>
      <c r="L4" s="157" t="s">
        <v>282</v>
      </c>
      <c r="M4" s="157" t="s">
        <v>283</v>
      </c>
      <c r="N4" s="157" t="s">
        <v>284</v>
      </c>
      <c r="O4" s="157" t="s">
        <v>286</v>
      </c>
      <c r="P4" s="157" t="s">
        <v>288</v>
      </c>
      <c r="Q4" s="157" t="s">
        <v>289</v>
      </c>
      <c r="R4" s="157" t="s">
        <v>290</v>
      </c>
      <c r="S4" s="157" t="s">
        <v>291</v>
      </c>
      <c r="T4" s="157" t="s">
        <v>292</v>
      </c>
      <c r="U4" s="157" t="s">
        <v>293</v>
      </c>
      <c r="V4" s="157" t="s">
        <v>294</v>
      </c>
      <c r="W4" s="157" t="s">
        <v>295</v>
      </c>
      <c r="X4" s="157" t="s">
        <v>296</v>
      </c>
      <c r="Y4" s="157" t="s">
        <v>297</v>
      </c>
      <c r="Z4" s="157" t="s">
        <v>298</v>
      </c>
      <c r="AA4" s="157" t="s">
        <v>300</v>
      </c>
      <c r="AB4" s="157" t="s">
        <v>302</v>
      </c>
      <c r="AC4" s="157" t="s">
        <v>303</v>
      </c>
      <c r="AD4" s="157" t="s">
        <v>304</v>
      </c>
      <c r="AE4" s="157" t="s">
        <v>305</v>
      </c>
      <c r="AF4" s="157" t="s">
        <v>306</v>
      </c>
      <c r="AG4" s="157" t="s">
        <v>307</v>
      </c>
      <c r="AH4" s="157" t="s">
        <v>308</v>
      </c>
      <c r="AI4" s="157" t="s">
        <v>309</v>
      </c>
      <c r="AJ4" s="157" t="s">
        <v>310</v>
      </c>
      <c r="AK4" s="157" t="s">
        <v>311</v>
      </c>
      <c r="AL4" s="157" t="s">
        <v>312</v>
      </c>
      <c r="AM4" s="157" t="s">
        <v>271</v>
      </c>
      <c r="AN4" s="157" t="s">
        <v>287</v>
      </c>
      <c r="AO4" s="157" t="s">
        <v>301</v>
      </c>
      <c r="AP4" s="157" t="s">
        <v>593</v>
      </c>
    </row>
    <row r="5" spans="1:42" x14ac:dyDescent="0.2">
      <c r="A5" s="158" t="s">
        <v>467</v>
      </c>
      <c r="B5" s="159"/>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row>
    <row r="6" spans="1:42" x14ac:dyDescent="0.2">
      <c r="A6" s="160" t="s">
        <v>513</v>
      </c>
      <c r="B6" s="160"/>
      <c r="C6" s="161">
        <f>'ARCHIVE_Operating Budget'!C6</f>
        <v>15</v>
      </c>
      <c r="D6" s="161">
        <f>'ARCHIVE_Operating Budget'!D6</f>
        <v>17</v>
      </c>
      <c r="E6" s="161">
        <f>'ARCHIVE_Operating Budget'!E6</f>
        <v>18</v>
      </c>
      <c r="F6" s="161">
        <f>'ARCHIVE_Operating Budget'!F6</f>
        <v>20</v>
      </c>
      <c r="G6" s="161">
        <f>'ARCHIVE_Operating Budget'!G6</f>
        <v>22</v>
      </c>
      <c r="H6" s="161">
        <f>'ARCHIVE_Operating Budget'!H6</f>
        <v>23</v>
      </c>
      <c r="I6" s="161">
        <f>'ARCHIVE_Operating Budget'!I6</f>
        <v>25</v>
      </c>
      <c r="J6" s="161">
        <f>'ARCHIVE_Operating Budget'!J6</f>
        <v>26</v>
      </c>
      <c r="K6" s="161">
        <f>'ARCHIVE_Operating Budget'!K6</f>
        <v>28</v>
      </c>
      <c r="L6" s="161">
        <f>'ARCHIVE_Operating Budget'!L6</f>
        <v>30</v>
      </c>
      <c r="M6" s="161">
        <f>'ARCHIVE_Operating Budget'!M6</f>
        <v>31</v>
      </c>
      <c r="N6" s="161">
        <f>'ARCHIVE_Operating Budget'!N6</f>
        <v>33</v>
      </c>
      <c r="O6" s="161">
        <f>'ARCHIVE_Operating Budget'!O6</f>
        <v>34</v>
      </c>
      <c r="P6" s="161">
        <f>'ARCHIVE_Operating Budget'!P6</f>
        <v>36</v>
      </c>
      <c r="Q6" s="161">
        <f>'ARCHIVE_Operating Budget'!Q6</f>
        <v>37</v>
      </c>
      <c r="R6" s="161">
        <f>'ARCHIVE_Operating Budget'!R6</f>
        <v>39</v>
      </c>
      <c r="S6" s="161">
        <f>'ARCHIVE_Operating Budget'!S6</f>
        <v>40</v>
      </c>
      <c r="T6" s="161">
        <f>'ARCHIVE_Operating Budget'!T6</f>
        <v>42</v>
      </c>
      <c r="U6" s="161">
        <f>'ARCHIVE_Operating Budget'!U6</f>
        <v>43</v>
      </c>
      <c r="V6" s="161">
        <f>'ARCHIVE_Operating Budget'!V6</f>
        <v>44</v>
      </c>
      <c r="W6" s="161">
        <f>'ARCHIVE_Operating Budget'!W6</f>
        <v>46</v>
      </c>
      <c r="X6" s="161">
        <f>'ARCHIVE_Operating Budget'!X6</f>
        <v>47</v>
      </c>
      <c r="Y6" s="161">
        <f>'ARCHIVE_Operating Budget'!Y6</f>
        <v>49</v>
      </c>
      <c r="Z6" s="161">
        <f>'ARCHIVE_Operating Budget'!Z6</f>
        <v>50</v>
      </c>
      <c r="AA6" s="161">
        <f>'ARCHIVE_Operating Budget'!AA6</f>
        <v>51</v>
      </c>
      <c r="AB6" s="161">
        <f>'ARCHIVE_Operating Budget'!AB6</f>
        <v>52</v>
      </c>
      <c r="AC6" s="161">
        <f>'ARCHIVE_Operating Budget'!AC6</f>
        <v>52</v>
      </c>
      <c r="AD6" s="161">
        <f>'ARCHIVE_Operating Budget'!AD6</f>
        <v>53</v>
      </c>
      <c r="AE6" s="161">
        <f>'ARCHIVE_Operating Budget'!AE6</f>
        <v>54</v>
      </c>
      <c r="AF6" s="161">
        <f>'ARCHIVE_Operating Budget'!AF6</f>
        <v>55</v>
      </c>
      <c r="AG6" s="161">
        <f>'ARCHIVE_Operating Budget'!AG6</f>
        <v>56</v>
      </c>
      <c r="AH6" s="161">
        <f>'ARCHIVE_Operating Budget'!AH6</f>
        <v>57</v>
      </c>
      <c r="AI6" s="161">
        <f>'ARCHIVE_Operating Budget'!AI6</f>
        <v>58</v>
      </c>
      <c r="AJ6" s="161">
        <f>'ARCHIVE_Operating Budget'!AJ6</f>
        <v>58</v>
      </c>
      <c r="AK6" s="161">
        <f>'ARCHIVE_Operating Budget'!AK6</f>
        <v>59</v>
      </c>
      <c r="AL6" s="161">
        <f>'ARCHIVE_Operating Budget'!AL6</f>
        <v>60</v>
      </c>
      <c r="AM6" s="161">
        <f>'ARCHIVE_Operating Budget'!AM6</f>
        <v>24</v>
      </c>
      <c r="AN6" s="161">
        <f>'ARCHIVE_Operating Budget'!AN6</f>
        <v>42.25</v>
      </c>
      <c r="AO6" s="161">
        <f>'ARCHIVE_Operating Budget'!AO6</f>
        <v>55.416666666666664</v>
      </c>
      <c r="AP6" s="2"/>
    </row>
    <row r="7" spans="1:42" x14ac:dyDescent="0.2">
      <c r="A7" s="160" t="s">
        <v>514</v>
      </c>
      <c r="B7" s="160"/>
      <c r="C7" s="162">
        <f>'ARCHIVE_Operating Budget'!C7</f>
        <v>456</v>
      </c>
      <c r="D7" s="162">
        <f>'ARCHIVE_Operating Budget'!D7</f>
        <v>516.79999999999995</v>
      </c>
      <c r="E7" s="162">
        <f>'ARCHIVE_Operating Budget'!E7</f>
        <v>547.19999999999993</v>
      </c>
      <c r="F7" s="162">
        <f>'ARCHIVE_Operating Budget'!F7</f>
        <v>608</v>
      </c>
      <c r="G7" s="162">
        <f>'ARCHIVE_Operating Budget'!G7</f>
        <v>668.8</v>
      </c>
      <c r="H7" s="162">
        <f>'ARCHIVE_Operating Budget'!H7</f>
        <v>699.19999999999993</v>
      </c>
      <c r="I7" s="162">
        <f>'ARCHIVE_Operating Budget'!I7</f>
        <v>760</v>
      </c>
      <c r="J7" s="162">
        <f>'ARCHIVE_Operating Budget'!J7</f>
        <v>790.4</v>
      </c>
      <c r="K7" s="162">
        <f>'ARCHIVE_Operating Budget'!K7</f>
        <v>851.19999999999993</v>
      </c>
      <c r="L7" s="162">
        <f>'ARCHIVE_Operating Budget'!L7</f>
        <v>912</v>
      </c>
      <c r="M7" s="162">
        <f>'ARCHIVE_Operating Budget'!M7</f>
        <v>942.4</v>
      </c>
      <c r="N7" s="162">
        <f>'ARCHIVE_Operating Budget'!N7</f>
        <v>1003.1999999999999</v>
      </c>
      <c r="O7" s="162">
        <f>'ARCHIVE_Operating Budget'!O7</f>
        <v>1033.5999999999999</v>
      </c>
      <c r="P7" s="162">
        <f>'ARCHIVE_Operating Budget'!P7</f>
        <v>1094.3999999999999</v>
      </c>
      <c r="Q7" s="162">
        <f>'ARCHIVE_Operating Budget'!Q7</f>
        <v>1124.8</v>
      </c>
      <c r="R7" s="162">
        <f>'ARCHIVE_Operating Budget'!R7</f>
        <v>1185.5999999999999</v>
      </c>
      <c r="S7" s="162">
        <f>'ARCHIVE_Operating Budget'!S7</f>
        <v>1216</v>
      </c>
      <c r="T7" s="162">
        <f>'ARCHIVE_Operating Budget'!T7</f>
        <v>1276.8</v>
      </c>
      <c r="U7" s="162">
        <f>'ARCHIVE_Operating Budget'!U7</f>
        <v>1307.2</v>
      </c>
      <c r="V7" s="162">
        <f>'ARCHIVE_Operating Budget'!V7</f>
        <v>1337.6</v>
      </c>
      <c r="W7" s="162">
        <f>'ARCHIVE_Operating Budget'!W7</f>
        <v>1398.3999999999999</v>
      </c>
      <c r="X7" s="162">
        <f>'ARCHIVE_Operating Budget'!X7</f>
        <v>1428.8</v>
      </c>
      <c r="Y7" s="162">
        <f>'ARCHIVE_Operating Budget'!Y7</f>
        <v>1489.6</v>
      </c>
      <c r="Z7" s="162">
        <f>'ARCHIVE_Operating Budget'!Z7</f>
        <v>1520</v>
      </c>
      <c r="AA7" s="162">
        <f>'ARCHIVE_Operating Budget'!AA7</f>
        <v>1550.3999999999999</v>
      </c>
      <c r="AB7" s="162">
        <f>'ARCHIVE_Operating Budget'!AB7</f>
        <v>1580.8</v>
      </c>
      <c r="AC7" s="162">
        <f>'ARCHIVE_Operating Budget'!AC7</f>
        <v>1580.8</v>
      </c>
      <c r="AD7" s="162">
        <f>'ARCHIVE_Operating Budget'!AD7</f>
        <v>1611.1999999999998</v>
      </c>
      <c r="AE7" s="162">
        <f>'ARCHIVE_Operating Budget'!AE7</f>
        <v>1641.6</v>
      </c>
      <c r="AF7" s="162">
        <f>'ARCHIVE_Operating Budget'!AF7</f>
        <v>1672</v>
      </c>
      <c r="AG7" s="162">
        <f>'ARCHIVE_Operating Budget'!AG7</f>
        <v>1702.3999999999999</v>
      </c>
      <c r="AH7" s="162">
        <f>'ARCHIVE_Operating Budget'!AH7</f>
        <v>1732.8</v>
      </c>
      <c r="AI7" s="162">
        <f>'ARCHIVE_Operating Budget'!AI7</f>
        <v>1763.1999999999998</v>
      </c>
      <c r="AJ7" s="162">
        <f>'ARCHIVE_Operating Budget'!AJ7</f>
        <v>1763.1999999999998</v>
      </c>
      <c r="AK7" s="162">
        <f>'ARCHIVE_Operating Budget'!AK7</f>
        <v>1793.6</v>
      </c>
      <c r="AL7" s="162">
        <f>'ARCHIVE_Operating Budget'!AL7</f>
        <v>1824</v>
      </c>
      <c r="AM7" s="162">
        <f>'ARCHIVE_Operating Budget'!AM7</f>
        <v>8755.1999999999989</v>
      </c>
      <c r="AN7" s="162">
        <f>'ARCHIVE_Operating Budget'!AN7</f>
        <v>15412.8</v>
      </c>
      <c r="AO7" s="162">
        <f>'ARCHIVE_Operating Budget'!AO7</f>
        <v>20215.999999999996</v>
      </c>
      <c r="AP7" s="2"/>
    </row>
    <row r="8" spans="1:42" x14ac:dyDescent="0.2">
      <c r="A8" s="160" t="s">
        <v>515</v>
      </c>
      <c r="B8" s="163">
        <v>3000</v>
      </c>
      <c r="C8" s="164">
        <f>'ARCHIVE_Operating Budget'!C8</f>
        <v>84013.939254336001</v>
      </c>
      <c r="D8" s="164">
        <f>'ARCHIVE_Operating Budget'!D8</f>
        <v>95215.797821580796</v>
      </c>
      <c r="E8" s="164">
        <f>'ARCHIVE_Operating Budget'!E8</f>
        <v>100816.7271052032</v>
      </c>
      <c r="F8" s="164">
        <f>'ARCHIVE_Operating Budget'!F8</f>
        <v>112018.58567244801</v>
      </c>
      <c r="G8" s="164">
        <f>'ARCHIVE_Operating Budget'!G8</f>
        <v>123220.44423969281</v>
      </c>
      <c r="H8" s="164">
        <f>'ARCHIVE_Operating Budget'!H8</f>
        <v>128821.3735233152</v>
      </c>
      <c r="I8" s="164">
        <f>'ARCHIVE_Operating Budget'!I8</f>
        <v>140023.23209056002</v>
      </c>
      <c r="J8" s="164">
        <f>'ARCHIVE_Operating Budget'!J8</f>
        <v>145624.16137418241</v>
      </c>
      <c r="K8" s="164">
        <f>'ARCHIVE_Operating Budget'!K8</f>
        <v>156826.01994142719</v>
      </c>
      <c r="L8" s="164">
        <f>'ARCHIVE_Operating Budget'!L8</f>
        <v>168027.878508672</v>
      </c>
      <c r="M8" s="164">
        <f>'ARCHIVE_Operating Budget'!M8</f>
        <v>173628.80779229442</v>
      </c>
      <c r="N8" s="164">
        <f>'ARCHIVE_Operating Budget'!N8</f>
        <v>184830.6663595392</v>
      </c>
      <c r="O8" s="164">
        <f>'ARCHIVE_Operating Budget'!O8</f>
        <v>190431.59564316159</v>
      </c>
      <c r="P8" s="164">
        <f>'ARCHIVE_Operating Budget'!P8</f>
        <v>201633.4542104064</v>
      </c>
      <c r="Q8" s="164">
        <f>'ARCHIVE_Operating Budget'!Q8</f>
        <v>207234.38349402882</v>
      </c>
      <c r="R8" s="164">
        <f>'ARCHIVE_Operating Budget'!R8</f>
        <v>218436.2420612736</v>
      </c>
      <c r="S8" s="164">
        <f>'ARCHIVE_Operating Budget'!S8</f>
        <v>224037.17134489602</v>
      </c>
      <c r="T8" s="164">
        <f>'ARCHIVE_Operating Budget'!T8</f>
        <v>235239.0299121408</v>
      </c>
      <c r="U8" s="164">
        <f>'ARCHIVE_Operating Budget'!U8</f>
        <v>240839.95919576322</v>
      </c>
      <c r="V8" s="164">
        <f>'ARCHIVE_Operating Budget'!V8</f>
        <v>246440.88847938561</v>
      </c>
      <c r="W8" s="164">
        <f>'ARCHIVE_Operating Budget'!W8</f>
        <v>257642.74704663039</v>
      </c>
      <c r="X8" s="164">
        <f>'ARCHIVE_Operating Budget'!X8</f>
        <v>263243.67633025284</v>
      </c>
      <c r="Y8" s="164">
        <f>'ARCHIVE_Operating Budget'!Y8</f>
        <v>274445.53489749762</v>
      </c>
      <c r="Z8" s="164">
        <f>'ARCHIVE_Operating Budget'!Z8</f>
        <v>280046.46418112004</v>
      </c>
      <c r="AA8" s="164">
        <f>'ARCHIVE_Operating Budget'!AA8</f>
        <v>285647.3934647424</v>
      </c>
      <c r="AB8" s="164">
        <f>'ARCHIVE_Operating Budget'!AB8</f>
        <v>291248.32274836482</v>
      </c>
      <c r="AC8" s="164">
        <f>'ARCHIVE_Operating Budget'!AC8</f>
        <v>291248.32274836482</v>
      </c>
      <c r="AD8" s="164">
        <f>'ARCHIVE_Operating Budget'!AD8</f>
        <v>296849.25203198718</v>
      </c>
      <c r="AE8" s="164">
        <f>'ARCHIVE_Operating Budget'!AE8</f>
        <v>302450.1813156096</v>
      </c>
      <c r="AF8" s="164">
        <f>'ARCHIVE_Operating Budget'!AF8</f>
        <v>308051.11059923202</v>
      </c>
      <c r="AG8" s="164">
        <f>'ARCHIVE_Operating Budget'!AG8</f>
        <v>313652.03988285438</v>
      </c>
      <c r="AH8" s="164">
        <f>'ARCHIVE_Operating Budget'!AH8</f>
        <v>319252.9691664768</v>
      </c>
      <c r="AI8" s="164">
        <f>'ARCHIVE_Operating Budget'!AI8</f>
        <v>324853.89845009922</v>
      </c>
      <c r="AJ8" s="164">
        <f>'ARCHIVE_Operating Budget'!AJ8</f>
        <v>324853.89845009922</v>
      </c>
      <c r="AK8" s="164">
        <f>'ARCHIVE_Operating Budget'!AK8</f>
        <v>330454.82773372164</v>
      </c>
      <c r="AL8" s="164">
        <f>'ARCHIVE_Operating Budget'!AL8</f>
        <v>336055.757017344</v>
      </c>
      <c r="AM8" s="164">
        <f>'ARCHIVE_Operating Budget'!AM8</f>
        <v>1613067.6336832512</v>
      </c>
      <c r="AN8" s="164">
        <f>'ARCHIVE_Operating Budget'!AN8</f>
        <v>2839671.1467965576</v>
      </c>
      <c r="AO8" s="164">
        <f>'ARCHIVE_Operating Budget'!AO8</f>
        <v>3724617.9736088961</v>
      </c>
      <c r="AP8" s="102">
        <f>'ARCHIVE_Operating Budget'!AP8</f>
        <v>1.015228426395939</v>
      </c>
    </row>
    <row r="9" spans="1:42" x14ac:dyDescent="0.2">
      <c r="A9" s="160" t="s">
        <v>516</v>
      </c>
      <c r="B9" s="163">
        <v>3900</v>
      </c>
      <c r="C9" s="165">
        <f>'ARCHIVE_Operating Budget'!C9</f>
        <v>-1260.2090888150399</v>
      </c>
      <c r="D9" s="165">
        <f>'ARCHIVE_Operating Budget'!D9</f>
        <v>-1428.236967323712</v>
      </c>
      <c r="E9" s="165">
        <f>'ARCHIVE_Operating Budget'!E9</f>
        <v>-1512.250906578048</v>
      </c>
      <c r="F9" s="165">
        <f>'ARCHIVE_Operating Budget'!F9</f>
        <v>-1680.2787850867201</v>
      </c>
      <c r="G9" s="165">
        <f>'ARCHIVE_Operating Budget'!G9</f>
        <v>-1848.3066635953919</v>
      </c>
      <c r="H9" s="165">
        <f>'ARCHIVE_Operating Budget'!H9</f>
        <v>-1932.3206028497279</v>
      </c>
      <c r="I9" s="165">
        <f>'ARCHIVE_Operating Budget'!I9</f>
        <v>-2100.3484813584</v>
      </c>
      <c r="J9" s="165">
        <f>'ARCHIVE_Operating Budget'!J9</f>
        <v>-2184.3624206127361</v>
      </c>
      <c r="K9" s="165">
        <f>'ARCHIVE_Operating Budget'!K9</f>
        <v>-2352.3902991214077</v>
      </c>
      <c r="L9" s="165">
        <f>'ARCHIVE_Operating Budget'!L9</f>
        <v>-2520.4181776300798</v>
      </c>
      <c r="M9" s="165">
        <f>'ARCHIVE_Operating Budget'!M9</f>
        <v>-2604.4321168844162</v>
      </c>
      <c r="N9" s="165">
        <f>'ARCHIVE_Operating Budget'!N9</f>
        <v>-2772.4599953930879</v>
      </c>
      <c r="O9" s="165">
        <f>'ARCHIVE_Operating Budget'!O9</f>
        <v>-2856.4739346474239</v>
      </c>
      <c r="P9" s="165">
        <f>'ARCHIVE_Operating Budget'!P9</f>
        <v>-3024.501813156096</v>
      </c>
      <c r="Q9" s="165">
        <f>'ARCHIVE_Operating Budget'!Q9</f>
        <v>-3108.515752410432</v>
      </c>
      <c r="R9" s="165">
        <f>'ARCHIVE_Operating Budget'!R9</f>
        <v>-3276.5436309191041</v>
      </c>
      <c r="S9" s="165">
        <f>'ARCHIVE_Operating Budget'!S9</f>
        <v>-3360.5575701734401</v>
      </c>
      <c r="T9" s="165">
        <f>'ARCHIVE_Operating Budget'!T9</f>
        <v>-3528.5854486821117</v>
      </c>
      <c r="U9" s="165">
        <f>'ARCHIVE_Operating Budget'!U9</f>
        <v>-3612.5993879364482</v>
      </c>
      <c r="V9" s="165">
        <f>'ARCHIVE_Operating Budget'!V9</f>
        <v>-3696.6133271907838</v>
      </c>
      <c r="W9" s="165">
        <f>'ARCHIVE_Operating Budget'!W9</f>
        <v>-3864.6412056994559</v>
      </c>
      <c r="X9" s="165">
        <f>'ARCHIVE_Operating Budget'!X9</f>
        <v>-3948.6551449537924</v>
      </c>
      <c r="Y9" s="165">
        <f>'ARCHIVE_Operating Budget'!Y9</f>
        <v>-4116.683023462464</v>
      </c>
      <c r="Z9" s="165">
        <f>'ARCHIVE_Operating Budget'!Z9</f>
        <v>-4200.6969627168</v>
      </c>
      <c r="AA9" s="165">
        <f>'ARCHIVE_Operating Budget'!AA9</f>
        <v>-4284.7109019711361</v>
      </c>
      <c r="AB9" s="165">
        <f>'ARCHIVE_Operating Budget'!AB9</f>
        <v>-4368.7248412254721</v>
      </c>
      <c r="AC9" s="165">
        <f>'ARCHIVE_Operating Budget'!AC9</f>
        <v>-4368.7248412254721</v>
      </c>
      <c r="AD9" s="165">
        <f>'ARCHIVE_Operating Budget'!AD9</f>
        <v>-4452.7387804798072</v>
      </c>
      <c r="AE9" s="165">
        <f>'ARCHIVE_Operating Budget'!AE9</f>
        <v>-4536.7527197341442</v>
      </c>
      <c r="AF9" s="165">
        <f>'ARCHIVE_Operating Budget'!AF9</f>
        <v>-4620.7666589884802</v>
      </c>
      <c r="AG9" s="165">
        <f>'ARCHIVE_Operating Budget'!AG9</f>
        <v>-4704.7805982428154</v>
      </c>
      <c r="AH9" s="165">
        <f>'ARCHIVE_Operating Budget'!AH9</f>
        <v>-4788.7945374971523</v>
      </c>
      <c r="AI9" s="165">
        <f>'ARCHIVE_Operating Budget'!AI9</f>
        <v>-4872.8084767514883</v>
      </c>
      <c r="AJ9" s="165">
        <f>'ARCHIVE_Operating Budget'!AJ9</f>
        <v>-4872.8084767514883</v>
      </c>
      <c r="AK9" s="165">
        <f>'ARCHIVE_Operating Budget'!AK9</f>
        <v>-4956.8224160058244</v>
      </c>
      <c r="AL9" s="165">
        <f>'ARCHIVE_Operating Budget'!AL9</f>
        <v>-5040.8363552601595</v>
      </c>
      <c r="AM9" s="165">
        <f>'ARCHIVE_Operating Budget'!AM9</f>
        <v>-24196.014505248771</v>
      </c>
      <c r="AN9" s="165">
        <f>'ARCHIVE_Operating Budget'!AN9</f>
        <v>-42595.067201948346</v>
      </c>
      <c r="AO9" s="165">
        <f>'ARCHIVE_Operating Budget'!AO9</f>
        <v>-55869.269604133435</v>
      </c>
      <c r="AP9" s="102">
        <f>'ARCHIVE_Operating Budget'!AP9</f>
        <v>-1.5228426395939085E-2</v>
      </c>
    </row>
    <row r="10" spans="1:42" ht="16" thickBot="1" x14ac:dyDescent="0.25">
      <c r="A10" s="166" t="s">
        <v>517</v>
      </c>
      <c r="B10" s="160"/>
      <c r="C10" s="167">
        <f>'ARCHIVE_Operating Budget'!C10</f>
        <v>82753.730165520959</v>
      </c>
      <c r="D10" s="167">
        <f>'ARCHIVE_Operating Budget'!D10</f>
        <v>93787.560854257084</v>
      </c>
      <c r="E10" s="167">
        <f>'ARCHIVE_Operating Budget'!E10</f>
        <v>99304.476198625154</v>
      </c>
      <c r="F10" s="167">
        <f>'ARCHIVE_Operating Budget'!F10</f>
        <v>110338.30688736129</v>
      </c>
      <c r="G10" s="167">
        <f>'ARCHIVE_Operating Budget'!G10</f>
        <v>121372.13757609742</v>
      </c>
      <c r="H10" s="167">
        <f>'ARCHIVE_Operating Budget'!H10</f>
        <v>126889.05292046547</v>
      </c>
      <c r="I10" s="167">
        <f>'ARCHIVE_Operating Budget'!I10</f>
        <v>137922.88360920161</v>
      </c>
      <c r="J10" s="167">
        <f>'ARCHIVE_Operating Budget'!J10</f>
        <v>143439.79895356967</v>
      </c>
      <c r="K10" s="167">
        <f>'ARCHIVE_Operating Budget'!K10</f>
        <v>154473.62964230578</v>
      </c>
      <c r="L10" s="167">
        <f>'ARCHIVE_Operating Budget'!L10</f>
        <v>165507.46033104192</v>
      </c>
      <c r="M10" s="167">
        <f>'ARCHIVE_Operating Budget'!M10</f>
        <v>171024.37567541</v>
      </c>
      <c r="N10" s="167">
        <f>'ARCHIVE_Operating Budget'!N10</f>
        <v>182058.20636414611</v>
      </c>
      <c r="O10" s="167">
        <f>'ARCHIVE_Operating Budget'!O10</f>
        <v>187575.12170851417</v>
      </c>
      <c r="P10" s="167">
        <f>'ARCHIVE_Operating Budget'!P10</f>
        <v>198608.95239725031</v>
      </c>
      <c r="Q10" s="167">
        <f>'ARCHIVE_Operating Budget'!Q10</f>
        <v>204125.86774161839</v>
      </c>
      <c r="R10" s="167">
        <f>'ARCHIVE_Operating Budget'!R10</f>
        <v>215159.6984303545</v>
      </c>
      <c r="S10" s="167">
        <f>'ARCHIVE_Operating Budget'!S10</f>
        <v>220676.61377472259</v>
      </c>
      <c r="T10" s="167">
        <f>'ARCHIVE_Operating Budget'!T10</f>
        <v>231710.4444634587</v>
      </c>
      <c r="U10" s="167">
        <f>'ARCHIVE_Operating Budget'!U10</f>
        <v>237227.35980782678</v>
      </c>
      <c r="V10" s="167">
        <f>'ARCHIVE_Operating Budget'!V10</f>
        <v>242744.27515219484</v>
      </c>
      <c r="W10" s="167">
        <f>'ARCHIVE_Operating Budget'!W10</f>
        <v>253778.10584093095</v>
      </c>
      <c r="X10" s="167">
        <f>'ARCHIVE_Operating Budget'!X10</f>
        <v>259295.02118529906</v>
      </c>
      <c r="Y10" s="167">
        <f>'ARCHIVE_Operating Budget'!Y10</f>
        <v>270328.85187403514</v>
      </c>
      <c r="Z10" s="167">
        <f>'ARCHIVE_Operating Budget'!Z10</f>
        <v>275845.76721840323</v>
      </c>
      <c r="AA10" s="167">
        <f>'ARCHIVE_Operating Budget'!AA10</f>
        <v>281362.68256277125</v>
      </c>
      <c r="AB10" s="167">
        <f>'ARCHIVE_Operating Budget'!AB10</f>
        <v>286879.59790713934</v>
      </c>
      <c r="AC10" s="167">
        <f>'ARCHIVE_Operating Budget'!AC10</f>
        <v>286879.59790713934</v>
      </c>
      <c r="AD10" s="167">
        <f>'ARCHIVE_Operating Budget'!AD10</f>
        <v>292396.51325150736</v>
      </c>
      <c r="AE10" s="167">
        <f>'ARCHIVE_Operating Budget'!AE10</f>
        <v>297913.42859587545</v>
      </c>
      <c r="AF10" s="167">
        <f>'ARCHIVE_Operating Budget'!AF10</f>
        <v>303430.34394024353</v>
      </c>
      <c r="AG10" s="167">
        <f>'ARCHIVE_Operating Budget'!AG10</f>
        <v>308947.25928461156</v>
      </c>
      <c r="AH10" s="167">
        <f>'ARCHIVE_Operating Budget'!AH10</f>
        <v>314464.17462897964</v>
      </c>
      <c r="AI10" s="167">
        <f>'ARCHIVE_Operating Budget'!AI10</f>
        <v>319981.08997334773</v>
      </c>
      <c r="AJ10" s="167">
        <f>'ARCHIVE_Operating Budget'!AJ10</f>
        <v>319981.08997334773</v>
      </c>
      <c r="AK10" s="167">
        <f>'ARCHIVE_Operating Budget'!AK10</f>
        <v>325498.00531771581</v>
      </c>
      <c r="AL10" s="167">
        <f>'ARCHIVE_Operating Budget'!AL10</f>
        <v>331014.92066208384</v>
      </c>
      <c r="AM10" s="167">
        <f>'ARCHIVE_Operating Budget'!AM10</f>
        <v>1588871.6191780025</v>
      </c>
      <c r="AN10" s="167">
        <f>'ARCHIVE_Operating Budget'!AN10</f>
        <v>2797076.0795946084</v>
      </c>
      <c r="AO10" s="167">
        <f>'ARCHIVE_Operating Budget'!AO10</f>
        <v>3668748.7040047627</v>
      </c>
      <c r="AP10" s="103">
        <f>'ARCHIVE_Operating Budget'!AP10</f>
        <v>1</v>
      </c>
    </row>
    <row r="11" spans="1:42" ht="16" thickTop="1" x14ac:dyDescent="0.2">
      <c r="A11" s="104"/>
      <c r="B11" s="104"/>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row>
    <row r="12" spans="1:42" x14ac:dyDescent="0.2">
      <c r="A12" s="158" t="s">
        <v>509</v>
      </c>
      <c r="B12" s="159"/>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row>
    <row r="13" spans="1:42" x14ac:dyDescent="0.2">
      <c r="A13" s="168" t="s">
        <v>518</v>
      </c>
      <c r="B13" s="160"/>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row>
    <row r="14" spans="1:42" x14ac:dyDescent="0.2">
      <c r="A14" s="160" t="s">
        <v>519</v>
      </c>
      <c r="B14" s="163" t="s">
        <v>520</v>
      </c>
      <c r="C14" s="165">
        <f>'ARCHIVE_Operating Budget'!C14</f>
        <v>6250.416666666667</v>
      </c>
      <c r="D14" s="165">
        <f>'ARCHIVE_Operating Budget'!D14</f>
        <v>12709</v>
      </c>
      <c r="E14" s="165">
        <f>'ARCHIVE_Operating Budget'!E14</f>
        <v>12709</v>
      </c>
      <c r="F14" s="165">
        <f>'ARCHIVE_Operating Budget'!F14</f>
        <v>12709</v>
      </c>
      <c r="G14" s="165">
        <f>'ARCHIVE_Operating Budget'!G14</f>
        <v>12709</v>
      </c>
      <c r="H14" s="165">
        <f>'ARCHIVE_Operating Budget'!H14</f>
        <v>12709</v>
      </c>
      <c r="I14" s="165">
        <f>'ARCHIVE_Operating Budget'!I14</f>
        <v>12709</v>
      </c>
      <c r="J14" s="165">
        <f>'ARCHIVE_Operating Budget'!J14</f>
        <v>12709</v>
      </c>
      <c r="K14" s="165">
        <f>'ARCHIVE_Operating Budget'!K14</f>
        <v>12709</v>
      </c>
      <c r="L14" s="165">
        <f>'ARCHIVE_Operating Budget'!L14</f>
        <v>12709</v>
      </c>
      <c r="M14" s="165">
        <f>'ARCHIVE_Operating Budget'!M14</f>
        <v>19063.5</v>
      </c>
      <c r="N14" s="165">
        <f>'ARCHIVE_Operating Budget'!N14</f>
        <v>19063.5</v>
      </c>
      <c r="O14" s="165">
        <f>'ARCHIVE_Operating Budget'!O14</f>
        <v>19635.404999999999</v>
      </c>
      <c r="P14" s="165">
        <f>'ARCHIVE_Operating Budget'!P14</f>
        <v>19635.404999999999</v>
      </c>
      <c r="Q14" s="165">
        <f>'ARCHIVE_Operating Budget'!Q14</f>
        <v>19635.404999999999</v>
      </c>
      <c r="R14" s="165">
        <f>'ARCHIVE_Operating Budget'!R14</f>
        <v>19635.404999999999</v>
      </c>
      <c r="S14" s="165">
        <f>'ARCHIVE_Operating Budget'!S14</f>
        <v>19635.404999999999</v>
      </c>
      <c r="T14" s="165">
        <f>'ARCHIVE_Operating Budget'!T14</f>
        <v>19635.404999999999</v>
      </c>
      <c r="U14" s="165">
        <f>'ARCHIVE_Operating Budget'!U14</f>
        <v>19635.404999999999</v>
      </c>
      <c r="V14" s="165">
        <f>'ARCHIVE_Operating Budget'!V14</f>
        <v>19635.404999999999</v>
      </c>
      <c r="W14" s="165">
        <f>'ARCHIVE_Operating Budget'!W14</f>
        <v>26180.54</v>
      </c>
      <c r="X14" s="165">
        <f>'ARCHIVE_Operating Budget'!X14</f>
        <v>26180.54</v>
      </c>
      <c r="Y14" s="165">
        <f>'ARCHIVE_Operating Budget'!Y14</f>
        <v>26180.54</v>
      </c>
      <c r="Z14" s="165">
        <f>'ARCHIVE_Operating Budget'!Z14</f>
        <v>26180.54</v>
      </c>
      <c r="AA14" s="165">
        <f>'ARCHIVE_Operating Budget'!AA14</f>
        <v>26965.956200000001</v>
      </c>
      <c r="AB14" s="165">
        <f>'ARCHIVE_Operating Budget'!AB14</f>
        <v>26965.956200000001</v>
      </c>
      <c r="AC14" s="165">
        <f>'ARCHIVE_Operating Budget'!AC14</f>
        <v>26965.956200000001</v>
      </c>
      <c r="AD14" s="165">
        <f>'ARCHIVE_Operating Budget'!AD14</f>
        <v>26965.956200000001</v>
      </c>
      <c r="AE14" s="165">
        <f>'ARCHIVE_Operating Budget'!AE14</f>
        <v>26965.956200000001</v>
      </c>
      <c r="AF14" s="165">
        <f>'ARCHIVE_Operating Budget'!AF14</f>
        <v>26965.956200000001</v>
      </c>
      <c r="AG14" s="165">
        <f>'ARCHIVE_Operating Budget'!AG14</f>
        <v>26965.956200000001</v>
      </c>
      <c r="AH14" s="165">
        <f>'ARCHIVE_Operating Budget'!AH14</f>
        <v>26965.956200000001</v>
      </c>
      <c r="AI14" s="165">
        <f>'ARCHIVE_Operating Budget'!AI14</f>
        <v>26965.956200000001</v>
      </c>
      <c r="AJ14" s="165">
        <f>'ARCHIVE_Operating Budget'!AJ14</f>
        <v>26965.956200000001</v>
      </c>
      <c r="AK14" s="165">
        <f>'ARCHIVE_Operating Budget'!AK14</f>
        <v>26965.956200000001</v>
      </c>
      <c r="AL14" s="165">
        <f>'ARCHIVE_Operating Budget'!AL14</f>
        <v>26965.956200000001</v>
      </c>
      <c r="AM14" s="165">
        <f>'ARCHIVE_Operating Budget'!AM14</f>
        <v>158758.41666666669</v>
      </c>
      <c r="AN14" s="165">
        <f>'ARCHIVE_Operating Budget'!AN14</f>
        <v>261805.40000000002</v>
      </c>
      <c r="AO14" s="165">
        <f>'ARCHIVE_Operating Budget'!AO14</f>
        <v>323591.47440000006</v>
      </c>
      <c r="AP14" s="102">
        <f>'ARCHIVE_Operating Budget'!AP14</f>
        <v>8.8202136615890714E-2</v>
      </c>
    </row>
    <row r="15" spans="1:42" x14ac:dyDescent="0.2">
      <c r="A15" s="160" t="s">
        <v>521</v>
      </c>
      <c r="B15" s="163" t="s">
        <v>522</v>
      </c>
      <c r="C15" s="165">
        <f>'ARCHIVE_Operating Budget'!C15</f>
        <v>900</v>
      </c>
      <c r="D15" s="165">
        <f>'ARCHIVE_Operating Budget'!D15</f>
        <v>1019.9999999999999</v>
      </c>
      <c r="E15" s="165">
        <f>'ARCHIVE_Operating Budget'!E15</f>
        <v>1080</v>
      </c>
      <c r="F15" s="165">
        <f>'ARCHIVE_Operating Budget'!F15</f>
        <v>1200</v>
      </c>
      <c r="G15" s="165">
        <f>'ARCHIVE_Operating Budget'!G15</f>
        <v>1320</v>
      </c>
      <c r="H15" s="165">
        <f>'ARCHIVE_Operating Budget'!H15</f>
        <v>1380</v>
      </c>
      <c r="I15" s="165">
        <f>'ARCHIVE_Operating Budget'!I15</f>
        <v>1500</v>
      </c>
      <c r="J15" s="165">
        <f>'ARCHIVE_Operating Budget'!J15</f>
        <v>1560</v>
      </c>
      <c r="K15" s="165">
        <f>'ARCHIVE_Operating Budget'!K15</f>
        <v>1680</v>
      </c>
      <c r="L15" s="165">
        <f>'ARCHIVE_Operating Budget'!L15</f>
        <v>1800</v>
      </c>
      <c r="M15" s="165">
        <f>'ARCHIVE_Operating Budget'!M15</f>
        <v>1859.9999999999998</v>
      </c>
      <c r="N15" s="165">
        <f>'ARCHIVE_Operating Budget'!N15</f>
        <v>1980</v>
      </c>
      <c r="O15" s="165">
        <f>'ARCHIVE_Operating Budget'!O15</f>
        <v>2039.9999999999998</v>
      </c>
      <c r="P15" s="165">
        <f>'ARCHIVE_Operating Budget'!P15</f>
        <v>2160</v>
      </c>
      <c r="Q15" s="165">
        <f>'ARCHIVE_Operating Budget'!Q15</f>
        <v>2220</v>
      </c>
      <c r="R15" s="165">
        <f>'ARCHIVE_Operating Budget'!R15</f>
        <v>2340</v>
      </c>
      <c r="S15" s="165">
        <f>'ARCHIVE_Operating Budget'!S15</f>
        <v>2400</v>
      </c>
      <c r="T15" s="165">
        <f>'ARCHIVE_Operating Budget'!T15</f>
        <v>2520</v>
      </c>
      <c r="U15" s="165">
        <f>'ARCHIVE_Operating Budget'!U15</f>
        <v>2580</v>
      </c>
      <c r="V15" s="165">
        <f>'ARCHIVE_Operating Budget'!V15</f>
        <v>2640</v>
      </c>
      <c r="W15" s="165">
        <f>'ARCHIVE_Operating Budget'!W15</f>
        <v>2760</v>
      </c>
      <c r="X15" s="165">
        <f>'ARCHIVE_Operating Budget'!X15</f>
        <v>2820</v>
      </c>
      <c r="Y15" s="165">
        <f>'ARCHIVE_Operating Budget'!Y15</f>
        <v>2940</v>
      </c>
      <c r="Z15" s="165">
        <f>'ARCHIVE_Operating Budget'!Z15</f>
        <v>3000</v>
      </c>
      <c r="AA15" s="165">
        <f>'ARCHIVE_Operating Budget'!AA15</f>
        <v>3060</v>
      </c>
      <c r="AB15" s="165">
        <f>'ARCHIVE_Operating Budget'!AB15</f>
        <v>3120</v>
      </c>
      <c r="AC15" s="165">
        <f>'ARCHIVE_Operating Budget'!AC15</f>
        <v>3120</v>
      </c>
      <c r="AD15" s="165">
        <f>'ARCHIVE_Operating Budget'!AD15</f>
        <v>3179.9999999999995</v>
      </c>
      <c r="AE15" s="165">
        <f>'ARCHIVE_Operating Budget'!AE15</f>
        <v>3240</v>
      </c>
      <c r="AF15" s="165">
        <f>'ARCHIVE_Operating Budget'!AF15</f>
        <v>3300</v>
      </c>
      <c r="AG15" s="165">
        <f>'ARCHIVE_Operating Budget'!AG15</f>
        <v>3360</v>
      </c>
      <c r="AH15" s="165">
        <f>'ARCHIVE_Operating Budget'!AH15</f>
        <v>3419.9999999999995</v>
      </c>
      <c r="AI15" s="165">
        <f>'ARCHIVE_Operating Budget'!AI15</f>
        <v>3479.9999999999995</v>
      </c>
      <c r="AJ15" s="165">
        <f>'ARCHIVE_Operating Budget'!AJ15</f>
        <v>3479.9999999999995</v>
      </c>
      <c r="AK15" s="165">
        <f>'ARCHIVE_Operating Budget'!AK15</f>
        <v>3540</v>
      </c>
      <c r="AL15" s="165">
        <f>'ARCHIVE_Operating Budget'!AL15</f>
        <v>3600</v>
      </c>
      <c r="AM15" s="165">
        <f>'ARCHIVE_Operating Budget'!AM15</f>
        <v>17280</v>
      </c>
      <c r="AN15" s="165">
        <f>'ARCHIVE_Operating Budget'!AN15</f>
        <v>30420</v>
      </c>
      <c r="AO15" s="165">
        <f>'ARCHIVE_Operating Budget'!AO15</f>
        <v>39900</v>
      </c>
      <c r="AP15" s="102">
        <f>'ARCHIVE_Operating Budget'!AP15</f>
        <v>1.0875642683415638E-2</v>
      </c>
    </row>
    <row r="16" spans="1:42" x14ac:dyDescent="0.2">
      <c r="A16" s="160" t="s">
        <v>523</v>
      </c>
      <c r="B16" s="163" t="s">
        <v>524</v>
      </c>
      <c r="C16" s="165">
        <f>'ARCHIVE_Operating Budget'!C16</f>
        <v>7720.875</v>
      </c>
      <c r="D16" s="165">
        <f>'ARCHIVE_Operating Budget'!D16</f>
        <v>7720.875</v>
      </c>
      <c r="E16" s="165">
        <f>'ARCHIVE_Operating Budget'!E16</f>
        <v>7690.0833333333339</v>
      </c>
      <c r="F16" s="165">
        <f>'ARCHIVE_Operating Budget'!F16</f>
        <v>7690.0833333333339</v>
      </c>
      <c r="G16" s="165">
        <f>'ARCHIVE_Operating Budget'!G16</f>
        <v>7690.0833333333339</v>
      </c>
      <c r="H16" s="165">
        <f>'ARCHIVE_Operating Budget'!H16</f>
        <v>7690.0833333333339</v>
      </c>
      <c r="I16" s="165">
        <f>'ARCHIVE_Operating Budget'!I16</f>
        <v>11535.125</v>
      </c>
      <c r="J16" s="165">
        <f>'ARCHIVE_Operating Budget'!J16</f>
        <v>11535.125</v>
      </c>
      <c r="K16" s="165">
        <f>'ARCHIVE_Operating Budget'!K16</f>
        <v>11535.125</v>
      </c>
      <c r="L16" s="165">
        <f>'ARCHIVE_Operating Budget'!L16</f>
        <v>11535.125</v>
      </c>
      <c r="M16" s="165">
        <f>'ARCHIVE_Operating Budget'!M16</f>
        <v>11535.125</v>
      </c>
      <c r="N16" s="165">
        <f>'ARCHIVE_Operating Budget'!N16</f>
        <v>11535.125</v>
      </c>
      <c r="O16" s="165">
        <f>'ARCHIVE_Operating Budget'!O16</f>
        <v>11881.178749999999</v>
      </c>
      <c r="P16" s="165">
        <f>'ARCHIVE_Operating Budget'!P16</f>
        <v>11881.178749999999</v>
      </c>
      <c r="Q16" s="165">
        <f>'ARCHIVE_Operating Budget'!Q16</f>
        <v>15841.571666666667</v>
      </c>
      <c r="R16" s="165">
        <f>'ARCHIVE_Operating Budget'!R16</f>
        <v>15841.571666666667</v>
      </c>
      <c r="S16" s="165">
        <f>'ARCHIVE_Operating Budget'!S16</f>
        <v>15841.571666666667</v>
      </c>
      <c r="T16" s="165">
        <f>'ARCHIVE_Operating Budget'!T16</f>
        <v>15841.571666666667</v>
      </c>
      <c r="U16" s="165">
        <f>'ARCHIVE_Operating Budget'!U16</f>
        <v>15841.571666666667</v>
      </c>
      <c r="V16" s="165">
        <f>'ARCHIVE_Operating Budget'!V16</f>
        <v>15841.571666666667</v>
      </c>
      <c r="W16" s="165">
        <f>'ARCHIVE_Operating Budget'!W16</f>
        <v>15841.571666666667</v>
      </c>
      <c r="X16" s="165">
        <f>'ARCHIVE_Operating Budget'!X16</f>
        <v>15841.571666666667</v>
      </c>
      <c r="Y16" s="165">
        <f>'ARCHIVE_Operating Budget'!Y16</f>
        <v>19801.964583333334</v>
      </c>
      <c r="Z16" s="165">
        <f>'ARCHIVE_Operating Budget'!Z16</f>
        <v>19801.964583333334</v>
      </c>
      <c r="AA16" s="165">
        <f>'ARCHIVE_Operating Budget'!AA16</f>
        <v>20396.023520833332</v>
      </c>
      <c r="AB16" s="165">
        <f>'ARCHIVE_Operating Budget'!AB16</f>
        <v>20396.023520833332</v>
      </c>
      <c r="AC16" s="165">
        <f>'ARCHIVE_Operating Budget'!AC16</f>
        <v>20396.023520833332</v>
      </c>
      <c r="AD16" s="165">
        <f>'ARCHIVE_Operating Budget'!AD16</f>
        <v>20396.023520833332</v>
      </c>
      <c r="AE16" s="165">
        <f>'ARCHIVE_Operating Budget'!AE16</f>
        <v>20396.023520833332</v>
      </c>
      <c r="AF16" s="165">
        <f>'ARCHIVE_Operating Budget'!AF16</f>
        <v>20396.023520833332</v>
      </c>
      <c r="AG16" s="165">
        <f>'ARCHIVE_Operating Budget'!AG16</f>
        <v>20396.023520833332</v>
      </c>
      <c r="AH16" s="165">
        <f>'ARCHIVE_Operating Budget'!AH16</f>
        <v>20396.023520833332</v>
      </c>
      <c r="AI16" s="165">
        <f>'ARCHIVE_Operating Budget'!AI16</f>
        <v>20396.023520833332</v>
      </c>
      <c r="AJ16" s="165">
        <f>'ARCHIVE_Operating Budget'!AJ16</f>
        <v>20396.023520833332</v>
      </c>
      <c r="AK16" s="165">
        <f>'ARCHIVE_Operating Budget'!AK16</f>
        <v>20396.023520833332</v>
      </c>
      <c r="AL16" s="165">
        <f>'ARCHIVE_Operating Budget'!AL16</f>
        <v>20396.023520833332</v>
      </c>
      <c r="AM16" s="165">
        <f>'ARCHIVE_Operating Budget'!AM16</f>
        <v>115412.83333333334</v>
      </c>
      <c r="AN16" s="165">
        <f>'ARCHIVE_Operating Budget'!AN16</f>
        <v>190098.86000000004</v>
      </c>
      <c r="AO16" s="165">
        <f>'ARCHIVE_Operating Budget'!AO16</f>
        <v>244752.28224999999</v>
      </c>
      <c r="AP16" s="102">
        <f>'ARCHIVE_Operating Budget'!AP16</f>
        <v>6.6712741045150167E-2</v>
      </c>
    </row>
    <row r="17" spans="1:42" x14ac:dyDescent="0.2">
      <c r="A17" s="160" t="s">
        <v>525</v>
      </c>
      <c r="B17" s="163" t="s">
        <v>526</v>
      </c>
      <c r="C17" s="165">
        <f>'ARCHIVE_Operating Budget'!C17</f>
        <v>1125</v>
      </c>
      <c r="D17" s="165">
        <f>'ARCHIVE_Operating Budget'!D17</f>
        <v>1275</v>
      </c>
      <c r="E17" s="165">
        <f>'ARCHIVE_Operating Budget'!E17</f>
        <v>1350</v>
      </c>
      <c r="F17" s="165">
        <f>'ARCHIVE_Operating Budget'!F17</f>
        <v>1500</v>
      </c>
      <c r="G17" s="165">
        <f>'ARCHIVE_Operating Budget'!G17</f>
        <v>1650</v>
      </c>
      <c r="H17" s="165">
        <f>'ARCHIVE_Operating Budget'!H17</f>
        <v>1725</v>
      </c>
      <c r="I17" s="165">
        <f>'ARCHIVE_Operating Budget'!I17</f>
        <v>1875</v>
      </c>
      <c r="J17" s="165">
        <f>'ARCHIVE_Operating Budget'!J17</f>
        <v>1950</v>
      </c>
      <c r="K17" s="165">
        <f>'ARCHIVE_Operating Budget'!K17</f>
        <v>2100</v>
      </c>
      <c r="L17" s="165">
        <f>'ARCHIVE_Operating Budget'!L17</f>
        <v>2250</v>
      </c>
      <c r="M17" s="165">
        <f>'ARCHIVE_Operating Budget'!M17</f>
        <v>2325</v>
      </c>
      <c r="N17" s="165">
        <f>'ARCHIVE_Operating Budget'!N17</f>
        <v>2475</v>
      </c>
      <c r="O17" s="165">
        <f>'ARCHIVE_Operating Budget'!O17</f>
        <v>2550</v>
      </c>
      <c r="P17" s="165">
        <f>'ARCHIVE_Operating Budget'!P17</f>
        <v>2700</v>
      </c>
      <c r="Q17" s="165">
        <f>'ARCHIVE_Operating Budget'!Q17</f>
        <v>2775</v>
      </c>
      <c r="R17" s="165">
        <f>'ARCHIVE_Operating Budget'!R17</f>
        <v>2925</v>
      </c>
      <c r="S17" s="165">
        <f>'ARCHIVE_Operating Budget'!S17</f>
        <v>3000</v>
      </c>
      <c r="T17" s="165">
        <f>'ARCHIVE_Operating Budget'!T17</f>
        <v>3150</v>
      </c>
      <c r="U17" s="165">
        <f>'ARCHIVE_Operating Budget'!U17</f>
        <v>3225</v>
      </c>
      <c r="V17" s="165">
        <f>'ARCHIVE_Operating Budget'!V17</f>
        <v>3300</v>
      </c>
      <c r="W17" s="165">
        <f>'ARCHIVE_Operating Budget'!W17</f>
        <v>3450</v>
      </c>
      <c r="X17" s="165">
        <f>'ARCHIVE_Operating Budget'!X17</f>
        <v>3525</v>
      </c>
      <c r="Y17" s="165">
        <f>'ARCHIVE_Operating Budget'!Y17</f>
        <v>3675</v>
      </c>
      <c r="Z17" s="165">
        <f>'ARCHIVE_Operating Budget'!Z17</f>
        <v>3750</v>
      </c>
      <c r="AA17" s="165">
        <f>'ARCHIVE_Operating Budget'!AA17</f>
        <v>3825</v>
      </c>
      <c r="AB17" s="165">
        <f>'ARCHIVE_Operating Budget'!AB17</f>
        <v>3900</v>
      </c>
      <c r="AC17" s="165">
        <f>'ARCHIVE_Operating Budget'!AC17</f>
        <v>3900</v>
      </c>
      <c r="AD17" s="165">
        <f>'ARCHIVE_Operating Budget'!AD17</f>
        <v>3975</v>
      </c>
      <c r="AE17" s="165">
        <f>'ARCHIVE_Operating Budget'!AE17</f>
        <v>4050</v>
      </c>
      <c r="AF17" s="165">
        <f>'ARCHIVE_Operating Budget'!AF17</f>
        <v>4125</v>
      </c>
      <c r="AG17" s="165">
        <f>'ARCHIVE_Operating Budget'!AG17</f>
        <v>4200</v>
      </c>
      <c r="AH17" s="165">
        <f>'ARCHIVE_Operating Budget'!AH17</f>
        <v>4275</v>
      </c>
      <c r="AI17" s="165">
        <f>'ARCHIVE_Operating Budget'!AI17</f>
        <v>4350</v>
      </c>
      <c r="AJ17" s="165">
        <f>'ARCHIVE_Operating Budget'!AJ17</f>
        <v>4350</v>
      </c>
      <c r="AK17" s="165">
        <f>'ARCHIVE_Operating Budget'!AK17</f>
        <v>4425</v>
      </c>
      <c r="AL17" s="165">
        <f>'ARCHIVE_Operating Budget'!AL17</f>
        <v>4500</v>
      </c>
      <c r="AM17" s="165">
        <f>'ARCHIVE_Operating Budget'!AM17</f>
        <v>21600</v>
      </c>
      <c r="AN17" s="165">
        <f>'ARCHIVE_Operating Budget'!AN17</f>
        <v>38025</v>
      </c>
      <c r="AO17" s="165">
        <f>'ARCHIVE_Operating Budget'!AO17</f>
        <v>49875</v>
      </c>
      <c r="AP17" s="102">
        <f>'ARCHIVE_Operating Budget'!AP17</f>
        <v>1.3594553354269547E-2</v>
      </c>
    </row>
    <row r="18" spans="1:42" x14ac:dyDescent="0.2">
      <c r="A18" s="160" t="s">
        <v>527</v>
      </c>
      <c r="B18" s="163" t="s">
        <v>528</v>
      </c>
      <c r="C18" s="165">
        <f>'ARCHIVE_Operating Budget'!C18</f>
        <v>843.75</v>
      </c>
      <c r="D18" s="165">
        <f>'ARCHIVE_Operating Budget'!D18</f>
        <v>956.25</v>
      </c>
      <c r="E18" s="165">
        <f>'ARCHIVE_Operating Budget'!E18</f>
        <v>1012.5</v>
      </c>
      <c r="F18" s="165">
        <f>'ARCHIVE_Operating Budget'!F18</f>
        <v>1125</v>
      </c>
      <c r="G18" s="165">
        <f>'ARCHIVE_Operating Budget'!G18</f>
        <v>1237.5</v>
      </c>
      <c r="H18" s="165">
        <f>'ARCHIVE_Operating Budget'!H18</f>
        <v>1293.75</v>
      </c>
      <c r="I18" s="165">
        <f>'ARCHIVE_Operating Budget'!I18</f>
        <v>1406.25</v>
      </c>
      <c r="J18" s="165">
        <f>'ARCHIVE_Operating Budget'!J18</f>
        <v>1462.5</v>
      </c>
      <c r="K18" s="165">
        <f>'ARCHIVE_Operating Budget'!K18</f>
        <v>1575</v>
      </c>
      <c r="L18" s="165">
        <f>'ARCHIVE_Operating Budget'!L18</f>
        <v>1687.5</v>
      </c>
      <c r="M18" s="165">
        <f>'ARCHIVE_Operating Budget'!M18</f>
        <v>1743.75</v>
      </c>
      <c r="N18" s="165">
        <f>'ARCHIVE_Operating Budget'!N18</f>
        <v>1856.25</v>
      </c>
      <c r="O18" s="165">
        <f>'ARCHIVE_Operating Budget'!O18</f>
        <v>1912.5</v>
      </c>
      <c r="P18" s="165">
        <f>'ARCHIVE_Operating Budget'!P18</f>
        <v>2025</v>
      </c>
      <c r="Q18" s="165">
        <f>'ARCHIVE_Operating Budget'!Q18</f>
        <v>2081.25</v>
      </c>
      <c r="R18" s="165">
        <f>'ARCHIVE_Operating Budget'!R18</f>
        <v>2193.75</v>
      </c>
      <c r="S18" s="165">
        <f>'ARCHIVE_Operating Budget'!S18</f>
        <v>2250</v>
      </c>
      <c r="T18" s="165">
        <f>'ARCHIVE_Operating Budget'!T18</f>
        <v>2362.5</v>
      </c>
      <c r="U18" s="165">
        <f>'ARCHIVE_Operating Budget'!U18</f>
        <v>2418.75</v>
      </c>
      <c r="V18" s="165">
        <f>'ARCHIVE_Operating Budget'!V18</f>
        <v>2475</v>
      </c>
      <c r="W18" s="165">
        <f>'ARCHIVE_Operating Budget'!W18</f>
        <v>2587.5</v>
      </c>
      <c r="X18" s="165">
        <f>'ARCHIVE_Operating Budget'!X18</f>
        <v>2643.75</v>
      </c>
      <c r="Y18" s="165">
        <f>'ARCHIVE_Operating Budget'!Y18</f>
        <v>2756.25</v>
      </c>
      <c r="Z18" s="165">
        <f>'ARCHIVE_Operating Budget'!Z18</f>
        <v>2812.5</v>
      </c>
      <c r="AA18" s="165">
        <f>'ARCHIVE_Operating Budget'!AA18</f>
        <v>2868.75</v>
      </c>
      <c r="AB18" s="165">
        <f>'ARCHIVE_Operating Budget'!AB18</f>
        <v>2925</v>
      </c>
      <c r="AC18" s="165">
        <f>'ARCHIVE_Operating Budget'!AC18</f>
        <v>2925</v>
      </c>
      <c r="AD18" s="165">
        <f>'ARCHIVE_Operating Budget'!AD18</f>
        <v>2981.25</v>
      </c>
      <c r="AE18" s="165">
        <f>'ARCHIVE_Operating Budget'!AE18</f>
        <v>3037.5</v>
      </c>
      <c r="AF18" s="165">
        <f>'ARCHIVE_Operating Budget'!AF18</f>
        <v>3093.75</v>
      </c>
      <c r="AG18" s="165">
        <f>'ARCHIVE_Operating Budget'!AG18</f>
        <v>3150</v>
      </c>
      <c r="AH18" s="165">
        <f>'ARCHIVE_Operating Budget'!AH18</f>
        <v>3206.25</v>
      </c>
      <c r="AI18" s="165">
        <f>'ARCHIVE_Operating Budget'!AI18</f>
        <v>3262.5</v>
      </c>
      <c r="AJ18" s="165">
        <f>'ARCHIVE_Operating Budget'!AJ18</f>
        <v>3262.5</v>
      </c>
      <c r="AK18" s="165">
        <f>'ARCHIVE_Operating Budget'!AK18</f>
        <v>3318.75</v>
      </c>
      <c r="AL18" s="165">
        <f>'ARCHIVE_Operating Budget'!AL18</f>
        <v>3375</v>
      </c>
      <c r="AM18" s="165">
        <f>'ARCHIVE_Operating Budget'!AM18</f>
        <v>16200</v>
      </c>
      <c r="AN18" s="165">
        <f>'ARCHIVE_Operating Budget'!AN18</f>
        <v>28518.75</v>
      </c>
      <c r="AO18" s="165">
        <f>'ARCHIVE_Operating Budget'!AO18</f>
        <v>37406.25</v>
      </c>
      <c r="AP18" s="102">
        <f>'ARCHIVE_Operating Budget'!AP18</f>
        <v>1.019591501570216E-2</v>
      </c>
    </row>
    <row r="19" spans="1:42" x14ac:dyDescent="0.2">
      <c r="A19" s="160" t="s">
        <v>529</v>
      </c>
      <c r="B19" s="163" t="s">
        <v>530</v>
      </c>
      <c r="C19" s="165">
        <f>'ARCHIVE_Operating Budget'!C19</f>
        <v>450</v>
      </c>
      <c r="D19" s="165">
        <f>'ARCHIVE_Operating Budget'!D19</f>
        <v>509.99999999999994</v>
      </c>
      <c r="E19" s="165">
        <f>'ARCHIVE_Operating Budget'!E19</f>
        <v>540</v>
      </c>
      <c r="F19" s="165">
        <f>'ARCHIVE_Operating Budget'!F19</f>
        <v>600</v>
      </c>
      <c r="G19" s="165">
        <f>'ARCHIVE_Operating Budget'!G19</f>
        <v>660</v>
      </c>
      <c r="H19" s="165">
        <f>'ARCHIVE_Operating Budget'!H19</f>
        <v>690</v>
      </c>
      <c r="I19" s="165">
        <f>'ARCHIVE_Operating Budget'!I19</f>
        <v>750</v>
      </c>
      <c r="J19" s="165">
        <f>'ARCHIVE_Operating Budget'!J19</f>
        <v>780</v>
      </c>
      <c r="K19" s="165">
        <f>'ARCHIVE_Operating Budget'!K19</f>
        <v>840</v>
      </c>
      <c r="L19" s="165">
        <f>'ARCHIVE_Operating Budget'!L19</f>
        <v>900</v>
      </c>
      <c r="M19" s="165">
        <f>'ARCHIVE_Operating Budget'!M19</f>
        <v>929.99999999999989</v>
      </c>
      <c r="N19" s="165">
        <f>'ARCHIVE_Operating Budget'!N19</f>
        <v>990</v>
      </c>
      <c r="O19" s="165">
        <f>'ARCHIVE_Operating Budget'!O19</f>
        <v>1019.9999999999999</v>
      </c>
      <c r="P19" s="165">
        <f>'ARCHIVE_Operating Budget'!P19</f>
        <v>1080</v>
      </c>
      <c r="Q19" s="165">
        <f>'ARCHIVE_Operating Budget'!Q19</f>
        <v>1110</v>
      </c>
      <c r="R19" s="165">
        <f>'ARCHIVE_Operating Budget'!R19</f>
        <v>1170</v>
      </c>
      <c r="S19" s="165">
        <f>'ARCHIVE_Operating Budget'!S19</f>
        <v>1200</v>
      </c>
      <c r="T19" s="165">
        <f>'ARCHIVE_Operating Budget'!T19</f>
        <v>1260</v>
      </c>
      <c r="U19" s="165">
        <f>'ARCHIVE_Operating Budget'!U19</f>
        <v>1290</v>
      </c>
      <c r="V19" s="165">
        <f>'ARCHIVE_Operating Budget'!V19</f>
        <v>1320</v>
      </c>
      <c r="W19" s="165">
        <f>'ARCHIVE_Operating Budget'!W19</f>
        <v>1380</v>
      </c>
      <c r="X19" s="165">
        <f>'ARCHIVE_Operating Budget'!X19</f>
        <v>1410</v>
      </c>
      <c r="Y19" s="165">
        <f>'ARCHIVE_Operating Budget'!Y19</f>
        <v>1470</v>
      </c>
      <c r="Z19" s="165">
        <f>'ARCHIVE_Operating Budget'!Z19</f>
        <v>1500</v>
      </c>
      <c r="AA19" s="165">
        <f>'ARCHIVE_Operating Budget'!AA19</f>
        <v>1530</v>
      </c>
      <c r="AB19" s="165">
        <f>'ARCHIVE_Operating Budget'!AB19</f>
        <v>1560</v>
      </c>
      <c r="AC19" s="165">
        <f>'ARCHIVE_Operating Budget'!AC19</f>
        <v>1560</v>
      </c>
      <c r="AD19" s="165">
        <f>'ARCHIVE_Operating Budget'!AD19</f>
        <v>1589.9999999999998</v>
      </c>
      <c r="AE19" s="165">
        <f>'ARCHIVE_Operating Budget'!AE19</f>
        <v>1620</v>
      </c>
      <c r="AF19" s="165">
        <f>'ARCHIVE_Operating Budget'!AF19</f>
        <v>1650</v>
      </c>
      <c r="AG19" s="165">
        <f>'ARCHIVE_Operating Budget'!AG19</f>
        <v>1680</v>
      </c>
      <c r="AH19" s="165">
        <f>'ARCHIVE_Operating Budget'!AH19</f>
        <v>1709.9999999999998</v>
      </c>
      <c r="AI19" s="165">
        <f>'ARCHIVE_Operating Budget'!AI19</f>
        <v>1739.9999999999998</v>
      </c>
      <c r="AJ19" s="165">
        <f>'ARCHIVE_Operating Budget'!AJ19</f>
        <v>1739.9999999999998</v>
      </c>
      <c r="AK19" s="165">
        <f>'ARCHIVE_Operating Budget'!AK19</f>
        <v>1770</v>
      </c>
      <c r="AL19" s="165">
        <f>'ARCHIVE_Operating Budget'!AL19</f>
        <v>1800</v>
      </c>
      <c r="AM19" s="165">
        <f>'ARCHIVE_Operating Budget'!AM19</f>
        <v>8640</v>
      </c>
      <c r="AN19" s="165">
        <f>'ARCHIVE_Operating Budget'!AN19</f>
        <v>15210</v>
      </c>
      <c r="AO19" s="165">
        <f>'ARCHIVE_Operating Budget'!AO19</f>
        <v>19950</v>
      </c>
      <c r="AP19" s="102">
        <f>'ARCHIVE_Operating Budget'!AP19</f>
        <v>5.437821341707819E-3</v>
      </c>
    </row>
    <row r="20" spans="1:42" x14ac:dyDescent="0.2">
      <c r="A20" s="166" t="s">
        <v>533</v>
      </c>
      <c r="B20" s="160"/>
      <c r="C20" s="169">
        <f>'ARCHIVE_Operating Budget'!C20</f>
        <v>17290.041666666668</v>
      </c>
      <c r="D20" s="169">
        <f>'ARCHIVE_Operating Budget'!D20</f>
        <v>24191.125</v>
      </c>
      <c r="E20" s="169">
        <f>'ARCHIVE_Operating Budget'!E20</f>
        <v>24381.583333333336</v>
      </c>
      <c r="F20" s="169">
        <f>'ARCHIVE_Operating Budget'!F20</f>
        <v>24824.083333333336</v>
      </c>
      <c r="G20" s="169">
        <f>'ARCHIVE_Operating Budget'!G20</f>
        <v>25266.583333333336</v>
      </c>
      <c r="H20" s="169">
        <f>'ARCHIVE_Operating Budget'!H20</f>
        <v>25487.833333333336</v>
      </c>
      <c r="I20" s="169">
        <f>'ARCHIVE_Operating Budget'!I20</f>
        <v>29775.375</v>
      </c>
      <c r="J20" s="169">
        <f>'ARCHIVE_Operating Budget'!J20</f>
        <v>29996.625</v>
      </c>
      <c r="K20" s="169">
        <f>'ARCHIVE_Operating Budget'!K20</f>
        <v>30439.125</v>
      </c>
      <c r="L20" s="169">
        <f>'ARCHIVE_Operating Budget'!L20</f>
        <v>30881.625</v>
      </c>
      <c r="M20" s="169">
        <f>'ARCHIVE_Operating Budget'!M20</f>
        <v>37457.375</v>
      </c>
      <c r="N20" s="169">
        <f>'ARCHIVE_Operating Budget'!N20</f>
        <v>37899.875</v>
      </c>
      <c r="O20" s="169">
        <f>'ARCHIVE_Operating Budget'!O20</f>
        <v>39039.083749999998</v>
      </c>
      <c r="P20" s="169">
        <f>'ARCHIVE_Operating Budget'!P20</f>
        <v>39481.583749999998</v>
      </c>
      <c r="Q20" s="169">
        <f>'ARCHIVE_Operating Budget'!Q20</f>
        <v>43663.226666666669</v>
      </c>
      <c r="R20" s="169">
        <f>'ARCHIVE_Operating Budget'!R20</f>
        <v>44105.726666666669</v>
      </c>
      <c r="S20" s="169">
        <f>'ARCHIVE_Operating Budget'!S20</f>
        <v>44326.976666666669</v>
      </c>
      <c r="T20" s="169">
        <f>'ARCHIVE_Operating Budget'!T20</f>
        <v>44769.476666666669</v>
      </c>
      <c r="U20" s="169">
        <f>'ARCHIVE_Operating Budget'!U20</f>
        <v>44990.726666666669</v>
      </c>
      <c r="V20" s="169">
        <f>'ARCHIVE_Operating Budget'!V20</f>
        <v>45211.976666666669</v>
      </c>
      <c r="W20" s="169">
        <f>'ARCHIVE_Operating Budget'!W20</f>
        <v>52199.611666666664</v>
      </c>
      <c r="X20" s="169">
        <f>'ARCHIVE_Operating Budget'!X20</f>
        <v>52420.861666666664</v>
      </c>
      <c r="Y20" s="169">
        <f>'ARCHIVE_Operating Budget'!Y20</f>
        <v>56823.754583333335</v>
      </c>
      <c r="Z20" s="169">
        <f>'ARCHIVE_Operating Budget'!Z20</f>
        <v>57045.004583333335</v>
      </c>
      <c r="AA20" s="169">
        <f>'ARCHIVE_Operating Budget'!AA20</f>
        <v>58645.729720833333</v>
      </c>
      <c r="AB20" s="169">
        <f>'ARCHIVE_Operating Budget'!AB20</f>
        <v>58866.979720833333</v>
      </c>
      <c r="AC20" s="169">
        <f>'ARCHIVE_Operating Budget'!AC20</f>
        <v>58866.979720833333</v>
      </c>
      <c r="AD20" s="169">
        <f>'ARCHIVE_Operating Budget'!AD20</f>
        <v>59088.229720833333</v>
      </c>
      <c r="AE20" s="169">
        <f>'ARCHIVE_Operating Budget'!AE20</f>
        <v>59309.479720833333</v>
      </c>
      <c r="AF20" s="169">
        <f>'ARCHIVE_Operating Budget'!AF20</f>
        <v>59530.729720833333</v>
      </c>
      <c r="AG20" s="169">
        <f>'ARCHIVE_Operating Budget'!AG20</f>
        <v>59751.979720833333</v>
      </c>
      <c r="AH20" s="169">
        <f>'ARCHIVE_Operating Budget'!AH20</f>
        <v>59973.229720833333</v>
      </c>
      <c r="AI20" s="169">
        <f>'ARCHIVE_Operating Budget'!AI20</f>
        <v>60194.479720833333</v>
      </c>
      <c r="AJ20" s="169">
        <f>'ARCHIVE_Operating Budget'!AJ20</f>
        <v>60194.479720833333</v>
      </c>
      <c r="AK20" s="169">
        <f>'ARCHIVE_Operating Budget'!AK20</f>
        <v>60415.729720833333</v>
      </c>
      <c r="AL20" s="169">
        <f>'ARCHIVE_Operating Budget'!AL20</f>
        <v>60636.979720833333</v>
      </c>
      <c r="AM20" s="169">
        <f>'ARCHIVE_Operating Budget'!AM20</f>
        <v>337891.25</v>
      </c>
      <c r="AN20" s="169">
        <f>'ARCHIVE_Operating Budget'!AN20</f>
        <v>564078.01</v>
      </c>
      <c r="AO20" s="169">
        <f>'ARCHIVE_Operating Budget'!AO20</f>
        <v>715475.00665000011</v>
      </c>
      <c r="AP20" s="103">
        <f>'ARCHIVE_Operating Budget'!AP20</f>
        <v>0.19501881005613605</v>
      </c>
    </row>
    <row r="21" spans="1:42" x14ac:dyDescent="0.2">
      <c r="A21" s="168" t="s">
        <v>534</v>
      </c>
      <c r="B21" s="160"/>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row>
    <row r="22" spans="1:42" x14ac:dyDescent="0.2">
      <c r="A22" s="160" t="s">
        <v>535</v>
      </c>
      <c r="B22" s="163">
        <v>41300</v>
      </c>
      <c r="C22" s="165">
        <f>'ARCHIVE_Operating Budget'!C22</f>
        <v>1322.6881875000001</v>
      </c>
      <c r="D22" s="165">
        <f>'ARCHIVE_Operating Budget'!D22</f>
        <v>1850.6210624999999</v>
      </c>
      <c r="E22" s="165">
        <f>'ARCHIVE_Operating Budget'!E22</f>
        <v>1865.1911250000001</v>
      </c>
      <c r="F22" s="165">
        <f>'ARCHIVE_Operating Budget'!F22</f>
        <v>1899.0423750000002</v>
      </c>
      <c r="G22" s="165">
        <f>'ARCHIVE_Operating Budget'!G22</f>
        <v>1932.8936250000002</v>
      </c>
      <c r="H22" s="165">
        <f>'ARCHIVE_Operating Budget'!H22</f>
        <v>1949.8192500000002</v>
      </c>
      <c r="I22" s="165">
        <f>'ARCHIVE_Operating Budget'!I22</f>
        <v>2277.8161875000001</v>
      </c>
      <c r="J22" s="165">
        <f>'ARCHIVE_Operating Budget'!J22</f>
        <v>2294.7418124999999</v>
      </c>
      <c r="K22" s="165">
        <f>'ARCHIVE_Operating Budget'!K22</f>
        <v>2328.5930625000001</v>
      </c>
      <c r="L22" s="165">
        <f>'ARCHIVE_Operating Budget'!L22</f>
        <v>2362.4443124999998</v>
      </c>
      <c r="M22" s="165">
        <f>'ARCHIVE_Operating Budget'!M22</f>
        <v>2865.4891874999998</v>
      </c>
      <c r="N22" s="165">
        <f>'ARCHIVE_Operating Budget'!N22</f>
        <v>2899.3404375</v>
      </c>
      <c r="O22" s="165">
        <f>'ARCHIVE_Operating Budget'!O22</f>
        <v>2986.4899068749996</v>
      </c>
      <c r="P22" s="165">
        <f>'ARCHIVE_Operating Budget'!P22</f>
        <v>3020.3411568749998</v>
      </c>
      <c r="Q22" s="165">
        <f>'ARCHIVE_Operating Budget'!Q22</f>
        <v>3340.23684</v>
      </c>
      <c r="R22" s="165">
        <f>'ARCHIVE_Operating Budget'!R22</f>
        <v>3374.0880900000002</v>
      </c>
      <c r="S22" s="165">
        <f>'ARCHIVE_Operating Budget'!S22</f>
        <v>3391.013715</v>
      </c>
      <c r="T22" s="165">
        <f>'ARCHIVE_Operating Budget'!T22</f>
        <v>3424.8649650000002</v>
      </c>
      <c r="U22" s="165">
        <f>'ARCHIVE_Operating Budget'!U22</f>
        <v>3441.7905900000001</v>
      </c>
      <c r="V22" s="165">
        <f>'ARCHIVE_Operating Budget'!V22</f>
        <v>3458.7162149999999</v>
      </c>
      <c r="W22" s="165">
        <f>'ARCHIVE_Operating Budget'!W22</f>
        <v>3993.2702924999999</v>
      </c>
      <c r="X22" s="165">
        <f>'ARCHIVE_Operating Budget'!X22</f>
        <v>4010.1959174999997</v>
      </c>
      <c r="Y22" s="165">
        <f>'ARCHIVE_Operating Budget'!Y22</f>
        <v>4347.0172256249998</v>
      </c>
      <c r="Z22" s="165">
        <f>'ARCHIVE_Operating Budget'!Z22</f>
        <v>4363.9428506249997</v>
      </c>
      <c r="AA22" s="165">
        <f>'ARCHIVE_Operating Budget'!AA22</f>
        <v>4486.3983236437498</v>
      </c>
      <c r="AB22" s="165">
        <f>'ARCHIVE_Operating Budget'!AB22</f>
        <v>4503.3239486437496</v>
      </c>
      <c r="AC22" s="165">
        <f>'ARCHIVE_Operating Budget'!AC22</f>
        <v>4503.3239486437496</v>
      </c>
      <c r="AD22" s="165">
        <f>'ARCHIVE_Operating Budget'!AD22</f>
        <v>4520.2495736437495</v>
      </c>
      <c r="AE22" s="165">
        <f>'ARCHIVE_Operating Budget'!AE22</f>
        <v>4537.1751986437503</v>
      </c>
      <c r="AF22" s="165">
        <f>'ARCHIVE_Operating Budget'!AF22</f>
        <v>4554.1008236437501</v>
      </c>
      <c r="AG22" s="165">
        <f>'ARCHIVE_Operating Budget'!AG22</f>
        <v>4571.02644864375</v>
      </c>
      <c r="AH22" s="165">
        <f>'ARCHIVE_Operating Budget'!AH22</f>
        <v>4587.9520736437498</v>
      </c>
      <c r="AI22" s="165">
        <f>'ARCHIVE_Operating Budget'!AI22</f>
        <v>4604.8776986437497</v>
      </c>
      <c r="AJ22" s="165">
        <f>'ARCHIVE_Operating Budget'!AJ22</f>
        <v>4604.8776986437497</v>
      </c>
      <c r="AK22" s="165">
        <f>'ARCHIVE_Operating Budget'!AK22</f>
        <v>4621.8033236437495</v>
      </c>
      <c r="AL22" s="165">
        <f>'ARCHIVE_Operating Budget'!AL22</f>
        <v>4638.7289486437503</v>
      </c>
      <c r="AM22" s="165">
        <f>'ARCHIVE_Operating Budget'!AM22</f>
        <v>25848.680625000001</v>
      </c>
      <c r="AN22" s="165">
        <f>'ARCHIVE_Operating Budget'!AN22</f>
        <v>43151.967765000001</v>
      </c>
      <c r="AO22" s="165">
        <f>'ARCHIVE_Operating Budget'!AO22</f>
        <v>54733.838008725004</v>
      </c>
      <c r="AP22" s="102">
        <f>'ARCHIVE_Operating Budget'!AP22</f>
        <v>1.4918938969294407E-2</v>
      </c>
    </row>
    <row r="23" spans="1:42" x14ac:dyDescent="0.2">
      <c r="A23" s="160" t="s">
        <v>536</v>
      </c>
      <c r="B23" s="163">
        <v>41300</v>
      </c>
      <c r="C23" s="165">
        <f>'ARCHIVE_Operating Budget'!C23</f>
        <v>319.86577083333333</v>
      </c>
      <c r="D23" s="165">
        <f>'ARCHIVE_Operating Budget'!D23</f>
        <v>447.53581249999996</v>
      </c>
      <c r="E23" s="165">
        <f>'ARCHIVE_Operating Budget'!E23</f>
        <v>451.0592916666667</v>
      </c>
      <c r="F23" s="165">
        <f>'ARCHIVE_Operating Budget'!F23</f>
        <v>459.24554166666667</v>
      </c>
      <c r="G23" s="165">
        <f>'ARCHIVE_Operating Budget'!G23</f>
        <v>467.4317916666667</v>
      </c>
      <c r="H23" s="165">
        <f>'ARCHIVE_Operating Budget'!H23</f>
        <v>471.52491666666668</v>
      </c>
      <c r="I23" s="165">
        <f>'ARCHIVE_Operating Budget'!I23</f>
        <v>550.84443750000003</v>
      </c>
      <c r="J23" s="165">
        <f>'ARCHIVE_Operating Budget'!J23</f>
        <v>554.93756250000001</v>
      </c>
      <c r="K23" s="165">
        <f>'ARCHIVE_Operating Budget'!K23</f>
        <v>563.12381249999999</v>
      </c>
      <c r="L23" s="165">
        <f>'ARCHIVE_Operating Budget'!L23</f>
        <v>571.31006249999996</v>
      </c>
      <c r="M23" s="165">
        <f>'ARCHIVE_Operating Budget'!M23</f>
        <v>692.96143749999999</v>
      </c>
      <c r="N23" s="165">
        <f>'ARCHIVE_Operating Budget'!N23</f>
        <v>701.14768749999996</v>
      </c>
      <c r="O23" s="165">
        <f>'ARCHIVE_Operating Budget'!O23</f>
        <v>722.22304937499996</v>
      </c>
      <c r="P23" s="165">
        <f>'ARCHIVE_Operating Budget'!P23</f>
        <v>730.40929937499993</v>
      </c>
      <c r="Q23" s="165">
        <f>'ARCHIVE_Operating Budget'!Q23</f>
        <v>807.76969333333329</v>
      </c>
      <c r="R23" s="165">
        <f>'ARCHIVE_Operating Budget'!R23</f>
        <v>815.95594333333338</v>
      </c>
      <c r="S23" s="165">
        <f>'ARCHIVE_Operating Budget'!S23</f>
        <v>820.04906833333337</v>
      </c>
      <c r="T23" s="165">
        <f>'ARCHIVE_Operating Budget'!T23</f>
        <v>828.23531833333334</v>
      </c>
      <c r="U23" s="165">
        <f>'ARCHIVE_Operating Budget'!U23</f>
        <v>832.32844333333333</v>
      </c>
      <c r="V23" s="165">
        <f>'ARCHIVE_Operating Budget'!V23</f>
        <v>836.42156833333331</v>
      </c>
      <c r="W23" s="165">
        <f>'ARCHIVE_Operating Budget'!W23</f>
        <v>965.69281583333327</v>
      </c>
      <c r="X23" s="165">
        <f>'ARCHIVE_Operating Budget'!X23</f>
        <v>969.78594083333326</v>
      </c>
      <c r="Y23" s="165">
        <f>'ARCHIVE_Operating Budget'!Y23</f>
        <v>1051.2394597916666</v>
      </c>
      <c r="Z23" s="165">
        <f>'ARCHIVE_Operating Budget'!Z23</f>
        <v>1055.3325847916667</v>
      </c>
      <c r="AA23" s="165">
        <f>'ARCHIVE_Operating Budget'!AA23</f>
        <v>1084.9459998354166</v>
      </c>
      <c r="AB23" s="165">
        <f>'ARCHIVE_Operating Budget'!AB23</f>
        <v>1089.0391248354167</v>
      </c>
      <c r="AC23" s="165">
        <f>'ARCHIVE_Operating Budget'!AC23</f>
        <v>1089.0391248354167</v>
      </c>
      <c r="AD23" s="165">
        <f>'ARCHIVE_Operating Budget'!AD23</f>
        <v>1093.1322498354166</v>
      </c>
      <c r="AE23" s="165">
        <f>'ARCHIVE_Operating Budget'!AE23</f>
        <v>1097.2253748354167</v>
      </c>
      <c r="AF23" s="165">
        <f>'ARCHIVE_Operating Budget'!AF23</f>
        <v>1101.3184998354166</v>
      </c>
      <c r="AG23" s="165">
        <f>'ARCHIVE_Operating Budget'!AG23</f>
        <v>1105.4116248354167</v>
      </c>
      <c r="AH23" s="165">
        <f>'ARCHIVE_Operating Budget'!AH23</f>
        <v>1109.5047498354165</v>
      </c>
      <c r="AI23" s="165">
        <f>'ARCHIVE_Operating Budget'!AI23</f>
        <v>1113.5978748354166</v>
      </c>
      <c r="AJ23" s="165">
        <f>'ARCHIVE_Operating Budget'!AJ23</f>
        <v>1113.5978748354166</v>
      </c>
      <c r="AK23" s="165">
        <f>'ARCHIVE_Operating Budget'!AK23</f>
        <v>1117.6909998354165</v>
      </c>
      <c r="AL23" s="165">
        <f>'ARCHIVE_Operating Budget'!AL23</f>
        <v>1121.7841248354166</v>
      </c>
      <c r="AM23" s="165">
        <f>'ARCHIVE_Operating Budget'!AM23</f>
        <v>6250.9881249999999</v>
      </c>
      <c r="AN23" s="165">
        <f>'ARCHIVE_Operating Budget'!AN23</f>
        <v>10435.443185</v>
      </c>
      <c r="AO23" s="165">
        <f>'ARCHIVE_Operating Budget'!AO23</f>
        <v>13236.287623025002</v>
      </c>
      <c r="AP23" s="102">
        <f>'ARCHIVE_Operating Budget'!AP23</f>
        <v>3.6078479860385169E-3</v>
      </c>
    </row>
    <row r="24" spans="1:42" x14ac:dyDescent="0.2">
      <c r="A24" s="160" t="s">
        <v>537</v>
      </c>
      <c r="B24" s="163">
        <v>41600</v>
      </c>
      <c r="C24" s="165">
        <f>'ARCHIVE_Operating Budget'!C24</f>
        <v>518.70125000000007</v>
      </c>
      <c r="D24" s="165">
        <f>'ARCHIVE_Operating Budget'!D24</f>
        <v>725.73374999999999</v>
      </c>
      <c r="E24" s="165">
        <f>'ARCHIVE_Operating Budget'!E24</f>
        <v>731.44749999999999</v>
      </c>
      <c r="F24" s="165">
        <f>'ARCHIVE_Operating Budget'!F24</f>
        <v>744.72250000000008</v>
      </c>
      <c r="G24" s="165">
        <f>'ARCHIVE_Operating Budget'!G24</f>
        <v>757.99750000000006</v>
      </c>
      <c r="H24" s="165">
        <f>'ARCHIVE_Operating Budget'!H24</f>
        <v>764.63499999999999</v>
      </c>
      <c r="I24" s="165">
        <f>'ARCHIVE_Operating Budget'!I24</f>
        <v>893.26125000000002</v>
      </c>
      <c r="J24" s="165">
        <f>'ARCHIVE_Operating Budget'!J24</f>
        <v>899.89874999999995</v>
      </c>
      <c r="K24" s="165">
        <f>'ARCHIVE_Operating Budget'!K24</f>
        <v>913.17374999999993</v>
      </c>
      <c r="L24" s="165">
        <f>'ARCHIVE_Operating Budget'!L24</f>
        <v>926.44875000000002</v>
      </c>
      <c r="M24" s="165">
        <f>'ARCHIVE_Operating Budget'!M24</f>
        <v>1123.7212500000001</v>
      </c>
      <c r="N24" s="165">
        <f>'ARCHIVE_Operating Budget'!N24</f>
        <v>1136.9962499999999</v>
      </c>
      <c r="O24" s="165">
        <f>'ARCHIVE_Operating Budget'!O24</f>
        <v>1171.1725124999998</v>
      </c>
      <c r="P24" s="165">
        <f>'ARCHIVE_Operating Budget'!P24</f>
        <v>1184.4475124999999</v>
      </c>
      <c r="Q24" s="165">
        <f>'ARCHIVE_Operating Budget'!Q24</f>
        <v>1309.8968</v>
      </c>
      <c r="R24" s="165">
        <f>'ARCHIVE_Operating Budget'!R24</f>
        <v>1323.1718000000001</v>
      </c>
      <c r="S24" s="165">
        <f>'ARCHIVE_Operating Budget'!S24</f>
        <v>1329.8093000000001</v>
      </c>
      <c r="T24" s="165">
        <f>'ARCHIVE_Operating Budget'!T24</f>
        <v>1343.0843</v>
      </c>
      <c r="U24" s="165">
        <f>'ARCHIVE_Operating Budget'!U24</f>
        <v>1349.7218</v>
      </c>
      <c r="V24" s="165">
        <f>'ARCHIVE_Operating Budget'!V24</f>
        <v>1356.3593000000001</v>
      </c>
      <c r="W24" s="165">
        <f>'ARCHIVE_Operating Budget'!W24</f>
        <v>1565.9883499999999</v>
      </c>
      <c r="X24" s="165">
        <f>'ARCHIVE_Operating Budget'!X24</f>
        <v>1572.6258499999999</v>
      </c>
      <c r="Y24" s="165">
        <f>'ARCHIVE_Operating Budget'!Y24</f>
        <v>1704.7126375</v>
      </c>
      <c r="Z24" s="165">
        <f>'ARCHIVE_Operating Budget'!Z24</f>
        <v>1711.3501375000001</v>
      </c>
      <c r="AA24" s="165">
        <f>'ARCHIVE_Operating Budget'!AA24</f>
        <v>1759.371891625</v>
      </c>
      <c r="AB24" s="165">
        <f>'ARCHIVE_Operating Budget'!AB24</f>
        <v>1766.009391625</v>
      </c>
      <c r="AC24" s="165">
        <f>'ARCHIVE_Operating Budget'!AC24</f>
        <v>1766.009391625</v>
      </c>
      <c r="AD24" s="165">
        <f>'ARCHIVE_Operating Budget'!AD24</f>
        <v>1772.6468916249999</v>
      </c>
      <c r="AE24" s="165">
        <f>'ARCHIVE_Operating Budget'!AE24</f>
        <v>1779.2843916249999</v>
      </c>
      <c r="AF24" s="165">
        <f>'ARCHIVE_Operating Budget'!AF24</f>
        <v>1785.9218916249999</v>
      </c>
      <c r="AG24" s="165">
        <f>'ARCHIVE_Operating Budget'!AG24</f>
        <v>1792.559391625</v>
      </c>
      <c r="AH24" s="165">
        <f>'ARCHIVE_Operating Budget'!AH24</f>
        <v>1799.196891625</v>
      </c>
      <c r="AI24" s="165">
        <f>'ARCHIVE_Operating Budget'!AI24</f>
        <v>1805.8343916249999</v>
      </c>
      <c r="AJ24" s="165">
        <f>'ARCHIVE_Operating Budget'!AJ24</f>
        <v>1805.8343916249999</v>
      </c>
      <c r="AK24" s="165">
        <f>'ARCHIVE_Operating Budget'!AK24</f>
        <v>1812.4718916249999</v>
      </c>
      <c r="AL24" s="165">
        <f>'ARCHIVE_Operating Budget'!AL24</f>
        <v>1819.1093916249999</v>
      </c>
      <c r="AM24" s="165">
        <f>'ARCHIVE_Operating Budget'!AM24</f>
        <v>10136.737499999999</v>
      </c>
      <c r="AN24" s="165">
        <f>'ARCHIVE_Operating Budget'!AN24</f>
        <v>16922.3403</v>
      </c>
      <c r="AO24" s="165">
        <f>'ARCHIVE_Operating Budget'!AO24</f>
        <v>21464.250199500002</v>
      </c>
      <c r="AP24" s="102">
        <f>'ARCHIVE_Operating Budget'!AP24</f>
        <v>5.8505643016840813E-3</v>
      </c>
    </row>
    <row r="25" spans="1:42" x14ac:dyDescent="0.2">
      <c r="A25" s="160" t="s">
        <v>538</v>
      </c>
      <c r="B25" s="163">
        <v>41100</v>
      </c>
      <c r="C25" s="165">
        <f>'ARCHIVE_Operating Budget'!C25</f>
        <v>1267.1319361000121</v>
      </c>
      <c r="D25" s="165">
        <f>'ARCHIVE_Operating Budget'!D25</f>
        <v>1750.8851124474081</v>
      </c>
      <c r="E25" s="165">
        <f>'ARCHIVE_Operating Budget'!E25</f>
        <v>1597.528730689796</v>
      </c>
      <c r="F25" s="165">
        <f>'ARCHIVE_Operating Budget'!F25</f>
        <v>1614.8174047858149</v>
      </c>
      <c r="G25" s="165">
        <f>'ARCHIVE_Operating Budget'!G25</f>
        <v>1631.8590310266834</v>
      </c>
      <c r="H25" s="165">
        <f>'ARCHIVE_Operating Budget'!H25</f>
        <v>1640.2888500966678</v>
      </c>
      <c r="I25" s="165">
        <f>'ARCHIVE_Operating Budget'!I25</f>
        <v>2016.6326039800351</v>
      </c>
      <c r="J25" s="165">
        <f>'ARCHIVE_Operating Budget'!J25</f>
        <v>2024.8746967815243</v>
      </c>
      <c r="K25" s="165">
        <f>'ARCHIVE_Operating Budget'!K25</f>
        <v>2041.1958356798561</v>
      </c>
      <c r="L25" s="165">
        <f>'ARCHIVE_Operating Budget'!L25</f>
        <v>2057.3031392972557</v>
      </c>
      <c r="M25" s="165">
        <f>'ARCHIVE_Operating Budget'!M25</f>
        <v>2526.6684167361354</v>
      </c>
      <c r="N25" s="165">
        <f>'ARCHIVE_Operating Budget'!N25</f>
        <v>2541.3459007810134</v>
      </c>
      <c r="O25" s="165">
        <f>'ARCHIVE_Operating Budget'!O25</f>
        <v>2541.4167258450875</v>
      </c>
      <c r="P25" s="165">
        <f>'ARCHIVE_Operating Budget'!P25</f>
        <v>2555.5001917222494</v>
      </c>
      <c r="Q25" s="165">
        <f>'ARCHIVE_Operating Budget'!Q25</f>
        <v>2949.1349777853902</v>
      </c>
      <c r="R25" s="165">
        <f>'ARCHIVE_Operating Budget'!R25</f>
        <v>2962.9217711888068</v>
      </c>
      <c r="S25" s="165">
        <f>'ARCHIVE_Operating Budget'!S25</f>
        <v>2969.7594328558039</v>
      </c>
      <c r="T25" s="165">
        <f>'ARCHIVE_Operating Budget'!T25</f>
        <v>2983.3247801781222</v>
      </c>
      <c r="U25" s="165">
        <f>'ARCHIVE_Operating Budget'!U25</f>
        <v>2990.0530538701514</v>
      </c>
      <c r="V25" s="165">
        <f>'ARCHIVE_Operating Budget'!V25</f>
        <v>2996.7454477141969</v>
      </c>
      <c r="W25" s="165">
        <f>'ARCHIVE_Operating Budget'!W25</f>
        <v>3481.2784945885369</v>
      </c>
      <c r="X25" s="165">
        <f>'ARCHIVE_Operating Budget'!X25</f>
        <v>3487.4574767978347</v>
      </c>
      <c r="Y25" s="165">
        <f>'ARCHIVE_Operating Budget'!Y25</f>
        <v>3904.7759795410216</v>
      </c>
      <c r="Z25" s="165">
        <f>'ARCHIVE_Operating Budget'!Z25</f>
        <v>3910.8321254453849</v>
      </c>
      <c r="AA25" s="165">
        <f>'ARCHIVE_Operating Budget'!AA25</f>
        <v>3907.8957829143169</v>
      </c>
      <c r="AB25" s="165">
        <f>'ARCHIVE_Operating Budget'!AB25</f>
        <v>3913.7618229107902</v>
      </c>
      <c r="AC25" s="165">
        <f>'ARCHIVE_Operating Budget'!AC25</f>
        <v>3913.7618229107902</v>
      </c>
      <c r="AD25" s="165">
        <f>'ARCHIVE_Operating Budget'!AD25</f>
        <v>3919.601372669244</v>
      </c>
      <c r="AE25" s="165">
        <f>'ARCHIVE_Operating Budget'!AE25</f>
        <v>3925.4146112248905</v>
      </c>
      <c r="AF25" s="165">
        <f>'ARCHIVE_Operating Budget'!AF25</f>
        <v>3931.2017160032146</v>
      </c>
      <c r="AG25" s="165">
        <f>'ARCHIVE_Operating Budget'!AG25</f>
        <v>3936.9628628380265</v>
      </c>
      <c r="AH25" s="165">
        <f>'ARCHIVE_Operating Budget'!AH25</f>
        <v>3942.6982259892648</v>
      </c>
      <c r="AI25" s="165">
        <f>'ARCHIVE_Operating Budget'!AI25</f>
        <v>3948.4079781605719</v>
      </c>
      <c r="AJ25" s="165">
        <f>'ARCHIVE_Operating Budget'!AJ25</f>
        <v>3948.4079781605719</v>
      </c>
      <c r="AK25" s="165">
        <f>'ARCHIVE_Operating Budget'!AK25</f>
        <v>3954.0922905166276</v>
      </c>
      <c r="AL25" s="165">
        <f>'ARCHIVE_Operating Budget'!AL25</f>
        <v>3959.7513327002498</v>
      </c>
      <c r="AM25" s="165">
        <f>'ARCHIVE_Operating Budget'!AM25</f>
        <v>22641.207903938033</v>
      </c>
      <c r="AN25" s="165">
        <f>'ARCHIVE_Operating Budget'!AN25</f>
        <v>37705.82309156569</v>
      </c>
      <c r="AO25" s="165">
        <f>'ARCHIVE_Operating Budget'!AO25</f>
        <v>47203.264061114831</v>
      </c>
      <c r="AP25" s="102">
        <f>'ARCHIVE_Operating Budget'!AP25</f>
        <v>1.2866311614526312E-2</v>
      </c>
    </row>
    <row r="26" spans="1:42" x14ac:dyDescent="0.2">
      <c r="A26" s="166" t="s">
        <v>539</v>
      </c>
      <c r="B26" s="160"/>
      <c r="C26" s="169">
        <f>'ARCHIVE_Operating Budget'!C26</f>
        <v>3428.3871444333454</v>
      </c>
      <c r="D26" s="169">
        <f>'ARCHIVE_Operating Budget'!D26</f>
        <v>4774.7757374474077</v>
      </c>
      <c r="E26" s="169">
        <f>'ARCHIVE_Operating Budget'!E26</f>
        <v>4645.2266473564632</v>
      </c>
      <c r="F26" s="169">
        <f>'ARCHIVE_Operating Budget'!F26</f>
        <v>4717.8278214524817</v>
      </c>
      <c r="G26" s="169">
        <f>'ARCHIVE_Operating Budget'!G26</f>
        <v>4790.1819476933506</v>
      </c>
      <c r="H26" s="169">
        <f>'ARCHIVE_Operating Budget'!H26</f>
        <v>4826.2680167633353</v>
      </c>
      <c r="I26" s="169">
        <f>'ARCHIVE_Operating Budget'!I26</f>
        <v>5738.5544789800351</v>
      </c>
      <c r="J26" s="169">
        <f>'ARCHIVE_Operating Budget'!J26</f>
        <v>5774.4528217815241</v>
      </c>
      <c r="K26" s="169">
        <f>'ARCHIVE_Operating Budget'!K26</f>
        <v>5846.0864606798559</v>
      </c>
      <c r="L26" s="169">
        <f>'ARCHIVE_Operating Budget'!L26</f>
        <v>5917.5062642972553</v>
      </c>
      <c r="M26" s="169">
        <f>'ARCHIVE_Operating Budget'!M26</f>
        <v>7208.8402917361354</v>
      </c>
      <c r="N26" s="169">
        <f>'ARCHIVE_Operating Budget'!N26</f>
        <v>7278.8302757810134</v>
      </c>
      <c r="O26" s="169">
        <f>'ARCHIVE_Operating Budget'!O26</f>
        <v>7421.3021945950859</v>
      </c>
      <c r="P26" s="169">
        <f>'ARCHIVE_Operating Budget'!P26</f>
        <v>7490.6981604722496</v>
      </c>
      <c r="Q26" s="169">
        <f>'ARCHIVE_Operating Budget'!Q26</f>
        <v>8407.0383111187239</v>
      </c>
      <c r="R26" s="169">
        <f>'ARCHIVE_Operating Budget'!R26</f>
        <v>8476.1376045221405</v>
      </c>
      <c r="S26" s="169">
        <f>'ARCHIVE_Operating Budget'!S26</f>
        <v>8510.631516189138</v>
      </c>
      <c r="T26" s="169">
        <f>'ARCHIVE_Operating Budget'!T26</f>
        <v>8579.5093635114554</v>
      </c>
      <c r="U26" s="169">
        <f>'ARCHIVE_Operating Budget'!U26</f>
        <v>8613.8938872034851</v>
      </c>
      <c r="V26" s="169">
        <f>'ARCHIVE_Operating Budget'!V26</f>
        <v>8648.2425310475301</v>
      </c>
      <c r="W26" s="169">
        <f>'ARCHIVE_Operating Budget'!W26</f>
        <v>10006.229952921869</v>
      </c>
      <c r="X26" s="169">
        <f>'ARCHIVE_Operating Budget'!X26</f>
        <v>10040.065185131167</v>
      </c>
      <c r="Y26" s="169">
        <f>'ARCHIVE_Operating Budget'!Y26</f>
        <v>11007.745302457688</v>
      </c>
      <c r="Z26" s="169">
        <f>'ARCHIVE_Operating Budget'!Z26</f>
        <v>11041.45769836205</v>
      </c>
      <c r="AA26" s="169">
        <f>'ARCHIVE_Operating Budget'!AA26</f>
        <v>11238.611998018483</v>
      </c>
      <c r="AB26" s="169">
        <f>'ARCHIVE_Operating Budget'!AB26</f>
        <v>11272.134288014957</v>
      </c>
      <c r="AC26" s="169">
        <f>'ARCHIVE_Operating Budget'!AC26</f>
        <v>11272.134288014957</v>
      </c>
      <c r="AD26" s="169">
        <f>'ARCHIVE_Operating Budget'!AD26</f>
        <v>11305.63008777341</v>
      </c>
      <c r="AE26" s="169">
        <f>'ARCHIVE_Operating Budget'!AE26</f>
        <v>11339.099576329058</v>
      </c>
      <c r="AF26" s="169">
        <f>'ARCHIVE_Operating Budget'!AF26</f>
        <v>11372.542931107382</v>
      </c>
      <c r="AG26" s="169">
        <f>'ARCHIVE_Operating Budget'!AG26</f>
        <v>11405.960327942194</v>
      </c>
      <c r="AH26" s="169">
        <f>'ARCHIVE_Operating Budget'!AH26</f>
        <v>11439.351941093431</v>
      </c>
      <c r="AI26" s="169">
        <f>'ARCHIVE_Operating Budget'!AI26</f>
        <v>11472.717943264737</v>
      </c>
      <c r="AJ26" s="169">
        <f>'ARCHIVE_Operating Budget'!AJ26</f>
        <v>11472.717943264737</v>
      </c>
      <c r="AK26" s="169">
        <f>'ARCHIVE_Operating Budget'!AK26</f>
        <v>11506.058505620795</v>
      </c>
      <c r="AL26" s="169">
        <f>'ARCHIVE_Operating Budget'!AL26</f>
        <v>11539.373797804417</v>
      </c>
      <c r="AM26" s="169">
        <f>'ARCHIVE_Operating Budget'!AM26</f>
        <v>64877.614153938033</v>
      </c>
      <c r="AN26" s="169">
        <f>'ARCHIVE_Operating Budget'!AN26</f>
        <v>108215.57434156569</v>
      </c>
      <c r="AO26" s="169">
        <f>'ARCHIVE_Operating Budget'!AO26</f>
        <v>136637.63989236485</v>
      </c>
      <c r="AP26" s="103">
        <f>'ARCHIVE_Operating Budget'!AP26</f>
        <v>3.724366287154332E-2</v>
      </c>
    </row>
    <row r="27" spans="1:42" x14ac:dyDescent="0.2">
      <c r="A27" s="168" t="s">
        <v>540</v>
      </c>
      <c r="B27" s="160"/>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row>
    <row r="28" spans="1:42" x14ac:dyDescent="0.2">
      <c r="A28" s="160" t="s">
        <v>541</v>
      </c>
      <c r="B28" s="163">
        <v>5050</v>
      </c>
      <c r="C28" s="165">
        <f>'ARCHIVE_Operating Budget'!C28</f>
        <v>4104</v>
      </c>
      <c r="D28" s="165">
        <f>'ARCHIVE_Operating Budget'!D28</f>
        <v>4651.2</v>
      </c>
      <c r="E28" s="165">
        <f>'ARCHIVE_Operating Budget'!E28</f>
        <v>4924.7999999999993</v>
      </c>
      <c r="F28" s="165">
        <f>'ARCHIVE_Operating Budget'!F28</f>
        <v>5472</v>
      </c>
      <c r="G28" s="165">
        <f>'ARCHIVE_Operating Budget'!G28</f>
        <v>6019.2</v>
      </c>
      <c r="H28" s="165">
        <f>'ARCHIVE_Operating Budget'!H28</f>
        <v>6292.7999999999993</v>
      </c>
      <c r="I28" s="165">
        <f>'ARCHIVE_Operating Budget'!I28</f>
        <v>6840</v>
      </c>
      <c r="J28" s="165">
        <f>'ARCHIVE_Operating Budget'!J28</f>
        <v>7113.5999999999995</v>
      </c>
      <c r="K28" s="165">
        <f>'ARCHIVE_Operating Budget'!K28</f>
        <v>7660.7999999999993</v>
      </c>
      <c r="L28" s="165">
        <f>'ARCHIVE_Operating Budget'!L28</f>
        <v>8208</v>
      </c>
      <c r="M28" s="165">
        <f>'ARCHIVE_Operating Budget'!M28</f>
        <v>8481.6</v>
      </c>
      <c r="N28" s="165">
        <f>'ARCHIVE_Operating Budget'!N28</f>
        <v>9028.7999999999993</v>
      </c>
      <c r="O28" s="165">
        <f>'ARCHIVE_Operating Budget'!O28</f>
        <v>9302.4</v>
      </c>
      <c r="P28" s="165">
        <f>'ARCHIVE_Operating Budget'!P28</f>
        <v>9849.5999999999985</v>
      </c>
      <c r="Q28" s="165">
        <f>'ARCHIVE_Operating Budget'!Q28</f>
        <v>10123.199999999999</v>
      </c>
      <c r="R28" s="165">
        <f>'ARCHIVE_Operating Budget'!R28</f>
        <v>10670.4</v>
      </c>
      <c r="S28" s="165">
        <f>'ARCHIVE_Operating Budget'!S28</f>
        <v>10944</v>
      </c>
      <c r="T28" s="165">
        <f>'ARCHIVE_Operating Budget'!T28</f>
        <v>11491.199999999999</v>
      </c>
      <c r="U28" s="165">
        <f>'ARCHIVE_Operating Budget'!U28</f>
        <v>11764.800000000001</v>
      </c>
      <c r="V28" s="165">
        <f>'ARCHIVE_Operating Budget'!V28</f>
        <v>12038.4</v>
      </c>
      <c r="W28" s="165">
        <f>'ARCHIVE_Operating Budget'!W28</f>
        <v>12585.599999999999</v>
      </c>
      <c r="X28" s="165">
        <f>'ARCHIVE_Operating Budget'!X28</f>
        <v>12859.199999999999</v>
      </c>
      <c r="Y28" s="165">
        <f>'ARCHIVE_Operating Budget'!Y28</f>
        <v>13406.4</v>
      </c>
      <c r="Z28" s="165">
        <f>'ARCHIVE_Operating Budget'!Z28</f>
        <v>13680</v>
      </c>
      <c r="AA28" s="165">
        <f>'ARCHIVE_Operating Budget'!AA28</f>
        <v>13953.599999999999</v>
      </c>
      <c r="AB28" s="165">
        <f>'ARCHIVE_Operating Budget'!AB28</f>
        <v>14227.199999999999</v>
      </c>
      <c r="AC28" s="165">
        <f>'ARCHIVE_Operating Budget'!AC28</f>
        <v>14227.199999999999</v>
      </c>
      <c r="AD28" s="165">
        <f>'ARCHIVE_Operating Budget'!AD28</f>
        <v>14500.8</v>
      </c>
      <c r="AE28" s="165">
        <f>'ARCHIVE_Operating Budget'!AE28</f>
        <v>14774.4</v>
      </c>
      <c r="AF28" s="165">
        <f>'ARCHIVE_Operating Budget'!AF28</f>
        <v>15048</v>
      </c>
      <c r="AG28" s="165">
        <f>'ARCHIVE_Operating Budget'!AG28</f>
        <v>15321.599999999999</v>
      </c>
      <c r="AH28" s="165">
        <f>'ARCHIVE_Operating Budget'!AH28</f>
        <v>15595.199999999999</v>
      </c>
      <c r="AI28" s="165">
        <f>'ARCHIVE_Operating Budget'!AI28</f>
        <v>15868.8</v>
      </c>
      <c r="AJ28" s="165">
        <f>'ARCHIVE_Operating Budget'!AJ28</f>
        <v>15868.8</v>
      </c>
      <c r="AK28" s="165">
        <f>'ARCHIVE_Operating Budget'!AK28</f>
        <v>16142.4</v>
      </c>
      <c r="AL28" s="165">
        <f>'ARCHIVE_Operating Budget'!AL28</f>
        <v>16416</v>
      </c>
      <c r="AM28" s="165">
        <f>'ARCHIVE_Operating Budget'!AM28</f>
        <v>78796.799999999988</v>
      </c>
      <c r="AN28" s="165">
        <f>'ARCHIVE_Operating Budget'!AN28</f>
        <v>138715.19999999998</v>
      </c>
      <c r="AO28" s="165">
        <f>'ARCHIVE_Operating Budget'!AO28</f>
        <v>181943.99999999997</v>
      </c>
      <c r="AP28" s="102">
        <f>'ARCHIVE_Operating Budget'!AP28</f>
        <v>4.95929306363753E-2</v>
      </c>
    </row>
    <row r="29" spans="1:42" x14ac:dyDescent="0.2">
      <c r="A29" s="160" t="s">
        <v>542</v>
      </c>
      <c r="B29" s="163">
        <v>5100</v>
      </c>
      <c r="C29" s="165">
        <f>'ARCHIVE_Operating Budget'!C29</f>
        <v>1596</v>
      </c>
      <c r="D29" s="165">
        <f>'ARCHIVE_Operating Budget'!D29</f>
        <v>1808.7999999999997</v>
      </c>
      <c r="E29" s="165">
        <f>'ARCHIVE_Operating Budget'!E29</f>
        <v>1915.1999999999998</v>
      </c>
      <c r="F29" s="165">
        <f>'ARCHIVE_Operating Budget'!F29</f>
        <v>2128</v>
      </c>
      <c r="G29" s="165">
        <f>'ARCHIVE_Operating Budget'!G29</f>
        <v>2340.7999999999997</v>
      </c>
      <c r="H29" s="165">
        <f>'ARCHIVE_Operating Budget'!H29</f>
        <v>2447.1999999999998</v>
      </c>
      <c r="I29" s="165">
        <f>'ARCHIVE_Operating Budget'!I29</f>
        <v>2660</v>
      </c>
      <c r="J29" s="165">
        <f>'ARCHIVE_Operating Budget'!J29</f>
        <v>2766.4</v>
      </c>
      <c r="K29" s="165">
        <f>'ARCHIVE_Operating Budget'!K29</f>
        <v>2979.2</v>
      </c>
      <c r="L29" s="165">
        <f>'ARCHIVE_Operating Budget'!L29</f>
        <v>3192</v>
      </c>
      <c r="M29" s="165">
        <f>'ARCHIVE_Operating Budget'!M29</f>
        <v>3298.4</v>
      </c>
      <c r="N29" s="165">
        <f>'ARCHIVE_Operating Budget'!N29</f>
        <v>3511.2</v>
      </c>
      <c r="O29" s="165">
        <f>'ARCHIVE_Operating Budget'!O29</f>
        <v>3617.5999999999995</v>
      </c>
      <c r="P29" s="165">
        <f>'ARCHIVE_Operating Budget'!P29</f>
        <v>3830.3999999999996</v>
      </c>
      <c r="Q29" s="165">
        <f>'ARCHIVE_Operating Budget'!Q29</f>
        <v>3936.7999999999997</v>
      </c>
      <c r="R29" s="165">
        <f>'ARCHIVE_Operating Budget'!R29</f>
        <v>4149.5999999999995</v>
      </c>
      <c r="S29" s="165">
        <f>'ARCHIVE_Operating Budget'!S29</f>
        <v>4256</v>
      </c>
      <c r="T29" s="165">
        <f>'ARCHIVE_Operating Budget'!T29</f>
        <v>4468.8</v>
      </c>
      <c r="U29" s="165">
        <f>'ARCHIVE_Operating Budget'!U29</f>
        <v>4575.2</v>
      </c>
      <c r="V29" s="165">
        <f>'ARCHIVE_Operating Budget'!V29</f>
        <v>4681.5999999999995</v>
      </c>
      <c r="W29" s="165">
        <f>'ARCHIVE_Operating Budget'!W29</f>
        <v>4894.3999999999996</v>
      </c>
      <c r="X29" s="165">
        <f>'ARCHIVE_Operating Budget'!X29</f>
        <v>5000.8</v>
      </c>
      <c r="Y29" s="165">
        <f>'ARCHIVE_Operating Budget'!Y29</f>
        <v>5213.5999999999995</v>
      </c>
      <c r="Z29" s="165">
        <f>'ARCHIVE_Operating Budget'!Z29</f>
        <v>5320</v>
      </c>
      <c r="AA29" s="165">
        <f>'ARCHIVE_Operating Budget'!AA29</f>
        <v>5426.4</v>
      </c>
      <c r="AB29" s="165">
        <f>'ARCHIVE_Operating Budget'!AB29</f>
        <v>5532.8</v>
      </c>
      <c r="AC29" s="165">
        <f>'ARCHIVE_Operating Budget'!AC29</f>
        <v>5532.8</v>
      </c>
      <c r="AD29" s="165">
        <f>'ARCHIVE_Operating Budget'!AD29</f>
        <v>5639.1999999999989</v>
      </c>
      <c r="AE29" s="165">
        <f>'ARCHIVE_Operating Budget'!AE29</f>
        <v>5745.5999999999995</v>
      </c>
      <c r="AF29" s="165">
        <f>'ARCHIVE_Operating Budget'!AF29</f>
        <v>5852</v>
      </c>
      <c r="AG29" s="165">
        <f>'ARCHIVE_Operating Budget'!AG29</f>
        <v>5958.4</v>
      </c>
      <c r="AH29" s="165">
        <f>'ARCHIVE_Operating Budget'!AH29</f>
        <v>6064.8</v>
      </c>
      <c r="AI29" s="165">
        <f>'ARCHIVE_Operating Budget'!AI29</f>
        <v>6171.1999999999989</v>
      </c>
      <c r="AJ29" s="165">
        <f>'ARCHIVE_Operating Budget'!AJ29</f>
        <v>6171.1999999999989</v>
      </c>
      <c r="AK29" s="165">
        <f>'ARCHIVE_Operating Budget'!AK29</f>
        <v>6277.5999999999995</v>
      </c>
      <c r="AL29" s="165">
        <f>'ARCHIVE_Operating Budget'!AL29</f>
        <v>6384</v>
      </c>
      <c r="AM29" s="165">
        <f>'ARCHIVE_Operating Budget'!AM29</f>
        <v>30643.199999999997</v>
      </c>
      <c r="AN29" s="165">
        <f>'ARCHIVE_Operating Budget'!AN29</f>
        <v>53944.799999999996</v>
      </c>
      <c r="AO29" s="165">
        <f>'ARCHIVE_Operating Budget'!AO29</f>
        <v>70755.999999999985</v>
      </c>
      <c r="AP29" s="102">
        <f>'ARCHIVE_Operating Budget'!AP29</f>
        <v>1.9286139691923727E-2</v>
      </c>
    </row>
    <row r="30" spans="1:42" x14ac:dyDescent="0.2">
      <c r="A30" s="160" t="s">
        <v>543</v>
      </c>
      <c r="B30" s="163">
        <v>5090</v>
      </c>
      <c r="C30" s="165">
        <f>'ARCHIVE_Operating Budget'!C30</f>
        <v>1368</v>
      </c>
      <c r="D30" s="165">
        <f>'ARCHIVE_Operating Budget'!D30</f>
        <v>1550.3999999999999</v>
      </c>
      <c r="E30" s="165">
        <f>'ARCHIVE_Operating Budget'!E30</f>
        <v>1641.6</v>
      </c>
      <c r="F30" s="165">
        <f>'ARCHIVE_Operating Budget'!F30</f>
        <v>1824</v>
      </c>
      <c r="G30" s="165">
        <f>'ARCHIVE_Operating Budget'!G30</f>
        <v>2006.3999999999999</v>
      </c>
      <c r="H30" s="165">
        <f>'ARCHIVE_Operating Budget'!H30</f>
        <v>2097.6</v>
      </c>
      <c r="I30" s="165">
        <f>'ARCHIVE_Operating Budget'!I30</f>
        <v>2280</v>
      </c>
      <c r="J30" s="165">
        <f>'ARCHIVE_Operating Budget'!J30</f>
        <v>2371.1999999999998</v>
      </c>
      <c r="K30" s="165">
        <f>'ARCHIVE_Operating Budget'!K30</f>
        <v>2553.6</v>
      </c>
      <c r="L30" s="165">
        <f>'ARCHIVE_Operating Budget'!L30</f>
        <v>2736</v>
      </c>
      <c r="M30" s="165">
        <f>'ARCHIVE_Operating Budget'!M30</f>
        <v>2827.2</v>
      </c>
      <c r="N30" s="165">
        <f>'ARCHIVE_Operating Budget'!N30</f>
        <v>3009.6</v>
      </c>
      <c r="O30" s="165">
        <f>'ARCHIVE_Operating Budget'!O30</f>
        <v>3100.7999999999997</v>
      </c>
      <c r="P30" s="165">
        <f>'ARCHIVE_Operating Budget'!P30</f>
        <v>3283.2</v>
      </c>
      <c r="Q30" s="165">
        <f>'ARCHIVE_Operating Budget'!Q30</f>
        <v>3374.3999999999996</v>
      </c>
      <c r="R30" s="165">
        <f>'ARCHIVE_Operating Budget'!R30</f>
        <v>3556.7999999999997</v>
      </c>
      <c r="S30" s="165">
        <f>'ARCHIVE_Operating Budget'!S30</f>
        <v>3648</v>
      </c>
      <c r="T30" s="165">
        <f>'ARCHIVE_Operating Budget'!T30</f>
        <v>3830.3999999999996</v>
      </c>
      <c r="U30" s="165">
        <f>'ARCHIVE_Operating Budget'!U30</f>
        <v>3921.6000000000004</v>
      </c>
      <c r="V30" s="165">
        <f>'ARCHIVE_Operating Budget'!V30</f>
        <v>4012.7999999999997</v>
      </c>
      <c r="W30" s="165">
        <f>'ARCHIVE_Operating Budget'!W30</f>
        <v>4195.2</v>
      </c>
      <c r="X30" s="165">
        <f>'ARCHIVE_Operating Budget'!X30</f>
        <v>4286.3999999999996</v>
      </c>
      <c r="Y30" s="165">
        <f>'ARCHIVE_Operating Budget'!Y30</f>
        <v>4468.7999999999993</v>
      </c>
      <c r="Z30" s="165">
        <f>'ARCHIVE_Operating Budget'!Z30</f>
        <v>4560</v>
      </c>
      <c r="AA30" s="165">
        <f>'ARCHIVE_Operating Budget'!AA30</f>
        <v>4651.2</v>
      </c>
      <c r="AB30" s="165">
        <f>'ARCHIVE_Operating Budget'!AB30</f>
        <v>4742.3999999999996</v>
      </c>
      <c r="AC30" s="165">
        <f>'ARCHIVE_Operating Budget'!AC30</f>
        <v>4742.3999999999996</v>
      </c>
      <c r="AD30" s="165">
        <f>'ARCHIVE_Operating Budget'!AD30</f>
        <v>4833.5999999999995</v>
      </c>
      <c r="AE30" s="165">
        <f>'ARCHIVE_Operating Budget'!AE30</f>
        <v>4924.7999999999993</v>
      </c>
      <c r="AF30" s="165">
        <f>'ARCHIVE_Operating Budget'!AF30</f>
        <v>5016</v>
      </c>
      <c r="AG30" s="165">
        <f>'ARCHIVE_Operating Budget'!AG30</f>
        <v>5107.2</v>
      </c>
      <c r="AH30" s="165">
        <f>'ARCHIVE_Operating Budget'!AH30</f>
        <v>5198.3999999999996</v>
      </c>
      <c r="AI30" s="165">
        <f>'ARCHIVE_Operating Budget'!AI30</f>
        <v>5289.5999999999995</v>
      </c>
      <c r="AJ30" s="165">
        <f>'ARCHIVE_Operating Budget'!AJ30</f>
        <v>5289.5999999999995</v>
      </c>
      <c r="AK30" s="165">
        <f>'ARCHIVE_Operating Budget'!AK30</f>
        <v>5380.7999999999993</v>
      </c>
      <c r="AL30" s="165">
        <f>'ARCHIVE_Operating Budget'!AL30</f>
        <v>5472</v>
      </c>
      <c r="AM30" s="165">
        <f>'ARCHIVE_Operating Budget'!AM30</f>
        <v>26265.599999999999</v>
      </c>
      <c r="AN30" s="165">
        <f>'ARCHIVE_Operating Budget'!AN30</f>
        <v>46238.399999999994</v>
      </c>
      <c r="AO30" s="165">
        <f>'ARCHIVE_Operating Budget'!AO30</f>
        <v>60647.999999999985</v>
      </c>
      <c r="AP30" s="102">
        <f>'ARCHIVE_Operating Budget'!AP30</f>
        <v>1.6530976878791764E-2</v>
      </c>
    </row>
    <row r="31" spans="1:42" x14ac:dyDescent="0.2">
      <c r="A31" s="160" t="s">
        <v>549</v>
      </c>
      <c r="B31" s="163">
        <v>5110</v>
      </c>
      <c r="C31" s="165">
        <f>'ARCHIVE_Operating Budget'!C31</f>
        <v>1655.0746033104192</v>
      </c>
      <c r="D31" s="165">
        <f>'ARCHIVE_Operating Budget'!D31</f>
        <v>1875.7512170851417</v>
      </c>
      <c r="E31" s="165">
        <f>'ARCHIVE_Operating Budget'!E31</f>
        <v>1986.0895239725032</v>
      </c>
      <c r="F31" s="165">
        <f>'ARCHIVE_Operating Budget'!F31</f>
        <v>2206.7661377472259</v>
      </c>
      <c r="G31" s="165">
        <f>'ARCHIVE_Operating Budget'!G31</f>
        <v>2427.4427515219486</v>
      </c>
      <c r="H31" s="165">
        <f>'ARCHIVE_Operating Budget'!H31</f>
        <v>2537.7810584093095</v>
      </c>
      <c r="I31" s="165">
        <f>'ARCHIVE_Operating Budget'!I31</f>
        <v>2758.4576721840322</v>
      </c>
      <c r="J31" s="165">
        <f>'ARCHIVE_Operating Budget'!J31</f>
        <v>2868.7959790713935</v>
      </c>
      <c r="K31" s="165">
        <f>'ARCHIVE_Operating Budget'!K31</f>
        <v>3089.4725928461157</v>
      </c>
      <c r="L31" s="165">
        <f>'ARCHIVE_Operating Budget'!L31</f>
        <v>3310.1492066208384</v>
      </c>
      <c r="M31" s="165">
        <f>'ARCHIVE_Operating Budget'!M31</f>
        <v>3420.4875135082002</v>
      </c>
      <c r="N31" s="165">
        <f>'ARCHIVE_Operating Budget'!N31</f>
        <v>3641.1641272829224</v>
      </c>
      <c r="O31" s="165">
        <f>'ARCHIVE_Operating Budget'!O31</f>
        <v>3751.5024341702833</v>
      </c>
      <c r="P31" s="165">
        <f>'ARCHIVE_Operating Budget'!P31</f>
        <v>3972.1790479450065</v>
      </c>
      <c r="Q31" s="165">
        <f>'ARCHIVE_Operating Budget'!Q31</f>
        <v>4082.5173548323678</v>
      </c>
      <c r="R31" s="165">
        <f>'ARCHIVE_Operating Budget'!R31</f>
        <v>4303.19396860709</v>
      </c>
      <c r="S31" s="165">
        <f>'ARCHIVE_Operating Budget'!S31</f>
        <v>4413.5322754944518</v>
      </c>
      <c r="T31" s="165">
        <f>'ARCHIVE_Operating Budget'!T31</f>
        <v>4634.2088892691745</v>
      </c>
      <c r="U31" s="165">
        <f>'ARCHIVE_Operating Budget'!U31</f>
        <v>4744.5471961565354</v>
      </c>
      <c r="V31" s="165">
        <f>'ARCHIVE_Operating Budget'!V31</f>
        <v>4854.8855030438972</v>
      </c>
      <c r="W31" s="165">
        <f>'ARCHIVE_Operating Budget'!W31</f>
        <v>5075.562116818619</v>
      </c>
      <c r="X31" s="165">
        <f>'ARCHIVE_Operating Budget'!X31</f>
        <v>5185.9004237059817</v>
      </c>
      <c r="Y31" s="165">
        <f>'ARCHIVE_Operating Budget'!Y31</f>
        <v>5406.5770374807025</v>
      </c>
      <c r="Z31" s="165">
        <f>'ARCHIVE_Operating Budget'!Z31</f>
        <v>5516.9153443680643</v>
      </c>
      <c r="AA31" s="165">
        <f>'ARCHIVE_Operating Budget'!AA31</f>
        <v>5627.2536512554252</v>
      </c>
      <c r="AB31" s="165">
        <f>'ARCHIVE_Operating Budget'!AB31</f>
        <v>5737.591958142787</v>
      </c>
      <c r="AC31" s="165">
        <f>'ARCHIVE_Operating Budget'!AC31</f>
        <v>5737.591958142787</v>
      </c>
      <c r="AD31" s="165">
        <f>'ARCHIVE_Operating Budget'!AD31</f>
        <v>5847.930265030147</v>
      </c>
      <c r="AE31" s="165">
        <f>'ARCHIVE_Operating Budget'!AE31</f>
        <v>5958.2685719175088</v>
      </c>
      <c r="AF31" s="165">
        <f>'ARCHIVE_Operating Budget'!AF31</f>
        <v>6068.6068788048706</v>
      </c>
      <c r="AG31" s="165">
        <f>'ARCHIVE_Operating Budget'!AG31</f>
        <v>6178.9451856922315</v>
      </c>
      <c r="AH31" s="165">
        <f>'ARCHIVE_Operating Budget'!AH31</f>
        <v>6289.2834925795933</v>
      </c>
      <c r="AI31" s="165">
        <f>'ARCHIVE_Operating Budget'!AI31</f>
        <v>6399.6217994669551</v>
      </c>
      <c r="AJ31" s="165">
        <f>'ARCHIVE_Operating Budget'!AJ31</f>
        <v>6399.6217994669551</v>
      </c>
      <c r="AK31" s="165">
        <f>'ARCHIVE_Operating Budget'!AK31</f>
        <v>6509.9601063543159</v>
      </c>
      <c r="AL31" s="165">
        <f>'ARCHIVE_Operating Budget'!AL31</f>
        <v>6620.2984132416768</v>
      </c>
      <c r="AM31" s="165">
        <f>'ARCHIVE_Operating Budget'!AM31</f>
        <v>31777.432383560052</v>
      </c>
      <c r="AN31" s="165">
        <f>'ARCHIVE_Operating Budget'!AN31</f>
        <v>55941.521591892168</v>
      </c>
      <c r="AO31" s="165">
        <f>'ARCHIVE_Operating Budget'!AO31</f>
        <v>73374.974080095257</v>
      </c>
      <c r="AP31" s="102">
        <f>'ARCHIVE_Operating Budget'!AP31</f>
        <v>0.02</v>
      </c>
    </row>
    <row r="32" spans="1:42" x14ac:dyDescent="0.2">
      <c r="A32" s="160" t="s">
        <v>544</v>
      </c>
      <c r="B32" s="163">
        <v>6560</v>
      </c>
      <c r="C32" s="165">
        <f>'ARCHIVE_Operating Budget'!C32</f>
        <v>456</v>
      </c>
      <c r="D32" s="165">
        <f>'ARCHIVE_Operating Budget'!D32</f>
        <v>516.79999999999995</v>
      </c>
      <c r="E32" s="165">
        <f>'ARCHIVE_Operating Budget'!E32</f>
        <v>547.19999999999993</v>
      </c>
      <c r="F32" s="165">
        <f>'ARCHIVE_Operating Budget'!F32</f>
        <v>608</v>
      </c>
      <c r="G32" s="165">
        <f>'ARCHIVE_Operating Budget'!G32</f>
        <v>668.8</v>
      </c>
      <c r="H32" s="165">
        <f>'ARCHIVE_Operating Budget'!H32</f>
        <v>699.19999999999993</v>
      </c>
      <c r="I32" s="165">
        <f>'ARCHIVE_Operating Budget'!I32</f>
        <v>760</v>
      </c>
      <c r="J32" s="165">
        <f>'ARCHIVE_Operating Budget'!J32</f>
        <v>790.4</v>
      </c>
      <c r="K32" s="165">
        <f>'ARCHIVE_Operating Budget'!K32</f>
        <v>851.19999999999993</v>
      </c>
      <c r="L32" s="165">
        <f>'ARCHIVE_Operating Budget'!L32</f>
        <v>912</v>
      </c>
      <c r="M32" s="165">
        <f>'ARCHIVE_Operating Budget'!M32</f>
        <v>942.4</v>
      </c>
      <c r="N32" s="165">
        <f>'ARCHIVE_Operating Budget'!N32</f>
        <v>1003.1999999999999</v>
      </c>
      <c r="O32" s="165">
        <f>'ARCHIVE_Operating Budget'!O32</f>
        <v>1033.5999999999999</v>
      </c>
      <c r="P32" s="165">
        <f>'ARCHIVE_Operating Budget'!P32</f>
        <v>1094.3999999999999</v>
      </c>
      <c r="Q32" s="165">
        <f>'ARCHIVE_Operating Budget'!Q32</f>
        <v>1124.8</v>
      </c>
      <c r="R32" s="165">
        <f>'ARCHIVE_Operating Budget'!R32</f>
        <v>1185.5999999999999</v>
      </c>
      <c r="S32" s="165">
        <f>'ARCHIVE_Operating Budget'!S32</f>
        <v>1216</v>
      </c>
      <c r="T32" s="165">
        <f>'ARCHIVE_Operating Budget'!T32</f>
        <v>1276.8</v>
      </c>
      <c r="U32" s="165">
        <f>'ARCHIVE_Operating Budget'!U32</f>
        <v>1307.2</v>
      </c>
      <c r="V32" s="165">
        <f>'ARCHIVE_Operating Budget'!V32</f>
        <v>1337.6</v>
      </c>
      <c r="W32" s="165">
        <f>'ARCHIVE_Operating Budget'!W32</f>
        <v>1398.3999999999999</v>
      </c>
      <c r="X32" s="165">
        <f>'ARCHIVE_Operating Budget'!X32</f>
        <v>1428.8</v>
      </c>
      <c r="Y32" s="165">
        <f>'ARCHIVE_Operating Budget'!Y32</f>
        <v>1489.6</v>
      </c>
      <c r="Z32" s="165">
        <f>'ARCHIVE_Operating Budget'!Z32</f>
        <v>1520</v>
      </c>
      <c r="AA32" s="165">
        <f>'ARCHIVE_Operating Budget'!AA32</f>
        <v>1550.3999999999999</v>
      </c>
      <c r="AB32" s="165">
        <f>'ARCHIVE_Operating Budget'!AB32</f>
        <v>1580.8</v>
      </c>
      <c r="AC32" s="165">
        <f>'ARCHIVE_Operating Budget'!AC32</f>
        <v>1580.8</v>
      </c>
      <c r="AD32" s="165">
        <f>'ARCHIVE_Operating Budget'!AD32</f>
        <v>1611.1999999999998</v>
      </c>
      <c r="AE32" s="165">
        <f>'ARCHIVE_Operating Budget'!AE32</f>
        <v>1641.6</v>
      </c>
      <c r="AF32" s="165">
        <f>'ARCHIVE_Operating Budget'!AF32</f>
        <v>1672</v>
      </c>
      <c r="AG32" s="165">
        <f>'ARCHIVE_Operating Budget'!AG32</f>
        <v>1702.3999999999999</v>
      </c>
      <c r="AH32" s="165">
        <f>'ARCHIVE_Operating Budget'!AH32</f>
        <v>1732.8</v>
      </c>
      <c r="AI32" s="165">
        <f>'ARCHIVE_Operating Budget'!AI32</f>
        <v>1763.1999999999998</v>
      </c>
      <c r="AJ32" s="165">
        <f>'ARCHIVE_Operating Budget'!AJ32</f>
        <v>1763.1999999999998</v>
      </c>
      <c r="AK32" s="165">
        <f>'ARCHIVE_Operating Budget'!AK32</f>
        <v>1793.6</v>
      </c>
      <c r="AL32" s="165">
        <f>'ARCHIVE_Operating Budget'!AL32</f>
        <v>1824</v>
      </c>
      <c r="AM32" s="165">
        <f>'ARCHIVE_Operating Budget'!AM32</f>
        <v>8755.1999999999989</v>
      </c>
      <c r="AN32" s="165">
        <f>'ARCHIVE_Operating Budget'!AN32</f>
        <v>15412.8</v>
      </c>
      <c r="AO32" s="165">
        <f>'ARCHIVE_Operating Budget'!AO32</f>
        <v>20215.999999999996</v>
      </c>
      <c r="AP32" s="102">
        <f>'ARCHIVE_Operating Budget'!AP32</f>
        <v>5.5103256262639217E-3</v>
      </c>
    </row>
    <row r="33" spans="1:42" x14ac:dyDescent="0.2">
      <c r="A33" s="166" t="s">
        <v>545</v>
      </c>
      <c r="B33" s="163"/>
      <c r="C33" s="169">
        <f>'ARCHIVE_Operating Budget'!C33</f>
        <v>9179.0746033104188</v>
      </c>
      <c r="D33" s="169">
        <f>'ARCHIVE_Operating Budget'!D33</f>
        <v>10402.951217085141</v>
      </c>
      <c r="E33" s="169">
        <f>'ARCHIVE_Operating Budget'!E33</f>
        <v>11014.889523972503</v>
      </c>
      <c r="F33" s="169">
        <f>'ARCHIVE_Operating Budget'!F33</f>
        <v>12238.766137747225</v>
      </c>
      <c r="G33" s="169">
        <f>'ARCHIVE_Operating Budget'!G33</f>
        <v>13462.642751521948</v>
      </c>
      <c r="H33" s="169">
        <f>'ARCHIVE_Operating Budget'!H33</f>
        <v>14074.581058409311</v>
      </c>
      <c r="I33" s="169">
        <f>'ARCHIVE_Operating Budget'!I33</f>
        <v>15298.457672184031</v>
      </c>
      <c r="J33" s="169">
        <f>'ARCHIVE_Operating Budget'!J33</f>
        <v>15910.395979071394</v>
      </c>
      <c r="K33" s="169">
        <f>'ARCHIVE_Operating Budget'!K33</f>
        <v>17134.272592846115</v>
      </c>
      <c r="L33" s="169">
        <f>'ARCHIVE_Operating Budget'!L33</f>
        <v>18358.149206620838</v>
      </c>
      <c r="M33" s="169">
        <f>'ARCHIVE_Operating Budget'!M33</f>
        <v>18970.087513508202</v>
      </c>
      <c r="N33" s="169">
        <f>'ARCHIVE_Operating Budget'!N33</f>
        <v>20193.964127282925</v>
      </c>
      <c r="O33" s="169">
        <f>'ARCHIVE_Operating Budget'!O33</f>
        <v>20805.902434170283</v>
      </c>
      <c r="P33" s="169">
        <f>'ARCHIVE_Operating Budget'!P33</f>
        <v>22029.779047945005</v>
      </c>
      <c r="Q33" s="169">
        <f>'ARCHIVE_Operating Budget'!Q33</f>
        <v>22641.717354832366</v>
      </c>
      <c r="R33" s="169">
        <f>'ARCHIVE_Operating Budget'!R33</f>
        <v>23865.593968607089</v>
      </c>
      <c r="S33" s="169">
        <f>'ARCHIVE_Operating Budget'!S33</f>
        <v>24477.53227549445</v>
      </c>
      <c r="T33" s="169">
        <f>'ARCHIVE_Operating Budget'!T33</f>
        <v>25701.408889269176</v>
      </c>
      <c r="U33" s="169">
        <f>'ARCHIVE_Operating Budget'!U33</f>
        <v>26313.347196156534</v>
      </c>
      <c r="V33" s="169">
        <f>'ARCHIVE_Operating Budget'!V33</f>
        <v>26925.285503043895</v>
      </c>
      <c r="W33" s="169">
        <f>'ARCHIVE_Operating Budget'!W33</f>
        <v>28149.162116818621</v>
      </c>
      <c r="X33" s="169">
        <f>'ARCHIVE_Operating Budget'!X33</f>
        <v>28761.100423705982</v>
      </c>
      <c r="Y33" s="169">
        <f>'ARCHIVE_Operating Budget'!Y33</f>
        <v>29984.977037480701</v>
      </c>
      <c r="Z33" s="169">
        <f>'ARCHIVE_Operating Budget'!Z33</f>
        <v>30596.915344368063</v>
      </c>
      <c r="AA33" s="169">
        <f>'ARCHIVE_Operating Budget'!AA33</f>
        <v>31208.853651255427</v>
      </c>
      <c r="AB33" s="169">
        <f>'ARCHIVE_Operating Budget'!AB33</f>
        <v>31820.791958142789</v>
      </c>
      <c r="AC33" s="169">
        <f>'ARCHIVE_Operating Budget'!AC33</f>
        <v>31820.791958142789</v>
      </c>
      <c r="AD33" s="169">
        <f>'ARCHIVE_Operating Budget'!AD33</f>
        <v>32432.730265030146</v>
      </c>
      <c r="AE33" s="169">
        <f>'ARCHIVE_Operating Budget'!AE33</f>
        <v>33044.668571917508</v>
      </c>
      <c r="AF33" s="169">
        <f>'ARCHIVE_Operating Budget'!AF33</f>
        <v>33656.606878804872</v>
      </c>
      <c r="AG33" s="169">
        <f>'ARCHIVE_Operating Budget'!AG33</f>
        <v>34268.54518569223</v>
      </c>
      <c r="AH33" s="169">
        <f>'ARCHIVE_Operating Budget'!AH33</f>
        <v>34880.483492579595</v>
      </c>
      <c r="AI33" s="169">
        <f>'ARCHIVE_Operating Budget'!AI33</f>
        <v>35492.421799466953</v>
      </c>
      <c r="AJ33" s="169">
        <f>'ARCHIVE_Operating Budget'!AJ33</f>
        <v>35492.421799466953</v>
      </c>
      <c r="AK33" s="169">
        <f>'ARCHIVE_Operating Budget'!AK33</f>
        <v>36104.36010635431</v>
      </c>
      <c r="AL33" s="169">
        <f>'ARCHIVE_Operating Budget'!AL33</f>
        <v>36716.298413241675</v>
      </c>
      <c r="AM33" s="169">
        <f>'ARCHIVE_Operating Budget'!AM33</f>
        <v>176238.23238356004</v>
      </c>
      <c r="AN33" s="169">
        <f>'ARCHIVE_Operating Budget'!AN33</f>
        <v>310252.72159189213</v>
      </c>
      <c r="AO33" s="169">
        <f>'ARCHIVE_Operating Budget'!AO33</f>
        <v>406938.97408009518</v>
      </c>
      <c r="AP33" s="103">
        <f>'ARCHIVE_Operating Budget'!AP33</f>
        <v>0.11092037283335471</v>
      </c>
    </row>
    <row r="34" spans="1:42" x14ac:dyDescent="0.2">
      <c r="A34" s="104"/>
      <c r="B34" s="170"/>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row>
    <row r="35" spans="1:42" x14ac:dyDescent="0.2">
      <c r="A35" s="105" t="s">
        <v>546</v>
      </c>
      <c r="B35" s="101"/>
      <c r="C35" s="106">
        <f>'ARCHIVE_Operating Budget'!C35</f>
        <v>29897.503414410432</v>
      </c>
      <c r="D35" s="106">
        <f>'ARCHIVE_Operating Budget'!D35</f>
        <v>39368.851954532554</v>
      </c>
      <c r="E35" s="106">
        <f>'ARCHIVE_Operating Budget'!E35</f>
        <v>40041.699504662305</v>
      </c>
      <c r="F35" s="106">
        <f>'ARCHIVE_Operating Budget'!F35</f>
        <v>41780.677292533044</v>
      </c>
      <c r="G35" s="106">
        <f>'ARCHIVE_Operating Budget'!G35</f>
        <v>43519.408032548636</v>
      </c>
      <c r="H35" s="106">
        <f>'ARCHIVE_Operating Budget'!H35</f>
        <v>44388.682408505985</v>
      </c>
      <c r="I35" s="106">
        <f>'ARCHIVE_Operating Budget'!I35</f>
        <v>50812.387151164061</v>
      </c>
      <c r="J35" s="106">
        <f>'ARCHIVE_Operating Budget'!J35</f>
        <v>51681.473800852917</v>
      </c>
      <c r="K35" s="106">
        <f>'ARCHIVE_Operating Budget'!K35</f>
        <v>53419.484053525972</v>
      </c>
      <c r="L35" s="106">
        <f>'ARCHIVE_Operating Budget'!L35</f>
        <v>55157.280470918093</v>
      </c>
      <c r="M35" s="106">
        <f>'ARCHIVE_Operating Budget'!M35</f>
        <v>63636.302805244341</v>
      </c>
      <c r="N35" s="106">
        <f>'ARCHIVE_Operating Budget'!N35</f>
        <v>65372.669403063941</v>
      </c>
      <c r="O35" s="106">
        <f>'ARCHIVE_Operating Budget'!O35</f>
        <v>67266.28837876537</v>
      </c>
      <c r="P35" s="106">
        <f>'ARCHIVE_Operating Budget'!P35</f>
        <v>69002.060958417249</v>
      </c>
      <c r="Q35" s="106">
        <f>'ARCHIVE_Operating Budget'!Q35</f>
        <v>74711.982332617757</v>
      </c>
      <c r="R35" s="106">
        <f>'ARCHIVE_Operating Budget'!R35</f>
        <v>76447.458239795902</v>
      </c>
      <c r="S35" s="106">
        <f>'ARCHIVE_Operating Budget'!S35</f>
        <v>77315.140458350259</v>
      </c>
      <c r="T35" s="106">
        <f>'ARCHIVE_Operating Budget'!T35</f>
        <v>79050.394919447295</v>
      </c>
      <c r="U35" s="106">
        <f>'ARCHIVE_Operating Budget'!U35</f>
        <v>79917.967750026684</v>
      </c>
      <c r="V35" s="106">
        <f>'ARCHIVE_Operating Budget'!V35</f>
        <v>80785.504700758087</v>
      </c>
      <c r="W35" s="106">
        <f>'ARCHIVE_Operating Budget'!W35</f>
        <v>90355.003736407161</v>
      </c>
      <c r="X35" s="106">
        <f>'ARCHIVE_Operating Budget'!X35</f>
        <v>91222.027275503817</v>
      </c>
      <c r="Y35" s="106">
        <f>'ARCHIVE_Operating Budget'!Y35</f>
        <v>97816.476923271723</v>
      </c>
      <c r="Z35" s="106">
        <f>'ARCHIVE_Operating Budget'!Z35</f>
        <v>98683.377626063448</v>
      </c>
      <c r="AA35" s="106">
        <f>'ARCHIVE_Operating Budget'!AA35</f>
        <v>101093.19537010725</v>
      </c>
      <c r="AB35" s="106">
        <f>'ARCHIVE_Operating Budget'!AB35</f>
        <v>101959.90596699108</v>
      </c>
      <c r="AC35" s="106">
        <f>'ARCHIVE_Operating Budget'!AC35</f>
        <v>101959.90596699108</v>
      </c>
      <c r="AD35" s="106">
        <f>'ARCHIVE_Operating Budget'!AD35</f>
        <v>102826.59007363688</v>
      </c>
      <c r="AE35" s="106">
        <f>'ARCHIVE_Operating Budget'!AE35</f>
        <v>103693.2478690799</v>
      </c>
      <c r="AF35" s="106">
        <f>'ARCHIVE_Operating Budget'!AF35</f>
        <v>104559.87953074559</v>
      </c>
      <c r="AG35" s="106">
        <f>'ARCHIVE_Operating Budget'!AG35</f>
        <v>105426.48523446775</v>
      </c>
      <c r="AH35" s="106">
        <f>'ARCHIVE_Operating Budget'!AH35</f>
        <v>106293.06515450636</v>
      </c>
      <c r="AI35" s="106">
        <f>'ARCHIVE_Operating Budget'!AI35</f>
        <v>107159.61946356503</v>
      </c>
      <c r="AJ35" s="106">
        <f>'ARCHIVE_Operating Budget'!AJ35</f>
        <v>107159.61946356503</v>
      </c>
      <c r="AK35" s="106">
        <f>'ARCHIVE_Operating Budget'!AK35</f>
        <v>108026.14833280843</v>
      </c>
      <c r="AL35" s="106">
        <f>'ARCHIVE_Operating Budget'!AL35</f>
        <v>108892.65193187943</v>
      </c>
      <c r="AM35" s="106">
        <f>'ARCHIVE_Operating Budget'!AM35</f>
        <v>579007.09653749806</v>
      </c>
      <c r="AN35" s="106">
        <f>'ARCHIVE_Operating Budget'!AN35</f>
        <v>982546.3059334578</v>
      </c>
      <c r="AO35" s="106">
        <f>'ARCHIVE_Operating Budget'!AO35</f>
        <v>1259051.6206224603</v>
      </c>
      <c r="AP35" s="107">
        <f>'ARCHIVE_Operating Budget'!AP35</f>
        <v>0.34318284576103414</v>
      </c>
    </row>
    <row r="36" spans="1:42" ht="16" thickBot="1" x14ac:dyDescent="0.25">
      <c r="A36" s="105" t="s">
        <v>547</v>
      </c>
      <c r="B36" s="101"/>
      <c r="C36" s="116">
        <f>'ARCHIVE_Operating Budget'!C36</f>
        <v>52856.226751110531</v>
      </c>
      <c r="D36" s="116">
        <f>'ARCHIVE_Operating Budget'!D36</f>
        <v>54418.70889972453</v>
      </c>
      <c r="E36" s="116">
        <f>'ARCHIVE_Operating Budget'!E36</f>
        <v>59262.776693962849</v>
      </c>
      <c r="F36" s="116">
        <f>'ARCHIVE_Operating Budget'!F36</f>
        <v>68557.62959482825</v>
      </c>
      <c r="G36" s="116">
        <f>'ARCHIVE_Operating Budget'!G36</f>
        <v>77852.729543548776</v>
      </c>
      <c r="H36" s="116">
        <f>'ARCHIVE_Operating Budget'!H36</f>
        <v>82500.370511959482</v>
      </c>
      <c r="I36" s="116">
        <f>'ARCHIVE_Operating Budget'!I36</f>
        <v>87110.496458037553</v>
      </c>
      <c r="J36" s="116">
        <f>'ARCHIVE_Operating Budget'!J36</f>
        <v>91758.325152716745</v>
      </c>
      <c r="K36" s="116">
        <f>'ARCHIVE_Operating Budget'!K36</f>
        <v>101054.14558877981</v>
      </c>
      <c r="L36" s="116">
        <f>'ARCHIVE_Operating Budget'!L36</f>
        <v>110350.17986012383</v>
      </c>
      <c r="M36" s="116">
        <f>'ARCHIVE_Operating Budget'!M36</f>
        <v>107388.07287016566</v>
      </c>
      <c r="N36" s="116">
        <f>'ARCHIVE_Operating Budget'!N36</f>
        <v>116685.53696108217</v>
      </c>
      <c r="O36" s="116">
        <f>'ARCHIVE_Operating Budget'!O36</f>
        <v>120308.8333297488</v>
      </c>
      <c r="P36" s="116">
        <f>'ARCHIVE_Operating Budget'!P36</f>
        <v>129606.89143883306</v>
      </c>
      <c r="Q36" s="116">
        <f>'ARCHIVE_Operating Budget'!Q36</f>
        <v>129413.88540900064</v>
      </c>
      <c r="R36" s="116">
        <f>'ARCHIVE_Operating Budget'!R36</f>
        <v>138712.2401905586</v>
      </c>
      <c r="S36" s="116">
        <f>'ARCHIVE_Operating Budget'!S36</f>
        <v>143361.47331637231</v>
      </c>
      <c r="T36" s="116">
        <f>'ARCHIVE_Operating Budget'!T36</f>
        <v>152660.04954401142</v>
      </c>
      <c r="U36" s="116">
        <f>'ARCHIVE_Operating Budget'!U36</f>
        <v>157309.39205780008</v>
      </c>
      <c r="V36" s="116">
        <f>'ARCHIVE_Operating Budget'!V36</f>
        <v>161958.77045143675</v>
      </c>
      <c r="W36" s="116">
        <f>'ARCHIVE_Operating Budget'!W36</f>
        <v>163423.1021045238</v>
      </c>
      <c r="X36" s="116">
        <f>'ARCHIVE_Operating Budget'!X36</f>
        <v>168072.99390979524</v>
      </c>
      <c r="Y36" s="116">
        <f>'ARCHIVE_Operating Budget'!Y36</f>
        <v>172512.37495076342</v>
      </c>
      <c r="Z36" s="116">
        <f>'ARCHIVE_Operating Budget'!Z36</f>
        <v>177162.38959233978</v>
      </c>
      <c r="AA36" s="116">
        <f>'ARCHIVE_Operating Budget'!AA36</f>
        <v>180269.487192664</v>
      </c>
      <c r="AB36" s="116">
        <f>'ARCHIVE_Operating Budget'!AB36</f>
        <v>184919.69194014824</v>
      </c>
      <c r="AC36" s="116">
        <f>'ARCHIVE_Operating Budget'!AC36</f>
        <v>184919.69194014824</v>
      </c>
      <c r="AD36" s="116">
        <f>'ARCHIVE_Operating Budget'!AD36</f>
        <v>189569.92317787049</v>
      </c>
      <c r="AE36" s="116">
        <f>'ARCHIVE_Operating Budget'!AE36</f>
        <v>194220.18072679554</v>
      </c>
      <c r="AF36" s="116">
        <f>'ARCHIVE_Operating Budget'!AF36</f>
        <v>198870.46440949794</v>
      </c>
      <c r="AG36" s="116">
        <f>'ARCHIVE_Operating Budget'!AG36</f>
        <v>203520.77405014381</v>
      </c>
      <c r="AH36" s="116">
        <f>'ARCHIVE_Operating Budget'!AH36</f>
        <v>208171.10947447328</v>
      </c>
      <c r="AI36" s="116">
        <f>'ARCHIVE_Operating Budget'!AI36</f>
        <v>212821.4705097827</v>
      </c>
      <c r="AJ36" s="116">
        <f>'ARCHIVE_Operating Budget'!AJ36</f>
        <v>212821.4705097827</v>
      </c>
      <c r="AK36" s="116">
        <f>'ARCHIVE_Operating Budget'!AK36</f>
        <v>217471.85698490738</v>
      </c>
      <c r="AL36" s="116">
        <f>'ARCHIVE_Operating Budget'!AL36</f>
        <v>222122.26873020441</v>
      </c>
      <c r="AM36" s="116">
        <f>'ARCHIVE_Operating Budget'!AM36</f>
        <v>1009864.5226405044</v>
      </c>
      <c r="AN36" s="116">
        <f>'ARCHIVE_Operating Budget'!AN36</f>
        <v>1814529.7736611506</v>
      </c>
      <c r="AO36" s="116">
        <f>'ARCHIVE_Operating Budget'!AO36</f>
        <v>2409697.0833823024</v>
      </c>
      <c r="AP36" s="176">
        <f>'ARCHIVE_Operating Budget'!AP36</f>
        <v>0.65681715423896592</v>
      </c>
    </row>
    <row r="37" spans="1:42" ht="16" thickTop="1" x14ac:dyDescent="0.2">
      <c r="A37" s="172" t="s">
        <v>548</v>
      </c>
      <c r="B37" s="101"/>
      <c r="C37" s="173">
        <f>'ARCHIVE_Operating Budget'!C37</f>
        <v>0.63871715082074798</v>
      </c>
      <c r="D37" s="173">
        <f>'ARCHIVE_Operating Budget'!D37</f>
        <v>0.58023375812373978</v>
      </c>
      <c r="E37" s="173">
        <f>'ARCHIVE_Operating Budget'!E37</f>
        <v>0.59677850347277017</v>
      </c>
      <c r="F37" s="173">
        <f>'ARCHIVE_Operating Budget'!F37</f>
        <v>0.62134023557942764</v>
      </c>
      <c r="G37" s="173">
        <f>'ARCHIVE_Operating Budget'!G37</f>
        <v>0.64143823366987318</v>
      </c>
      <c r="H37" s="173">
        <f>'ARCHIVE_Operating Budget'!H37</f>
        <v>0.65017721082425461</v>
      </c>
      <c r="I37" s="173">
        <f>'ARCHIVE_Operating Budget'!I37</f>
        <v>0.63158842230170653</v>
      </c>
      <c r="J37" s="173">
        <f>'ARCHIVE_Operating Budget'!J37</f>
        <v>0.63969920358308774</v>
      </c>
      <c r="K37" s="173">
        <f>'ARCHIVE_Operating Budget'!K37</f>
        <v>0.65418379708418561</v>
      </c>
      <c r="L37" s="173">
        <f>'ARCHIVE_Operating Budget'!L37</f>
        <v>0.66673840344964186</v>
      </c>
      <c r="M37" s="173">
        <f>'ARCHIVE_Operating Budget'!M37</f>
        <v>0.62791091881533467</v>
      </c>
      <c r="N37" s="173">
        <f>'ARCHIVE_Operating Budget'!N37</f>
        <v>0.6409243466218274</v>
      </c>
      <c r="O37" s="173">
        <f>'ARCHIVE_Operating Budget'!O37</f>
        <v>0.64139013870242845</v>
      </c>
      <c r="P37" s="173">
        <f>'ARCHIVE_Operating Budget'!P37</f>
        <v>0.65257325953564338</v>
      </c>
      <c r="Q37" s="173">
        <f>'ARCHIVE_Operating Budget'!Q37</f>
        <v>0.63399061981116545</v>
      </c>
      <c r="R37" s="173">
        <f>'ARCHIVE_Operating Budget'!R37</f>
        <v>0.64469434193531672</v>
      </c>
      <c r="S37" s="173">
        <f>'ARCHIVE_Operating Budget'!S37</f>
        <v>0.64964506598203775</v>
      </c>
      <c r="T37" s="173">
        <f>'ARCHIVE_Operating Budget'!T37</f>
        <v>0.65883974240999865</v>
      </c>
      <c r="U37" s="173">
        <f>'ARCHIVE_Operating Budget'!U37</f>
        <v>0.66311656541316877</v>
      </c>
      <c r="V37" s="173">
        <f>'ARCHIVE_Operating Budget'!V37</f>
        <v>0.66719913517998519</v>
      </c>
      <c r="W37" s="173">
        <f>'ARCHIVE_Operating Budget'!W37</f>
        <v>0.64396060315367787</v>
      </c>
      <c r="X37" s="173">
        <f>'ARCHIVE_Operating Budget'!X37</f>
        <v>0.64819213705490264</v>
      </c>
      <c r="Y37" s="173">
        <f>'ARCHIVE_Operating Budget'!Y37</f>
        <v>0.63815746545303587</v>
      </c>
      <c r="Z37" s="173">
        <f>'ARCHIVE_Operating Budget'!Z37</f>
        <v>0.64225161538212028</v>
      </c>
      <c r="AA37" s="173">
        <f>'ARCHIVE_Operating Budget'!AA37</f>
        <v>0.64070148020587758</v>
      </c>
      <c r="AB37" s="173">
        <f>'ARCHIVE_Operating Budget'!AB37</f>
        <v>0.64458990213729073</v>
      </c>
      <c r="AC37" s="173">
        <f>'ARCHIVE_Operating Budget'!AC37</f>
        <v>0.64458990213729073</v>
      </c>
      <c r="AD37" s="173">
        <f>'ARCHIVE_Operating Budget'!AD37</f>
        <v>0.64833168176260125</v>
      </c>
      <c r="AE37" s="173">
        <f>'ARCHIVE_Operating Budget'!AE37</f>
        <v>0.65193496527562866</v>
      </c>
      <c r="AF37" s="173">
        <f>'ARCHIVE_Operating Budget'!AF37</f>
        <v>0.65540730642503831</v>
      </c>
      <c r="AG37" s="173">
        <f>'ARCHIVE_Operating Budget'!AG37</f>
        <v>0.65875571941117084</v>
      </c>
      <c r="AH37" s="173">
        <f>'ARCHIVE_Operating Budget'!AH37</f>
        <v>0.66198672621478694</v>
      </c>
      <c r="AI37" s="173">
        <f>'ARCHIVE_Operating Budget'!AI37</f>
        <v>0.66510639902973423</v>
      </c>
      <c r="AJ37" s="173">
        <f>'ARCHIVE_Operating Budget'!AJ37</f>
        <v>0.66510639902973423</v>
      </c>
      <c r="AK37" s="173">
        <f>'ARCHIVE_Operating Budget'!AK37</f>
        <v>0.66812039838042925</v>
      </c>
      <c r="AL37" s="173">
        <f>'ARCHIVE_Operating Budget'!AL37</f>
        <v>0.67103400742759156</v>
      </c>
      <c r="AM37" s="173">
        <f>'ARCHIVE_Operating Budget'!AM37</f>
        <v>0.63558597840834652</v>
      </c>
      <c r="AN37" s="173">
        <f>'ARCHIVE_Operating Budget'!AN37</f>
        <v>0.64872378227342953</v>
      </c>
      <c r="AO37" s="173">
        <f>'ARCHIVE_Operating Budget'!AO37</f>
        <v>0.65681715423896592</v>
      </c>
      <c r="AP37" s="2"/>
    </row>
    <row r="38" spans="1:42" x14ac:dyDescent="0.2">
      <c r="A38" s="105"/>
      <c r="B38" s="101"/>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row>
    <row r="39" spans="1:42" x14ac:dyDescent="0.2">
      <c r="A39" s="174"/>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spans="1:42" x14ac:dyDescent="0.2">
      <c r="A40" s="158" t="s">
        <v>550</v>
      </c>
      <c r="B40" s="159"/>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row>
    <row r="41" spans="1:42" x14ac:dyDescent="0.2">
      <c r="A41" s="168" t="s">
        <v>551</v>
      </c>
      <c r="B41" s="160"/>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row>
    <row r="42" spans="1:42" x14ac:dyDescent="0.2">
      <c r="A42" s="104" t="s">
        <v>552</v>
      </c>
      <c r="B42" s="175" t="s">
        <v>553</v>
      </c>
      <c r="C42" s="108">
        <f>'ARCHIVE_Operating Budget'!C42</f>
        <v>10000</v>
      </c>
      <c r="D42" s="108">
        <f>'ARCHIVE_Operating Budget'!D42</f>
        <v>10000</v>
      </c>
      <c r="E42" s="108">
        <f>'ARCHIVE_Operating Budget'!E42</f>
        <v>10000</v>
      </c>
      <c r="F42" s="108">
        <f>'ARCHIVE_Operating Budget'!F42</f>
        <v>10000</v>
      </c>
      <c r="G42" s="108">
        <f>'ARCHIVE_Operating Budget'!G42</f>
        <v>10000</v>
      </c>
      <c r="H42" s="108">
        <f>'ARCHIVE_Operating Budget'!H42</f>
        <v>10000</v>
      </c>
      <c r="I42" s="108">
        <f>'ARCHIVE_Operating Budget'!I42</f>
        <v>10000</v>
      </c>
      <c r="J42" s="108">
        <f>'ARCHIVE_Operating Budget'!J42</f>
        <v>10000</v>
      </c>
      <c r="K42" s="108">
        <f>'ARCHIVE_Operating Budget'!K42</f>
        <v>10000</v>
      </c>
      <c r="L42" s="108">
        <f>'ARCHIVE_Operating Budget'!L42</f>
        <v>10000</v>
      </c>
      <c r="M42" s="108">
        <f>'ARCHIVE_Operating Budget'!M42</f>
        <v>10000</v>
      </c>
      <c r="N42" s="108">
        <f>'ARCHIVE_Operating Budget'!N42</f>
        <v>10000</v>
      </c>
      <c r="O42" s="108">
        <f>'ARCHIVE_Operating Budget'!O42</f>
        <v>10300</v>
      </c>
      <c r="P42" s="108">
        <f>'ARCHIVE_Operating Budget'!P42</f>
        <v>10300</v>
      </c>
      <c r="Q42" s="108">
        <f>'ARCHIVE_Operating Budget'!Q42</f>
        <v>10300</v>
      </c>
      <c r="R42" s="108">
        <f>'ARCHIVE_Operating Budget'!R42</f>
        <v>10300</v>
      </c>
      <c r="S42" s="108">
        <f>'ARCHIVE_Operating Budget'!S42</f>
        <v>10300</v>
      </c>
      <c r="T42" s="108">
        <f>'ARCHIVE_Operating Budget'!T42</f>
        <v>10300</v>
      </c>
      <c r="U42" s="108">
        <f>'ARCHIVE_Operating Budget'!U42</f>
        <v>10300</v>
      </c>
      <c r="V42" s="108">
        <f>'ARCHIVE_Operating Budget'!V42</f>
        <v>10300</v>
      </c>
      <c r="W42" s="108">
        <f>'ARCHIVE_Operating Budget'!W42</f>
        <v>10300</v>
      </c>
      <c r="X42" s="108">
        <f>'ARCHIVE_Operating Budget'!X42</f>
        <v>10300</v>
      </c>
      <c r="Y42" s="108">
        <f>'ARCHIVE_Operating Budget'!Y42</f>
        <v>10300</v>
      </c>
      <c r="Z42" s="108">
        <f>'ARCHIVE_Operating Budget'!Z42</f>
        <v>10300</v>
      </c>
      <c r="AA42" s="108">
        <f>'ARCHIVE_Operating Budget'!AA42</f>
        <v>10609</v>
      </c>
      <c r="AB42" s="108">
        <f>'ARCHIVE_Operating Budget'!AB42</f>
        <v>10609</v>
      </c>
      <c r="AC42" s="108">
        <f>'ARCHIVE_Operating Budget'!AC42</f>
        <v>10609</v>
      </c>
      <c r="AD42" s="108">
        <f>'ARCHIVE_Operating Budget'!AD42</f>
        <v>10609</v>
      </c>
      <c r="AE42" s="108">
        <f>'ARCHIVE_Operating Budget'!AE42</f>
        <v>10609</v>
      </c>
      <c r="AF42" s="108">
        <f>'ARCHIVE_Operating Budget'!AF42</f>
        <v>10609</v>
      </c>
      <c r="AG42" s="108">
        <f>'ARCHIVE_Operating Budget'!AG42</f>
        <v>10609</v>
      </c>
      <c r="AH42" s="108">
        <f>'ARCHIVE_Operating Budget'!AH42</f>
        <v>10609</v>
      </c>
      <c r="AI42" s="108">
        <f>'ARCHIVE_Operating Budget'!AI42</f>
        <v>10609</v>
      </c>
      <c r="AJ42" s="108">
        <f>'ARCHIVE_Operating Budget'!AJ42</f>
        <v>10609</v>
      </c>
      <c r="AK42" s="108">
        <f>'ARCHIVE_Operating Budget'!AK42</f>
        <v>10609</v>
      </c>
      <c r="AL42" s="108">
        <f>'ARCHIVE_Operating Budget'!AL42</f>
        <v>10609</v>
      </c>
      <c r="AM42" s="108">
        <f>'ARCHIVE_Operating Budget'!AM42</f>
        <v>120000</v>
      </c>
      <c r="AN42" s="108">
        <f>'ARCHIVE_Operating Budget'!AN42</f>
        <v>123600</v>
      </c>
      <c r="AO42" s="108">
        <f>'ARCHIVE_Operating Budget'!AO42</f>
        <v>127308</v>
      </c>
      <c r="AP42" s="102">
        <f>'ARCHIVE_Operating Budget'!AP42</f>
        <v>3.4700659617550825E-2</v>
      </c>
    </row>
    <row r="43" spans="1:42" x14ac:dyDescent="0.2">
      <c r="A43" s="109" t="s">
        <v>531</v>
      </c>
      <c r="B43" s="175" t="s">
        <v>532</v>
      </c>
      <c r="C43" s="108">
        <f>'ARCHIVE_Operating Budget'!C43</f>
        <v>0</v>
      </c>
      <c r="D43" s="109">
        <f>'ARCHIVE_Operating Budget'!D43</f>
        <v>4166.666666666667</v>
      </c>
      <c r="E43" s="175">
        <f>'ARCHIVE_Operating Budget'!E43</f>
        <v>4166.666666666667</v>
      </c>
      <c r="F43" s="108">
        <f>'ARCHIVE_Operating Budget'!F43</f>
        <v>4166.666666666667</v>
      </c>
      <c r="G43" s="2">
        <f>'ARCHIVE_Operating Budget'!G43</f>
        <v>4166.666666666667</v>
      </c>
      <c r="H43" s="2">
        <f>'ARCHIVE_Operating Budget'!H43</f>
        <v>4166.666666666667</v>
      </c>
      <c r="I43" s="2">
        <f>'ARCHIVE_Operating Budget'!I43</f>
        <v>4166.666666666667</v>
      </c>
      <c r="J43" s="2">
        <f>'ARCHIVE_Operating Budget'!J43</f>
        <v>4166.666666666667</v>
      </c>
      <c r="K43" s="2">
        <f>'ARCHIVE_Operating Budget'!K43</f>
        <v>4166.666666666667</v>
      </c>
      <c r="L43" s="2">
        <f>'ARCHIVE_Operating Budget'!L43</f>
        <v>4166.666666666667</v>
      </c>
      <c r="M43" s="2">
        <f>'ARCHIVE_Operating Budget'!M43</f>
        <v>4166.666666666667</v>
      </c>
      <c r="N43" s="2">
        <f>'ARCHIVE_Operating Budget'!N43</f>
        <v>4166.666666666667</v>
      </c>
      <c r="O43" s="2">
        <f>'ARCHIVE_Operating Budget'!O43</f>
        <v>4291.666666666667</v>
      </c>
      <c r="P43" s="2">
        <f>'ARCHIVE_Operating Budget'!P43</f>
        <v>4291.666666666667</v>
      </c>
      <c r="Q43" s="2">
        <f>'ARCHIVE_Operating Budget'!Q43</f>
        <v>4291.666666666667</v>
      </c>
      <c r="R43" s="2">
        <f>'ARCHIVE_Operating Budget'!R43</f>
        <v>4291.666666666667</v>
      </c>
      <c r="S43" s="2">
        <f>'ARCHIVE_Operating Budget'!S43</f>
        <v>4291.666666666667</v>
      </c>
      <c r="T43" s="2">
        <f>'ARCHIVE_Operating Budget'!T43</f>
        <v>4291.666666666667</v>
      </c>
      <c r="U43" s="2">
        <f>'ARCHIVE_Operating Budget'!U43</f>
        <v>4291.666666666667</v>
      </c>
      <c r="V43" s="2">
        <f>'ARCHIVE_Operating Budget'!V43</f>
        <v>4291.666666666667</v>
      </c>
      <c r="W43" s="2">
        <f>'ARCHIVE_Operating Budget'!W43</f>
        <v>4291.666666666667</v>
      </c>
      <c r="X43" s="2">
        <f>'ARCHIVE_Operating Budget'!X43</f>
        <v>4291.666666666667</v>
      </c>
      <c r="Y43" s="2">
        <f>'ARCHIVE_Operating Budget'!Y43</f>
        <v>4291.666666666667</v>
      </c>
      <c r="Z43" s="2">
        <f>'ARCHIVE_Operating Budget'!Z43</f>
        <v>4291.666666666667</v>
      </c>
      <c r="AA43" s="2">
        <f>'ARCHIVE_Operating Budget'!AA43</f>
        <v>4420.416666666667</v>
      </c>
      <c r="AB43" s="2">
        <f>'ARCHIVE_Operating Budget'!AB43</f>
        <v>4420.416666666667</v>
      </c>
      <c r="AC43" s="2">
        <f>'ARCHIVE_Operating Budget'!AC43</f>
        <v>4420.416666666667</v>
      </c>
      <c r="AD43" s="2">
        <f>'ARCHIVE_Operating Budget'!AD43</f>
        <v>4420.416666666667</v>
      </c>
      <c r="AE43" s="2">
        <f>'ARCHIVE_Operating Budget'!AE43</f>
        <v>4420.416666666667</v>
      </c>
      <c r="AF43" s="2">
        <f>'ARCHIVE_Operating Budget'!AF43</f>
        <v>4420.416666666667</v>
      </c>
      <c r="AG43" s="2">
        <f>'ARCHIVE_Operating Budget'!AG43</f>
        <v>4420.416666666667</v>
      </c>
      <c r="AH43" s="2">
        <f>'ARCHIVE_Operating Budget'!AH43</f>
        <v>4420.416666666667</v>
      </c>
      <c r="AI43" s="2">
        <f>'ARCHIVE_Operating Budget'!AI43</f>
        <v>4420.416666666667</v>
      </c>
      <c r="AJ43" s="2">
        <f>'ARCHIVE_Operating Budget'!AJ43</f>
        <v>4420.416666666667</v>
      </c>
      <c r="AK43" s="2">
        <f>'ARCHIVE_Operating Budget'!AK43</f>
        <v>4420.416666666667</v>
      </c>
      <c r="AL43" s="2">
        <f>'ARCHIVE_Operating Budget'!AL43</f>
        <v>4420.416666666667</v>
      </c>
      <c r="AM43" s="2">
        <f>'ARCHIVE_Operating Budget'!AM43</f>
        <v>45833.333333333328</v>
      </c>
      <c r="AN43" s="2">
        <f>'ARCHIVE_Operating Budget'!AN43</f>
        <v>51499.999999999993</v>
      </c>
      <c r="AO43" s="2">
        <f>'ARCHIVE_Operating Budget'!AO43</f>
        <v>53044.999999999993</v>
      </c>
      <c r="AP43" s="102">
        <f>'ARCHIVE_Operating Budget'!AP43</f>
        <v>1.4458608173979509E-2</v>
      </c>
    </row>
    <row r="44" spans="1:42" x14ac:dyDescent="0.2">
      <c r="A44" s="104" t="s">
        <v>554</v>
      </c>
      <c r="B44" s="175" t="s">
        <v>555</v>
      </c>
      <c r="C44" s="108">
        <f>'ARCHIVE_Operating Budget'!C44</f>
        <v>0</v>
      </c>
      <c r="D44" s="108">
        <f>'ARCHIVE_Operating Budget'!D44</f>
        <v>0</v>
      </c>
      <c r="E44" s="108">
        <f>'ARCHIVE_Operating Budget'!E44</f>
        <v>12500</v>
      </c>
      <c r="F44" s="108">
        <f>'ARCHIVE_Operating Budget'!F44</f>
        <v>12500</v>
      </c>
      <c r="G44" s="108">
        <f>'ARCHIVE_Operating Budget'!G44</f>
        <v>12500</v>
      </c>
      <c r="H44" s="108">
        <f>'ARCHIVE_Operating Budget'!H44</f>
        <v>12500</v>
      </c>
      <c r="I44" s="108">
        <f>'ARCHIVE_Operating Budget'!I44</f>
        <v>12500</v>
      </c>
      <c r="J44" s="108">
        <f>'ARCHIVE_Operating Budget'!J44</f>
        <v>12500</v>
      </c>
      <c r="K44" s="108">
        <f>'ARCHIVE_Operating Budget'!K44</f>
        <v>12500</v>
      </c>
      <c r="L44" s="108">
        <f>'ARCHIVE_Operating Budget'!L44</f>
        <v>12500</v>
      </c>
      <c r="M44" s="108">
        <f>'ARCHIVE_Operating Budget'!M44</f>
        <v>12500</v>
      </c>
      <c r="N44" s="108">
        <f>'ARCHIVE_Operating Budget'!N44</f>
        <v>12500</v>
      </c>
      <c r="O44" s="108">
        <f>'ARCHIVE_Operating Budget'!O44</f>
        <v>12875</v>
      </c>
      <c r="P44" s="108">
        <f>'ARCHIVE_Operating Budget'!P44</f>
        <v>12875</v>
      </c>
      <c r="Q44" s="108">
        <f>'ARCHIVE_Operating Budget'!Q44</f>
        <v>12875</v>
      </c>
      <c r="R44" s="108">
        <f>'ARCHIVE_Operating Budget'!R44</f>
        <v>12875</v>
      </c>
      <c r="S44" s="108">
        <f>'ARCHIVE_Operating Budget'!S44</f>
        <v>12875</v>
      </c>
      <c r="T44" s="108">
        <f>'ARCHIVE_Operating Budget'!T44</f>
        <v>12875</v>
      </c>
      <c r="U44" s="108">
        <f>'ARCHIVE_Operating Budget'!U44</f>
        <v>12875</v>
      </c>
      <c r="V44" s="108">
        <f>'ARCHIVE_Operating Budget'!V44</f>
        <v>12875</v>
      </c>
      <c r="W44" s="108">
        <f>'ARCHIVE_Operating Budget'!W44</f>
        <v>12875</v>
      </c>
      <c r="X44" s="108">
        <f>'ARCHIVE_Operating Budget'!X44</f>
        <v>12875</v>
      </c>
      <c r="Y44" s="108">
        <f>'ARCHIVE_Operating Budget'!Y44</f>
        <v>12875</v>
      </c>
      <c r="Z44" s="108">
        <f>'ARCHIVE_Operating Budget'!Z44</f>
        <v>12875</v>
      </c>
      <c r="AA44" s="108">
        <f>'ARCHIVE_Operating Budget'!AA44</f>
        <v>13261.25</v>
      </c>
      <c r="AB44" s="108">
        <f>'ARCHIVE_Operating Budget'!AB44</f>
        <v>13261.25</v>
      </c>
      <c r="AC44" s="108">
        <f>'ARCHIVE_Operating Budget'!AC44</f>
        <v>13261.25</v>
      </c>
      <c r="AD44" s="108">
        <f>'ARCHIVE_Operating Budget'!AD44</f>
        <v>13261.25</v>
      </c>
      <c r="AE44" s="108">
        <f>'ARCHIVE_Operating Budget'!AE44</f>
        <v>13261.25</v>
      </c>
      <c r="AF44" s="108">
        <f>'ARCHIVE_Operating Budget'!AF44</f>
        <v>13261.25</v>
      </c>
      <c r="AG44" s="108">
        <f>'ARCHIVE_Operating Budget'!AG44</f>
        <v>13261.25</v>
      </c>
      <c r="AH44" s="108">
        <f>'ARCHIVE_Operating Budget'!AH44</f>
        <v>13261.25</v>
      </c>
      <c r="AI44" s="108">
        <f>'ARCHIVE_Operating Budget'!AI44</f>
        <v>13261.25</v>
      </c>
      <c r="AJ44" s="108">
        <f>'ARCHIVE_Operating Budget'!AJ44</f>
        <v>13261.25</v>
      </c>
      <c r="AK44" s="108">
        <f>'ARCHIVE_Operating Budget'!AK44</f>
        <v>13261.25</v>
      </c>
      <c r="AL44" s="108">
        <f>'ARCHIVE_Operating Budget'!AL44</f>
        <v>13261.25</v>
      </c>
      <c r="AM44" s="108">
        <f>'ARCHIVE_Operating Budget'!AM44</f>
        <v>125000</v>
      </c>
      <c r="AN44" s="108">
        <f>'ARCHIVE_Operating Budget'!AN44</f>
        <v>154500</v>
      </c>
      <c r="AO44" s="108">
        <f>'ARCHIVE_Operating Budget'!AO44</f>
        <v>159135</v>
      </c>
      <c r="AP44" s="102">
        <f>'ARCHIVE_Operating Budget'!AP44</f>
        <v>4.3375824521938534E-2</v>
      </c>
    </row>
    <row r="45" spans="1:42" x14ac:dyDescent="0.2">
      <c r="A45" s="104" t="s">
        <v>556</v>
      </c>
      <c r="B45" s="175" t="s">
        <v>557</v>
      </c>
      <c r="C45" s="108">
        <f>'ARCHIVE_Operating Budget'!C45</f>
        <v>0</v>
      </c>
      <c r="D45" s="108">
        <f>'ARCHIVE_Operating Budget'!D45</f>
        <v>10000</v>
      </c>
      <c r="E45" s="108">
        <f>'ARCHIVE_Operating Budget'!E45</f>
        <v>10000</v>
      </c>
      <c r="F45" s="108">
        <f>'ARCHIVE_Operating Budget'!F45</f>
        <v>10000</v>
      </c>
      <c r="G45" s="108">
        <f>'ARCHIVE_Operating Budget'!G45</f>
        <v>10000</v>
      </c>
      <c r="H45" s="108">
        <f>'ARCHIVE_Operating Budget'!H45</f>
        <v>10000</v>
      </c>
      <c r="I45" s="108">
        <f>'ARCHIVE_Operating Budget'!I45</f>
        <v>10000</v>
      </c>
      <c r="J45" s="108">
        <f>'ARCHIVE_Operating Budget'!J45</f>
        <v>10000</v>
      </c>
      <c r="K45" s="108">
        <f>'ARCHIVE_Operating Budget'!K45</f>
        <v>10000</v>
      </c>
      <c r="L45" s="108">
        <f>'ARCHIVE_Operating Budget'!L45</f>
        <v>10000</v>
      </c>
      <c r="M45" s="108">
        <f>'ARCHIVE_Operating Budget'!M45</f>
        <v>10000</v>
      </c>
      <c r="N45" s="108">
        <f>'ARCHIVE_Operating Budget'!N45</f>
        <v>10000</v>
      </c>
      <c r="O45" s="108">
        <f>'ARCHIVE_Operating Budget'!O45</f>
        <v>10300</v>
      </c>
      <c r="P45" s="108">
        <f>'ARCHIVE_Operating Budget'!P45</f>
        <v>10300</v>
      </c>
      <c r="Q45" s="108">
        <f>'ARCHIVE_Operating Budget'!Q45</f>
        <v>10300</v>
      </c>
      <c r="R45" s="108">
        <f>'ARCHIVE_Operating Budget'!R45</f>
        <v>10300</v>
      </c>
      <c r="S45" s="108">
        <f>'ARCHIVE_Operating Budget'!S45</f>
        <v>10300</v>
      </c>
      <c r="T45" s="108">
        <f>'ARCHIVE_Operating Budget'!T45</f>
        <v>10300</v>
      </c>
      <c r="U45" s="108">
        <f>'ARCHIVE_Operating Budget'!U45</f>
        <v>10300</v>
      </c>
      <c r="V45" s="108">
        <f>'ARCHIVE_Operating Budget'!V45</f>
        <v>10300</v>
      </c>
      <c r="W45" s="108">
        <f>'ARCHIVE_Operating Budget'!W45</f>
        <v>10300</v>
      </c>
      <c r="X45" s="108">
        <f>'ARCHIVE_Operating Budget'!X45</f>
        <v>10300</v>
      </c>
      <c r="Y45" s="108">
        <f>'ARCHIVE_Operating Budget'!Y45</f>
        <v>10300</v>
      </c>
      <c r="Z45" s="108">
        <f>'ARCHIVE_Operating Budget'!Z45</f>
        <v>10300</v>
      </c>
      <c r="AA45" s="108">
        <f>'ARCHIVE_Operating Budget'!AA45</f>
        <v>10609</v>
      </c>
      <c r="AB45" s="108">
        <f>'ARCHIVE_Operating Budget'!AB45</f>
        <v>10609</v>
      </c>
      <c r="AC45" s="108">
        <f>'ARCHIVE_Operating Budget'!AC45</f>
        <v>10609</v>
      </c>
      <c r="AD45" s="108">
        <f>'ARCHIVE_Operating Budget'!AD45</f>
        <v>10609</v>
      </c>
      <c r="AE45" s="108">
        <f>'ARCHIVE_Operating Budget'!AE45</f>
        <v>10609</v>
      </c>
      <c r="AF45" s="108">
        <f>'ARCHIVE_Operating Budget'!AF45</f>
        <v>10609</v>
      </c>
      <c r="AG45" s="108">
        <f>'ARCHIVE_Operating Budget'!AG45</f>
        <v>10609</v>
      </c>
      <c r="AH45" s="108">
        <f>'ARCHIVE_Operating Budget'!AH45</f>
        <v>10609</v>
      </c>
      <c r="AI45" s="108">
        <f>'ARCHIVE_Operating Budget'!AI45</f>
        <v>10609</v>
      </c>
      <c r="AJ45" s="108">
        <f>'ARCHIVE_Operating Budget'!AJ45</f>
        <v>10609</v>
      </c>
      <c r="AK45" s="108">
        <f>'ARCHIVE_Operating Budget'!AK45</f>
        <v>10609</v>
      </c>
      <c r="AL45" s="108">
        <f>'ARCHIVE_Operating Budget'!AL45</f>
        <v>10609</v>
      </c>
      <c r="AM45" s="108">
        <f>'ARCHIVE_Operating Budget'!AM45</f>
        <v>110000</v>
      </c>
      <c r="AN45" s="108">
        <f>'ARCHIVE_Operating Budget'!AN45</f>
        <v>123600</v>
      </c>
      <c r="AO45" s="108">
        <f>'ARCHIVE_Operating Budget'!AO45</f>
        <v>127308</v>
      </c>
      <c r="AP45" s="102">
        <f>'ARCHIVE_Operating Budget'!AP45</f>
        <v>3.4700659617550825E-2</v>
      </c>
    </row>
    <row r="46" spans="1:42" x14ac:dyDescent="0.2">
      <c r="A46" s="104" t="s">
        <v>558</v>
      </c>
      <c r="B46" s="175" t="s">
        <v>559</v>
      </c>
      <c r="C46" s="108">
        <f>'ARCHIVE_Operating Budget'!C46</f>
        <v>4000</v>
      </c>
      <c r="D46" s="108">
        <f>'ARCHIVE_Operating Budget'!D46</f>
        <v>4000</v>
      </c>
      <c r="E46" s="108">
        <f>'ARCHIVE_Operating Budget'!E46</f>
        <v>4000</v>
      </c>
      <c r="F46" s="108">
        <f>'ARCHIVE_Operating Budget'!F46</f>
        <v>4000</v>
      </c>
      <c r="G46" s="108">
        <f>'ARCHIVE_Operating Budget'!G46</f>
        <v>4000</v>
      </c>
      <c r="H46" s="108">
        <f>'ARCHIVE_Operating Budget'!H46</f>
        <v>4000</v>
      </c>
      <c r="I46" s="108">
        <f>'ARCHIVE_Operating Budget'!I46</f>
        <v>4000</v>
      </c>
      <c r="J46" s="108">
        <f>'ARCHIVE_Operating Budget'!J46</f>
        <v>4000</v>
      </c>
      <c r="K46" s="108">
        <f>'ARCHIVE_Operating Budget'!K46</f>
        <v>4000</v>
      </c>
      <c r="L46" s="108">
        <f>'ARCHIVE_Operating Budget'!L46</f>
        <v>4000</v>
      </c>
      <c r="M46" s="108">
        <f>'ARCHIVE_Operating Budget'!M46</f>
        <v>4000</v>
      </c>
      <c r="N46" s="108">
        <f>'ARCHIVE_Operating Budget'!N46</f>
        <v>4000</v>
      </c>
      <c r="O46" s="108">
        <f>'ARCHIVE_Operating Budget'!O46</f>
        <v>4000</v>
      </c>
      <c r="P46" s="108">
        <f>'ARCHIVE_Operating Budget'!P46</f>
        <v>4000</v>
      </c>
      <c r="Q46" s="108">
        <f>'ARCHIVE_Operating Budget'!Q46</f>
        <v>4000</v>
      </c>
      <c r="R46" s="108">
        <f>'ARCHIVE_Operating Budget'!R46</f>
        <v>4000</v>
      </c>
      <c r="S46" s="108">
        <f>'ARCHIVE_Operating Budget'!S46</f>
        <v>4000</v>
      </c>
      <c r="T46" s="108">
        <f>'ARCHIVE_Operating Budget'!T46</f>
        <v>4000</v>
      </c>
      <c r="U46" s="108">
        <f>'ARCHIVE_Operating Budget'!U46</f>
        <v>4000</v>
      </c>
      <c r="V46" s="108">
        <f>'ARCHIVE_Operating Budget'!V46</f>
        <v>4000</v>
      </c>
      <c r="W46" s="108">
        <f>'ARCHIVE_Operating Budget'!W46</f>
        <v>4000</v>
      </c>
      <c r="X46" s="108">
        <f>'ARCHIVE_Operating Budget'!X46</f>
        <v>4000</v>
      </c>
      <c r="Y46" s="108">
        <f>'ARCHIVE_Operating Budget'!Y46</f>
        <v>4000</v>
      </c>
      <c r="Z46" s="108">
        <f>'ARCHIVE_Operating Budget'!Z46</f>
        <v>4000</v>
      </c>
      <c r="AA46" s="108">
        <f>'ARCHIVE_Operating Budget'!AA46</f>
        <v>4000</v>
      </c>
      <c r="AB46" s="108">
        <f>'ARCHIVE_Operating Budget'!AB46</f>
        <v>4000</v>
      </c>
      <c r="AC46" s="108">
        <f>'ARCHIVE_Operating Budget'!AC46</f>
        <v>4000</v>
      </c>
      <c r="AD46" s="108">
        <f>'ARCHIVE_Operating Budget'!AD46</f>
        <v>4000</v>
      </c>
      <c r="AE46" s="108">
        <f>'ARCHIVE_Operating Budget'!AE46</f>
        <v>4000</v>
      </c>
      <c r="AF46" s="108">
        <f>'ARCHIVE_Operating Budget'!AF46</f>
        <v>4000</v>
      </c>
      <c r="AG46" s="108">
        <f>'ARCHIVE_Operating Budget'!AG46</f>
        <v>4000</v>
      </c>
      <c r="AH46" s="108">
        <f>'ARCHIVE_Operating Budget'!AH46</f>
        <v>4000</v>
      </c>
      <c r="AI46" s="108">
        <f>'ARCHIVE_Operating Budget'!AI46</f>
        <v>4000</v>
      </c>
      <c r="AJ46" s="108">
        <f>'ARCHIVE_Operating Budget'!AJ46</f>
        <v>4000</v>
      </c>
      <c r="AK46" s="108">
        <f>'ARCHIVE_Operating Budget'!AK46</f>
        <v>4000</v>
      </c>
      <c r="AL46" s="108">
        <f>'ARCHIVE_Operating Budget'!AL46</f>
        <v>4000</v>
      </c>
      <c r="AM46" s="108">
        <f>'ARCHIVE_Operating Budget'!AM46</f>
        <v>48000</v>
      </c>
      <c r="AN46" s="108">
        <f>'ARCHIVE_Operating Budget'!AN46</f>
        <v>48000</v>
      </c>
      <c r="AO46" s="108">
        <f>'ARCHIVE_Operating Budget'!AO46</f>
        <v>48000</v>
      </c>
      <c r="AP46" s="102">
        <f>'ARCHIVE_Operating Budget'!AP46</f>
        <v>1.3083479919898512E-2</v>
      </c>
    </row>
    <row r="47" spans="1:42" x14ac:dyDescent="0.2">
      <c r="A47" s="104" t="s">
        <v>560</v>
      </c>
      <c r="B47" s="175" t="s">
        <v>561</v>
      </c>
      <c r="C47" s="108">
        <f>'ARCHIVE_Operating Budget'!C47</f>
        <v>4000</v>
      </c>
      <c r="D47" s="108">
        <f>'ARCHIVE_Operating Budget'!D47</f>
        <v>2500</v>
      </c>
      <c r="E47" s="108">
        <f>'ARCHIVE_Operating Budget'!E47</f>
        <v>0</v>
      </c>
      <c r="F47" s="108">
        <f>'ARCHIVE_Operating Budget'!F47</f>
        <v>0</v>
      </c>
      <c r="G47" s="108">
        <f>'ARCHIVE_Operating Budget'!G47</f>
        <v>0</v>
      </c>
      <c r="H47" s="108">
        <f>'ARCHIVE_Operating Budget'!H47</f>
        <v>0</v>
      </c>
      <c r="I47" s="108">
        <f>'ARCHIVE_Operating Budget'!I47</f>
        <v>0</v>
      </c>
      <c r="J47" s="108">
        <f>'ARCHIVE_Operating Budget'!J47</f>
        <v>0</v>
      </c>
      <c r="K47" s="108">
        <f>'ARCHIVE_Operating Budget'!K47</f>
        <v>0</v>
      </c>
      <c r="L47" s="108">
        <f>'ARCHIVE_Operating Budget'!L47</f>
        <v>0</v>
      </c>
      <c r="M47" s="108">
        <f>'ARCHIVE_Operating Budget'!M47</f>
        <v>0</v>
      </c>
      <c r="N47" s="108">
        <f>'ARCHIVE_Operating Budget'!N47</f>
        <v>0</v>
      </c>
      <c r="O47" s="108">
        <f>'ARCHIVE_Operating Budget'!O47</f>
        <v>0</v>
      </c>
      <c r="P47" s="108">
        <f>'ARCHIVE_Operating Budget'!P47</f>
        <v>0</v>
      </c>
      <c r="Q47" s="108">
        <f>'ARCHIVE_Operating Budget'!Q47</f>
        <v>0</v>
      </c>
      <c r="R47" s="108">
        <f>'ARCHIVE_Operating Budget'!R47</f>
        <v>0</v>
      </c>
      <c r="S47" s="108">
        <f>'ARCHIVE_Operating Budget'!S47</f>
        <v>0</v>
      </c>
      <c r="T47" s="108">
        <f>'ARCHIVE_Operating Budget'!T47</f>
        <v>0</v>
      </c>
      <c r="U47" s="108">
        <f>'ARCHIVE_Operating Budget'!U47</f>
        <v>0</v>
      </c>
      <c r="V47" s="108">
        <f>'ARCHIVE_Operating Budget'!V47</f>
        <v>0</v>
      </c>
      <c r="W47" s="108">
        <f>'ARCHIVE_Operating Budget'!W47</f>
        <v>0</v>
      </c>
      <c r="X47" s="108">
        <f>'ARCHIVE_Operating Budget'!X47</f>
        <v>0</v>
      </c>
      <c r="Y47" s="108">
        <f>'ARCHIVE_Operating Budget'!Y47</f>
        <v>0</v>
      </c>
      <c r="Z47" s="108">
        <f>'ARCHIVE_Operating Budget'!Z47</f>
        <v>0</v>
      </c>
      <c r="AA47" s="108">
        <f>'ARCHIVE_Operating Budget'!AA47</f>
        <v>0</v>
      </c>
      <c r="AB47" s="108">
        <f>'ARCHIVE_Operating Budget'!AB47</f>
        <v>0</v>
      </c>
      <c r="AC47" s="108">
        <f>'ARCHIVE_Operating Budget'!AC47</f>
        <v>0</v>
      </c>
      <c r="AD47" s="108">
        <f>'ARCHIVE_Operating Budget'!AD47</f>
        <v>0</v>
      </c>
      <c r="AE47" s="108">
        <f>'ARCHIVE_Operating Budget'!AE47</f>
        <v>0</v>
      </c>
      <c r="AF47" s="108">
        <f>'ARCHIVE_Operating Budget'!AF47</f>
        <v>0</v>
      </c>
      <c r="AG47" s="108">
        <f>'ARCHIVE_Operating Budget'!AG47</f>
        <v>0</v>
      </c>
      <c r="AH47" s="108">
        <f>'ARCHIVE_Operating Budget'!AH47</f>
        <v>0</v>
      </c>
      <c r="AI47" s="108">
        <f>'ARCHIVE_Operating Budget'!AI47</f>
        <v>0</v>
      </c>
      <c r="AJ47" s="108">
        <f>'ARCHIVE_Operating Budget'!AJ47</f>
        <v>0</v>
      </c>
      <c r="AK47" s="108">
        <f>'ARCHIVE_Operating Budget'!AK47</f>
        <v>0</v>
      </c>
      <c r="AL47" s="108">
        <f>'ARCHIVE_Operating Budget'!AL47</f>
        <v>0</v>
      </c>
      <c r="AM47" s="108">
        <f>'ARCHIVE_Operating Budget'!AM47</f>
        <v>6500</v>
      </c>
      <c r="AN47" s="108">
        <f>'ARCHIVE_Operating Budget'!AN47</f>
        <v>0</v>
      </c>
      <c r="AO47" s="108">
        <f>'ARCHIVE_Operating Budget'!AO47</f>
        <v>0</v>
      </c>
      <c r="AP47" s="102">
        <f>'ARCHIVE_Operating Budget'!AP47</f>
        <v>0</v>
      </c>
    </row>
    <row r="48" spans="1:42" x14ac:dyDescent="0.2">
      <c r="A48" s="110" t="s">
        <v>562</v>
      </c>
      <c r="B48" s="2"/>
      <c r="C48" s="111">
        <f>'ARCHIVE_Operating Budget'!C48</f>
        <v>18000</v>
      </c>
      <c r="D48" s="111">
        <f>'ARCHIVE_Operating Budget'!D48</f>
        <v>30666.666666666668</v>
      </c>
      <c r="E48" s="111">
        <f>'ARCHIVE_Operating Budget'!E48</f>
        <v>40666.666666666672</v>
      </c>
      <c r="F48" s="111">
        <f>'ARCHIVE_Operating Budget'!F48</f>
        <v>40666.666666666672</v>
      </c>
      <c r="G48" s="111">
        <f>'ARCHIVE_Operating Budget'!G48</f>
        <v>40666.666666666672</v>
      </c>
      <c r="H48" s="111">
        <f>'ARCHIVE_Operating Budget'!H48</f>
        <v>40666.666666666672</v>
      </c>
      <c r="I48" s="111">
        <f>'ARCHIVE_Operating Budget'!I48</f>
        <v>40666.666666666672</v>
      </c>
      <c r="J48" s="111">
        <f>'ARCHIVE_Operating Budget'!J48</f>
        <v>40666.666666666672</v>
      </c>
      <c r="K48" s="111">
        <f>'ARCHIVE_Operating Budget'!K48</f>
        <v>40666.666666666672</v>
      </c>
      <c r="L48" s="111">
        <f>'ARCHIVE_Operating Budget'!L48</f>
        <v>40666.666666666672</v>
      </c>
      <c r="M48" s="111">
        <f>'ARCHIVE_Operating Budget'!M48</f>
        <v>40666.666666666672</v>
      </c>
      <c r="N48" s="111">
        <f>'ARCHIVE_Operating Budget'!N48</f>
        <v>40666.666666666672</v>
      </c>
      <c r="O48" s="111">
        <f>'ARCHIVE_Operating Budget'!O48</f>
        <v>41766.666666666672</v>
      </c>
      <c r="P48" s="111">
        <f>'ARCHIVE_Operating Budget'!P48</f>
        <v>41766.666666666672</v>
      </c>
      <c r="Q48" s="111">
        <f>'ARCHIVE_Operating Budget'!Q48</f>
        <v>41766.666666666672</v>
      </c>
      <c r="R48" s="111">
        <f>'ARCHIVE_Operating Budget'!R48</f>
        <v>41766.666666666672</v>
      </c>
      <c r="S48" s="111">
        <f>'ARCHIVE_Operating Budget'!S48</f>
        <v>41766.666666666672</v>
      </c>
      <c r="T48" s="111">
        <f>'ARCHIVE_Operating Budget'!T48</f>
        <v>41766.666666666672</v>
      </c>
      <c r="U48" s="111">
        <f>'ARCHIVE_Operating Budget'!U48</f>
        <v>41766.666666666672</v>
      </c>
      <c r="V48" s="111">
        <f>'ARCHIVE_Operating Budget'!V48</f>
        <v>41766.666666666672</v>
      </c>
      <c r="W48" s="111">
        <f>'ARCHIVE_Operating Budget'!W48</f>
        <v>41766.666666666672</v>
      </c>
      <c r="X48" s="111">
        <f>'ARCHIVE_Operating Budget'!X48</f>
        <v>41766.666666666672</v>
      </c>
      <c r="Y48" s="111">
        <f>'ARCHIVE_Operating Budget'!Y48</f>
        <v>41766.666666666672</v>
      </c>
      <c r="Z48" s="111">
        <f>'ARCHIVE_Operating Budget'!Z48</f>
        <v>41766.666666666672</v>
      </c>
      <c r="AA48" s="111">
        <f>'ARCHIVE_Operating Budget'!AA48</f>
        <v>42899.666666666672</v>
      </c>
      <c r="AB48" s="111">
        <f>'ARCHIVE_Operating Budget'!AB48</f>
        <v>42899.666666666672</v>
      </c>
      <c r="AC48" s="111">
        <f>'ARCHIVE_Operating Budget'!AC48</f>
        <v>42899.666666666672</v>
      </c>
      <c r="AD48" s="111">
        <f>'ARCHIVE_Operating Budget'!AD48</f>
        <v>42899.666666666672</v>
      </c>
      <c r="AE48" s="111">
        <f>'ARCHIVE_Operating Budget'!AE48</f>
        <v>42899.666666666672</v>
      </c>
      <c r="AF48" s="111">
        <f>'ARCHIVE_Operating Budget'!AF48</f>
        <v>42899.666666666672</v>
      </c>
      <c r="AG48" s="111">
        <f>'ARCHIVE_Operating Budget'!AG48</f>
        <v>42899.666666666672</v>
      </c>
      <c r="AH48" s="111">
        <f>'ARCHIVE_Operating Budget'!AH48</f>
        <v>42899.666666666672</v>
      </c>
      <c r="AI48" s="111">
        <f>'ARCHIVE_Operating Budget'!AI48</f>
        <v>42899.666666666672</v>
      </c>
      <c r="AJ48" s="111">
        <f>'ARCHIVE_Operating Budget'!AJ48</f>
        <v>42899.666666666672</v>
      </c>
      <c r="AK48" s="111">
        <f>'ARCHIVE_Operating Budget'!AK48</f>
        <v>42899.666666666672</v>
      </c>
      <c r="AL48" s="111">
        <f>'ARCHIVE_Operating Budget'!AL48</f>
        <v>42899.666666666672</v>
      </c>
      <c r="AM48" s="111">
        <f>'ARCHIVE_Operating Budget'!AM48</f>
        <v>455333.33333333331</v>
      </c>
      <c r="AN48" s="111">
        <f>'ARCHIVE_Operating Budget'!AN48</f>
        <v>501200</v>
      </c>
      <c r="AO48" s="111">
        <f>'ARCHIVE_Operating Budget'!AO48</f>
        <v>514796</v>
      </c>
      <c r="AP48" s="103">
        <f>'ARCHIVE_Operating Budget'!AP48</f>
        <v>0.14031923185091821</v>
      </c>
    </row>
    <row r="49" spans="1:42" x14ac:dyDescent="0.2">
      <c r="A49" s="168" t="s">
        <v>563</v>
      </c>
      <c r="B49" s="160"/>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row>
    <row r="50" spans="1:42" x14ac:dyDescent="0.2">
      <c r="A50" s="104" t="s">
        <v>535</v>
      </c>
      <c r="B50" s="175">
        <v>41300</v>
      </c>
      <c r="C50" s="108">
        <f>'ARCHIVE_Operating Budget'!C50</f>
        <v>765</v>
      </c>
      <c r="D50" s="108">
        <f>'ARCHIVE_Operating Budget'!D50</f>
        <v>1848.75</v>
      </c>
      <c r="E50" s="108">
        <f>'ARCHIVE_Operating Budget'!E50</f>
        <v>2805.0000000000005</v>
      </c>
      <c r="F50" s="108">
        <f>'ARCHIVE_Operating Budget'!F50</f>
        <v>2805.0000000000005</v>
      </c>
      <c r="G50" s="108">
        <f>'ARCHIVE_Operating Budget'!G50</f>
        <v>2805.0000000000005</v>
      </c>
      <c r="H50" s="108">
        <f>'ARCHIVE_Operating Budget'!H50</f>
        <v>2805.0000000000005</v>
      </c>
      <c r="I50" s="108">
        <f>'ARCHIVE_Operating Budget'!I50</f>
        <v>2805.0000000000005</v>
      </c>
      <c r="J50" s="108">
        <f>'ARCHIVE_Operating Budget'!J50</f>
        <v>2805.0000000000005</v>
      </c>
      <c r="K50" s="108">
        <f>'ARCHIVE_Operating Budget'!K50</f>
        <v>2805.0000000000005</v>
      </c>
      <c r="L50" s="108">
        <f>'ARCHIVE_Operating Budget'!L50</f>
        <v>2805.0000000000005</v>
      </c>
      <c r="M50" s="108">
        <f>'ARCHIVE_Operating Budget'!M50</f>
        <v>2805.0000000000005</v>
      </c>
      <c r="N50" s="108">
        <f>'ARCHIVE_Operating Budget'!N50</f>
        <v>2805.0000000000005</v>
      </c>
      <c r="O50" s="108">
        <f>'ARCHIVE_Operating Budget'!O50</f>
        <v>2889.15</v>
      </c>
      <c r="P50" s="108">
        <f>'ARCHIVE_Operating Budget'!P50</f>
        <v>2889.15</v>
      </c>
      <c r="Q50" s="108">
        <f>'ARCHIVE_Operating Budget'!Q50</f>
        <v>2889.15</v>
      </c>
      <c r="R50" s="108">
        <f>'ARCHIVE_Operating Budget'!R50</f>
        <v>2889.15</v>
      </c>
      <c r="S50" s="108">
        <f>'ARCHIVE_Operating Budget'!S50</f>
        <v>2889.15</v>
      </c>
      <c r="T50" s="108">
        <f>'ARCHIVE_Operating Budget'!T50</f>
        <v>2889.15</v>
      </c>
      <c r="U50" s="108">
        <f>'ARCHIVE_Operating Budget'!U50</f>
        <v>2889.15</v>
      </c>
      <c r="V50" s="108">
        <f>'ARCHIVE_Operating Budget'!V50</f>
        <v>2889.15</v>
      </c>
      <c r="W50" s="108">
        <f>'ARCHIVE_Operating Budget'!W50</f>
        <v>2889.15</v>
      </c>
      <c r="X50" s="108">
        <f>'ARCHIVE_Operating Budget'!X50</f>
        <v>2889.15</v>
      </c>
      <c r="Y50" s="108">
        <f>'ARCHIVE_Operating Budget'!Y50</f>
        <v>2889.15</v>
      </c>
      <c r="Z50" s="108">
        <f>'ARCHIVE_Operating Budget'!Z50</f>
        <v>2889.15</v>
      </c>
      <c r="AA50" s="108">
        <f>'ARCHIVE_Operating Budget'!AA50</f>
        <v>2975.8245000000002</v>
      </c>
      <c r="AB50" s="108">
        <f>'ARCHIVE_Operating Budget'!AB50</f>
        <v>2975.8245000000002</v>
      </c>
      <c r="AC50" s="108">
        <f>'ARCHIVE_Operating Budget'!AC50</f>
        <v>2975.8245000000002</v>
      </c>
      <c r="AD50" s="108">
        <f>'ARCHIVE_Operating Budget'!AD50</f>
        <v>2975.8245000000002</v>
      </c>
      <c r="AE50" s="108">
        <f>'ARCHIVE_Operating Budget'!AE50</f>
        <v>2975.8245000000002</v>
      </c>
      <c r="AF50" s="108">
        <f>'ARCHIVE_Operating Budget'!AF50</f>
        <v>2975.8245000000002</v>
      </c>
      <c r="AG50" s="108">
        <f>'ARCHIVE_Operating Budget'!AG50</f>
        <v>2975.8245000000002</v>
      </c>
      <c r="AH50" s="108">
        <f>'ARCHIVE_Operating Budget'!AH50</f>
        <v>2975.8245000000002</v>
      </c>
      <c r="AI50" s="108">
        <f>'ARCHIVE_Operating Budget'!AI50</f>
        <v>2975.8245000000002</v>
      </c>
      <c r="AJ50" s="108">
        <f>'ARCHIVE_Operating Budget'!AJ50</f>
        <v>2975.8245000000002</v>
      </c>
      <c r="AK50" s="108">
        <f>'ARCHIVE_Operating Budget'!AK50</f>
        <v>2975.8245000000002</v>
      </c>
      <c r="AL50" s="108">
        <f>'ARCHIVE_Operating Budget'!AL50</f>
        <v>2975.8245000000002</v>
      </c>
      <c r="AM50" s="108">
        <f>'ARCHIVE_Operating Budget'!AM50</f>
        <v>30663.749999999996</v>
      </c>
      <c r="AN50" s="108">
        <f>'ARCHIVE_Operating Budget'!AN50</f>
        <v>34669.800000000003</v>
      </c>
      <c r="AO50" s="108">
        <f>'ARCHIVE_Operating Budget'!AO50</f>
        <v>35709.894</v>
      </c>
      <c r="AP50" s="102">
        <f>'ARCHIVE_Operating Budget'!AP50</f>
        <v>9.7335350227230073E-3</v>
      </c>
    </row>
    <row r="51" spans="1:42" x14ac:dyDescent="0.2">
      <c r="A51" s="104" t="s">
        <v>536</v>
      </c>
      <c r="B51" s="175">
        <v>41300</v>
      </c>
      <c r="C51" s="108">
        <f>'ARCHIVE_Operating Budget'!C51</f>
        <v>185</v>
      </c>
      <c r="D51" s="108">
        <f>'ARCHIVE_Operating Budget'!D51</f>
        <v>447.08333333333331</v>
      </c>
      <c r="E51" s="108">
        <f>'ARCHIVE_Operating Budget'!E51</f>
        <v>678.33333333333337</v>
      </c>
      <c r="F51" s="108">
        <f>'ARCHIVE_Operating Budget'!F51</f>
        <v>678.33333333333337</v>
      </c>
      <c r="G51" s="108">
        <f>'ARCHIVE_Operating Budget'!G51</f>
        <v>678.33333333333337</v>
      </c>
      <c r="H51" s="108">
        <f>'ARCHIVE_Operating Budget'!H51</f>
        <v>678.33333333333337</v>
      </c>
      <c r="I51" s="108">
        <f>'ARCHIVE_Operating Budget'!I51</f>
        <v>678.33333333333337</v>
      </c>
      <c r="J51" s="108">
        <f>'ARCHIVE_Operating Budget'!J51</f>
        <v>678.33333333333337</v>
      </c>
      <c r="K51" s="108">
        <f>'ARCHIVE_Operating Budget'!K51</f>
        <v>678.33333333333337</v>
      </c>
      <c r="L51" s="108">
        <f>'ARCHIVE_Operating Budget'!L51</f>
        <v>678.33333333333337</v>
      </c>
      <c r="M51" s="108">
        <f>'ARCHIVE_Operating Budget'!M51</f>
        <v>678.33333333333337</v>
      </c>
      <c r="N51" s="108">
        <f>'ARCHIVE_Operating Budget'!N51</f>
        <v>678.33333333333337</v>
      </c>
      <c r="O51" s="108">
        <f>'ARCHIVE_Operating Budget'!O51</f>
        <v>698.68333333333339</v>
      </c>
      <c r="P51" s="108">
        <f>'ARCHIVE_Operating Budget'!P51</f>
        <v>698.68333333333339</v>
      </c>
      <c r="Q51" s="108">
        <f>'ARCHIVE_Operating Budget'!Q51</f>
        <v>698.68333333333339</v>
      </c>
      <c r="R51" s="108">
        <f>'ARCHIVE_Operating Budget'!R51</f>
        <v>698.68333333333339</v>
      </c>
      <c r="S51" s="108">
        <f>'ARCHIVE_Operating Budget'!S51</f>
        <v>698.68333333333339</v>
      </c>
      <c r="T51" s="108">
        <f>'ARCHIVE_Operating Budget'!T51</f>
        <v>698.68333333333339</v>
      </c>
      <c r="U51" s="108">
        <f>'ARCHIVE_Operating Budget'!U51</f>
        <v>698.68333333333339</v>
      </c>
      <c r="V51" s="108">
        <f>'ARCHIVE_Operating Budget'!V51</f>
        <v>698.68333333333339</v>
      </c>
      <c r="W51" s="108">
        <f>'ARCHIVE_Operating Budget'!W51</f>
        <v>698.68333333333339</v>
      </c>
      <c r="X51" s="108">
        <f>'ARCHIVE_Operating Budget'!X51</f>
        <v>698.68333333333339</v>
      </c>
      <c r="Y51" s="108">
        <f>'ARCHIVE_Operating Budget'!Y51</f>
        <v>698.68333333333339</v>
      </c>
      <c r="Z51" s="108">
        <f>'ARCHIVE_Operating Budget'!Z51</f>
        <v>698.68333333333339</v>
      </c>
      <c r="AA51" s="108">
        <f>'ARCHIVE_Operating Budget'!AA51</f>
        <v>719.64383333333342</v>
      </c>
      <c r="AB51" s="108">
        <f>'ARCHIVE_Operating Budget'!AB51</f>
        <v>719.64383333333342</v>
      </c>
      <c r="AC51" s="108">
        <f>'ARCHIVE_Operating Budget'!AC51</f>
        <v>719.64383333333342</v>
      </c>
      <c r="AD51" s="108">
        <f>'ARCHIVE_Operating Budget'!AD51</f>
        <v>719.64383333333342</v>
      </c>
      <c r="AE51" s="108">
        <f>'ARCHIVE_Operating Budget'!AE51</f>
        <v>719.64383333333342</v>
      </c>
      <c r="AF51" s="108">
        <f>'ARCHIVE_Operating Budget'!AF51</f>
        <v>719.64383333333342</v>
      </c>
      <c r="AG51" s="108">
        <f>'ARCHIVE_Operating Budget'!AG51</f>
        <v>719.64383333333342</v>
      </c>
      <c r="AH51" s="108">
        <f>'ARCHIVE_Operating Budget'!AH51</f>
        <v>719.64383333333342</v>
      </c>
      <c r="AI51" s="108">
        <f>'ARCHIVE_Operating Budget'!AI51</f>
        <v>719.64383333333342</v>
      </c>
      <c r="AJ51" s="108">
        <f>'ARCHIVE_Operating Budget'!AJ51</f>
        <v>719.64383333333342</v>
      </c>
      <c r="AK51" s="108">
        <f>'ARCHIVE_Operating Budget'!AK51</f>
        <v>719.64383333333342</v>
      </c>
      <c r="AL51" s="108">
        <f>'ARCHIVE_Operating Budget'!AL51</f>
        <v>719.64383333333342</v>
      </c>
      <c r="AM51" s="108">
        <f>'ARCHIVE_Operating Budget'!AM51</f>
        <v>7415.4166666666661</v>
      </c>
      <c r="AN51" s="108">
        <f>'ARCHIVE_Operating Budget'!AN51</f>
        <v>8384.1999999999989</v>
      </c>
      <c r="AO51" s="108">
        <f>'ARCHIVE_Operating Budget'!AO51</f>
        <v>8635.7259999999987</v>
      </c>
      <c r="AP51" s="102">
        <f>'ARCHIVE_Operating Budget'!AP51</f>
        <v>2.3538614107238643E-3</v>
      </c>
    </row>
    <row r="52" spans="1:42" x14ac:dyDescent="0.2">
      <c r="A52" s="104" t="s">
        <v>537</v>
      </c>
      <c r="B52" s="175">
        <v>41600</v>
      </c>
      <c r="C52" s="108">
        <f>'ARCHIVE_Operating Budget'!C52</f>
        <v>300</v>
      </c>
      <c r="D52" s="108">
        <f>'ARCHIVE_Operating Budget'!D52</f>
        <v>725</v>
      </c>
      <c r="E52" s="108">
        <f>'ARCHIVE_Operating Budget'!E52</f>
        <v>1100</v>
      </c>
      <c r="F52" s="108">
        <f>'ARCHIVE_Operating Budget'!F52</f>
        <v>1100</v>
      </c>
      <c r="G52" s="108">
        <f>'ARCHIVE_Operating Budget'!G52</f>
        <v>1100</v>
      </c>
      <c r="H52" s="108">
        <f>'ARCHIVE_Operating Budget'!H52</f>
        <v>1100</v>
      </c>
      <c r="I52" s="108">
        <f>'ARCHIVE_Operating Budget'!I52</f>
        <v>1100</v>
      </c>
      <c r="J52" s="108">
        <f>'ARCHIVE_Operating Budget'!J52</f>
        <v>1100</v>
      </c>
      <c r="K52" s="108">
        <f>'ARCHIVE_Operating Budget'!K52</f>
        <v>1100</v>
      </c>
      <c r="L52" s="108">
        <f>'ARCHIVE_Operating Budget'!L52</f>
        <v>1100</v>
      </c>
      <c r="M52" s="108">
        <f>'ARCHIVE_Operating Budget'!M52</f>
        <v>1100</v>
      </c>
      <c r="N52" s="108">
        <f>'ARCHIVE_Operating Budget'!N52</f>
        <v>1100</v>
      </c>
      <c r="O52" s="108">
        <f>'ARCHIVE_Operating Budget'!O52</f>
        <v>1133</v>
      </c>
      <c r="P52" s="108">
        <f>'ARCHIVE_Operating Budget'!P52</f>
        <v>1133</v>
      </c>
      <c r="Q52" s="108">
        <f>'ARCHIVE_Operating Budget'!Q52</f>
        <v>1133</v>
      </c>
      <c r="R52" s="108">
        <f>'ARCHIVE_Operating Budget'!R52</f>
        <v>1133</v>
      </c>
      <c r="S52" s="108">
        <f>'ARCHIVE_Operating Budget'!S52</f>
        <v>1133</v>
      </c>
      <c r="T52" s="108">
        <f>'ARCHIVE_Operating Budget'!T52</f>
        <v>1133</v>
      </c>
      <c r="U52" s="108">
        <f>'ARCHIVE_Operating Budget'!U52</f>
        <v>1133</v>
      </c>
      <c r="V52" s="108">
        <f>'ARCHIVE_Operating Budget'!V52</f>
        <v>1133</v>
      </c>
      <c r="W52" s="108">
        <f>'ARCHIVE_Operating Budget'!W52</f>
        <v>1133</v>
      </c>
      <c r="X52" s="108">
        <f>'ARCHIVE_Operating Budget'!X52</f>
        <v>1133</v>
      </c>
      <c r="Y52" s="108">
        <f>'ARCHIVE_Operating Budget'!Y52</f>
        <v>1133</v>
      </c>
      <c r="Z52" s="108">
        <f>'ARCHIVE_Operating Budget'!Z52</f>
        <v>1133</v>
      </c>
      <c r="AA52" s="108">
        <f>'ARCHIVE_Operating Budget'!AA52</f>
        <v>1166.99</v>
      </c>
      <c r="AB52" s="108">
        <f>'ARCHIVE_Operating Budget'!AB52</f>
        <v>1166.99</v>
      </c>
      <c r="AC52" s="108">
        <f>'ARCHIVE_Operating Budget'!AC52</f>
        <v>1166.99</v>
      </c>
      <c r="AD52" s="108">
        <f>'ARCHIVE_Operating Budget'!AD52</f>
        <v>1166.99</v>
      </c>
      <c r="AE52" s="108">
        <f>'ARCHIVE_Operating Budget'!AE52</f>
        <v>1166.99</v>
      </c>
      <c r="AF52" s="108">
        <f>'ARCHIVE_Operating Budget'!AF52</f>
        <v>1166.99</v>
      </c>
      <c r="AG52" s="108">
        <f>'ARCHIVE_Operating Budget'!AG52</f>
        <v>1166.99</v>
      </c>
      <c r="AH52" s="108">
        <f>'ARCHIVE_Operating Budget'!AH52</f>
        <v>1166.99</v>
      </c>
      <c r="AI52" s="108">
        <f>'ARCHIVE_Operating Budget'!AI52</f>
        <v>1166.99</v>
      </c>
      <c r="AJ52" s="108">
        <f>'ARCHIVE_Operating Budget'!AJ52</f>
        <v>1166.99</v>
      </c>
      <c r="AK52" s="108">
        <f>'ARCHIVE_Operating Budget'!AK52</f>
        <v>1166.99</v>
      </c>
      <c r="AL52" s="108">
        <f>'ARCHIVE_Operating Budget'!AL52</f>
        <v>1166.99</v>
      </c>
      <c r="AM52" s="108">
        <f>'ARCHIVE_Operating Budget'!AM52</f>
        <v>12024.999999999998</v>
      </c>
      <c r="AN52" s="108">
        <f>'ARCHIVE_Operating Budget'!AN52</f>
        <v>13596</v>
      </c>
      <c r="AO52" s="108">
        <f>'ARCHIVE_Operating Budget'!AO52</f>
        <v>14003.88</v>
      </c>
      <c r="AP52" s="102">
        <f>'ARCHIVE_Operating Budget'!AP52</f>
        <v>3.8170725579305905E-3</v>
      </c>
    </row>
    <row r="53" spans="1:42" x14ac:dyDescent="0.2">
      <c r="A53" s="104" t="s">
        <v>538</v>
      </c>
      <c r="B53" s="175">
        <v>41100</v>
      </c>
      <c r="C53" s="108">
        <f>'ARCHIVE_Operating Budget'!C53</f>
        <v>732.86806389998787</v>
      </c>
      <c r="D53" s="108">
        <f>'ARCHIVE_Operating Budget'!D53</f>
        <v>1749.1148875525919</v>
      </c>
      <c r="E53" s="108">
        <f>'ARCHIVE_Operating Budget'!E53</f>
        <v>2402.4712693102038</v>
      </c>
      <c r="F53" s="108">
        <f>'ARCHIVE_Operating Budget'!F53</f>
        <v>2385.1825952141853</v>
      </c>
      <c r="G53" s="108">
        <f>'ARCHIVE_Operating Budget'!G53</f>
        <v>2368.1409689733164</v>
      </c>
      <c r="H53" s="108">
        <f>'ARCHIVE_Operating Budget'!H53</f>
        <v>2359.7111499033322</v>
      </c>
      <c r="I53" s="108">
        <f>'ARCHIVE_Operating Budget'!I53</f>
        <v>2483.3673960199649</v>
      </c>
      <c r="J53" s="108">
        <f>'ARCHIVE_Operating Budget'!J53</f>
        <v>2475.1253032184759</v>
      </c>
      <c r="K53" s="108">
        <f>'ARCHIVE_Operating Budget'!K53</f>
        <v>2458.8041643201441</v>
      </c>
      <c r="L53" s="108">
        <f>'ARCHIVE_Operating Budget'!L53</f>
        <v>2442.6968607027443</v>
      </c>
      <c r="M53" s="108">
        <f>'ARCHIVE_Operating Budget'!M53</f>
        <v>2473.3315832638646</v>
      </c>
      <c r="N53" s="108">
        <f>'ARCHIVE_Operating Budget'!N53</f>
        <v>2458.6540992189866</v>
      </c>
      <c r="O53" s="108">
        <f>'ARCHIVE_Operating Budget'!O53</f>
        <v>2458.5832741549125</v>
      </c>
      <c r="P53" s="108">
        <f>'ARCHIVE_Operating Budget'!P53</f>
        <v>2444.4998082777506</v>
      </c>
      <c r="Q53" s="108">
        <f>'ARCHIVE_Operating Budget'!Q53</f>
        <v>2550.8650222146098</v>
      </c>
      <c r="R53" s="108">
        <f>'ARCHIVE_Operating Budget'!R53</f>
        <v>2537.0782288111932</v>
      </c>
      <c r="S53" s="108">
        <f>'ARCHIVE_Operating Budget'!S53</f>
        <v>2530.2405671441961</v>
      </c>
      <c r="T53" s="108">
        <f>'ARCHIVE_Operating Budget'!T53</f>
        <v>2516.6752198218778</v>
      </c>
      <c r="U53" s="108">
        <f>'ARCHIVE_Operating Budget'!U53</f>
        <v>2509.9469461298486</v>
      </c>
      <c r="V53" s="108">
        <f>'ARCHIVE_Operating Budget'!V53</f>
        <v>2503.2545522858031</v>
      </c>
      <c r="W53" s="108">
        <f>'ARCHIVE_Operating Budget'!W53</f>
        <v>2518.7215054114631</v>
      </c>
      <c r="X53" s="108">
        <f>'ARCHIVE_Operating Budget'!X53</f>
        <v>2512.5425232021653</v>
      </c>
      <c r="Y53" s="108">
        <f>'ARCHIVE_Operating Budget'!Y53</f>
        <v>2595.2240204589784</v>
      </c>
      <c r="Z53" s="108">
        <f>'ARCHIVE_Operating Budget'!Z53</f>
        <v>2589.1678745546151</v>
      </c>
      <c r="AA53" s="108">
        <f>'ARCHIVE_Operating Budget'!AA53</f>
        <v>2592.1042170856831</v>
      </c>
      <c r="AB53" s="108">
        <f>'ARCHIVE_Operating Budget'!AB53</f>
        <v>2586.2381770892098</v>
      </c>
      <c r="AC53" s="108">
        <f>'ARCHIVE_Operating Budget'!AC53</f>
        <v>2586.2381770892098</v>
      </c>
      <c r="AD53" s="108">
        <f>'ARCHIVE_Operating Budget'!AD53</f>
        <v>2580.398627330756</v>
      </c>
      <c r="AE53" s="108">
        <f>'ARCHIVE_Operating Budget'!AE53</f>
        <v>2574.5853887751095</v>
      </c>
      <c r="AF53" s="108">
        <f>'ARCHIVE_Operating Budget'!AF53</f>
        <v>2568.7982839967854</v>
      </c>
      <c r="AG53" s="108">
        <f>'ARCHIVE_Operating Budget'!AG53</f>
        <v>2563.0371371619735</v>
      </c>
      <c r="AH53" s="108">
        <f>'ARCHIVE_Operating Budget'!AH53</f>
        <v>2557.3017740107352</v>
      </c>
      <c r="AI53" s="108">
        <f>'ARCHIVE_Operating Budget'!AI53</f>
        <v>2551.5920218394281</v>
      </c>
      <c r="AJ53" s="108">
        <f>'ARCHIVE_Operating Budget'!AJ53</f>
        <v>2551.5920218394281</v>
      </c>
      <c r="AK53" s="108">
        <f>'ARCHIVE_Operating Budget'!AK53</f>
        <v>2545.9077094833724</v>
      </c>
      <c r="AL53" s="108">
        <f>'ARCHIVE_Operating Budget'!AL53</f>
        <v>2540.2486672997502</v>
      </c>
      <c r="AM53" s="108">
        <f>'ARCHIVE_Operating Budget'!AM53</f>
        <v>26858.792096061967</v>
      </c>
      <c r="AN53" s="108">
        <f>'ARCHIVE_Operating Budget'!AN53</f>
        <v>30294.17690843431</v>
      </c>
      <c r="AO53" s="108">
        <f>'ARCHIVE_Operating Budget'!AO53</f>
        <v>30796.735938885169</v>
      </c>
      <c r="AP53" s="102">
        <f>'ARCHIVE_Operating Budget'!AP53</f>
        <v>8.3943432553087692E-3</v>
      </c>
    </row>
    <row r="54" spans="1:42" x14ac:dyDescent="0.2">
      <c r="A54" s="110" t="s">
        <v>564</v>
      </c>
      <c r="B54" s="2"/>
      <c r="C54" s="111">
        <f>'ARCHIVE_Operating Budget'!C54</f>
        <v>1982.8680638999879</v>
      </c>
      <c r="D54" s="111">
        <f>'ARCHIVE_Operating Budget'!D54</f>
        <v>4769.9482208859254</v>
      </c>
      <c r="E54" s="111">
        <f>'ARCHIVE_Operating Budget'!E54</f>
        <v>6985.8046026435377</v>
      </c>
      <c r="F54" s="111">
        <f>'ARCHIVE_Operating Budget'!F54</f>
        <v>6968.5159285475193</v>
      </c>
      <c r="G54" s="111">
        <f>'ARCHIVE_Operating Budget'!G54</f>
        <v>6951.4743023066503</v>
      </c>
      <c r="H54" s="111">
        <f>'ARCHIVE_Operating Budget'!H54</f>
        <v>6943.0444832366666</v>
      </c>
      <c r="I54" s="111">
        <f>'ARCHIVE_Operating Budget'!I54</f>
        <v>7066.7007293532988</v>
      </c>
      <c r="J54" s="111">
        <f>'ARCHIVE_Operating Budget'!J54</f>
        <v>7058.4586365518098</v>
      </c>
      <c r="K54" s="111">
        <f>'ARCHIVE_Operating Budget'!K54</f>
        <v>7042.137497653478</v>
      </c>
      <c r="L54" s="111">
        <f>'ARCHIVE_Operating Budget'!L54</f>
        <v>7026.0301940360787</v>
      </c>
      <c r="M54" s="111">
        <f>'ARCHIVE_Operating Budget'!M54</f>
        <v>7056.6649165971985</v>
      </c>
      <c r="N54" s="111">
        <f>'ARCHIVE_Operating Budget'!N54</f>
        <v>7041.9874325523206</v>
      </c>
      <c r="O54" s="111">
        <f>'ARCHIVE_Operating Budget'!O54</f>
        <v>7179.4166074882469</v>
      </c>
      <c r="P54" s="111">
        <f>'ARCHIVE_Operating Budget'!P54</f>
        <v>7165.333141611085</v>
      </c>
      <c r="Q54" s="111">
        <f>'ARCHIVE_Operating Budget'!Q54</f>
        <v>7271.6983555479437</v>
      </c>
      <c r="R54" s="111">
        <f>'ARCHIVE_Operating Budget'!R54</f>
        <v>7257.9115621445271</v>
      </c>
      <c r="S54" s="111">
        <f>'ARCHIVE_Operating Budget'!S54</f>
        <v>7251.0739004775296</v>
      </c>
      <c r="T54" s="111">
        <f>'ARCHIVE_Operating Budget'!T54</f>
        <v>7237.5085531552122</v>
      </c>
      <c r="U54" s="111">
        <f>'ARCHIVE_Operating Budget'!U54</f>
        <v>7230.7802794631825</v>
      </c>
      <c r="V54" s="111">
        <f>'ARCHIVE_Operating Budget'!V54</f>
        <v>7224.0878856191375</v>
      </c>
      <c r="W54" s="111">
        <f>'ARCHIVE_Operating Budget'!W54</f>
        <v>7239.5548387447971</v>
      </c>
      <c r="X54" s="111">
        <f>'ARCHIVE_Operating Budget'!X54</f>
        <v>7233.3758565354992</v>
      </c>
      <c r="Y54" s="111">
        <f>'ARCHIVE_Operating Budget'!Y54</f>
        <v>7316.0573537923119</v>
      </c>
      <c r="Z54" s="111">
        <f>'ARCHIVE_Operating Budget'!Z54</f>
        <v>7310.001207887949</v>
      </c>
      <c r="AA54" s="111">
        <f>'ARCHIVE_Operating Budget'!AA54</f>
        <v>7454.5625504190175</v>
      </c>
      <c r="AB54" s="111">
        <f>'ARCHIVE_Operating Budget'!AB54</f>
        <v>7448.6965104225437</v>
      </c>
      <c r="AC54" s="111">
        <f>'ARCHIVE_Operating Budget'!AC54</f>
        <v>7448.6965104225437</v>
      </c>
      <c r="AD54" s="111">
        <f>'ARCHIVE_Operating Budget'!AD54</f>
        <v>7442.8569606640904</v>
      </c>
      <c r="AE54" s="111">
        <f>'ARCHIVE_Operating Budget'!AE54</f>
        <v>7437.043722108443</v>
      </c>
      <c r="AF54" s="111">
        <f>'ARCHIVE_Operating Budget'!AF54</f>
        <v>7431.2566173301193</v>
      </c>
      <c r="AG54" s="111">
        <f>'ARCHIVE_Operating Budget'!AG54</f>
        <v>7425.495470495307</v>
      </c>
      <c r="AH54" s="111">
        <f>'ARCHIVE_Operating Budget'!AH54</f>
        <v>7419.7601073440692</v>
      </c>
      <c r="AI54" s="111">
        <f>'ARCHIVE_Operating Budget'!AI54</f>
        <v>7414.0503551727616</v>
      </c>
      <c r="AJ54" s="111">
        <f>'ARCHIVE_Operating Budget'!AJ54</f>
        <v>7414.0503551727616</v>
      </c>
      <c r="AK54" s="111">
        <f>'ARCHIVE_Operating Budget'!AK54</f>
        <v>7408.3660428167059</v>
      </c>
      <c r="AL54" s="111">
        <f>'ARCHIVE_Operating Budget'!AL54</f>
        <v>7402.7070006330841</v>
      </c>
      <c r="AM54" s="111">
        <f>'ARCHIVE_Operating Budget'!AM54</f>
        <v>76962.958762728638</v>
      </c>
      <c r="AN54" s="111">
        <f>'ARCHIVE_Operating Budget'!AN54</f>
        <v>86944.17690843431</v>
      </c>
      <c r="AO54" s="111">
        <f>'ARCHIVE_Operating Budget'!AO54</f>
        <v>89146.235938885162</v>
      </c>
      <c r="AP54" s="103">
        <f>'ARCHIVE_Operating Budget'!AP54</f>
        <v>2.429881224668623E-2</v>
      </c>
    </row>
    <row r="55" spans="1:42" x14ac:dyDescent="0.2">
      <c r="A55" s="168" t="s">
        <v>565</v>
      </c>
      <c r="B55" s="160"/>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row>
    <row r="56" spans="1:42" x14ac:dyDescent="0.2">
      <c r="A56" s="104" t="s">
        <v>566</v>
      </c>
      <c r="B56" s="175">
        <v>60800</v>
      </c>
      <c r="C56" s="108">
        <f>'ARCHIVE_Operating Budget'!C56</f>
        <v>3450</v>
      </c>
      <c r="D56" s="108">
        <f>'ARCHIVE_Operating Budget'!D56</f>
        <v>3450</v>
      </c>
      <c r="E56" s="108">
        <f>'ARCHIVE_Operating Budget'!E56</f>
        <v>3450</v>
      </c>
      <c r="F56" s="108">
        <f>'ARCHIVE_Operating Budget'!F56</f>
        <v>3450</v>
      </c>
      <c r="G56" s="108">
        <f>'ARCHIVE_Operating Budget'!G56</f>
        <v>3450</v>
      </c>
      <c r="H56" s="108">
        <f>'ARCHIVE_Operating Budget'!H56</f>
        <v>3450</v>
      </c>
      <c r="I56" s="108">
        <f>'ARCHIVE_Operating Budget'!I56</f>
        <v>3450</v>
      </c>
      <c r="J56" s="108">
        <f>'ARCHIVE_Operating Budget'!J56</f>
        <v>3450</v>
      </c>
      <c r="K56" s="108">
        <f>'ARCHIVE_Operating Budget'!K56</f>
        <v>3450</v>
      </c>
      <c r="L56" s="108">
        <f>'ARCHIVE_Operating Budget'!L56</f>
        <v>3450</v>
      </c>
      <c r="M56" s="108">
        <f>'ARCHIVE_Operating Budget'!M56</f>
        <v>3450</v>
      </c>
      <c r="N56" s="108">
        <f>'ARCHIVE_Operating Budget'!N56</f>
        <v>3450</v>
      </c>
      <c r="O56" s="108">
        <f>'ARCHIVE_Operating Budget'!O56</f>
        <v>3450</v>
      </c>
      <c r="P56" s="108">
        <f>'ARCHIVE_Operating Budget'!P56</f>
        <v>3450</v>
      </c>
      <c r="Q56" s="108">
        <f>'ARCHIVE_Operating Budget'!Q56</f>
        <v>3450</v>
      </c>
      <c r="R56" s="108">
        <f>'ARCHIVE_Operating Budget'!R56</f>
        <v>3450</v>
      </c>
      <c r="S56" s="108">
        <f>'ARCHIVE_Operating Budget'!S56</f>
        <v>3450</v>
      </c>
      <c r="T56" s="108">
        <f>'ARCHIVE_Operating Budget'!T56</f>
        <v>3450</v>
      </c>
      <c r="U56" s="108">
        <f>'ARCHIVE_Operating Budget'!U56</f>
        <v>3450</v>
      </c>
      <c r="V56" s="108">
        <f>'ARCHIVE_Operating Budget'!V56</f>
        <v>3450</v>
      </c>
      <c r="W56" s="108">
        <f>'ARCHIVE_Operating Budget'!W56</f>
        <v>3450</v>
      </c>
      <c r="X56" s="108">
        <f>'ARCHIVE_Operating Budget'!X56</f>
        <v>3450</v>
      </c>
      <c r="Y56" s="108">
        <f>'ARCHIVE_Operating Budget'!Y56</f>
        <v>3450</v>
      </c>
      <c r="Z56" s="108">
        <f>'ARCHIVE_Operating Budget'!Z56</f>
        <v>3450</v>
      </c>
      <c r="AA56" s="108">
        <f>'ARCHIVE_Operating Budget'!AA56</f>
        <v>3450</v>
      </c>
      <c r="AB56" s="108">
        <f>'ARCHIVE_Operating Budget'!AB56</f>
        <v>3450</v>
      </c>
      <c r="AC56" s="108">
        <f>'ARCHIVE_Operating Budget'!AC56</f>
        <v>3450</v>
      </c>
      <c r="AD56" s="108">
        <f>'ARCHIVE_Operating Budget'!AD56</f>
        <v>3450</v>
      </c>
      <c r="AE56" s="108">
        <f>'ARCHIVE_Operating Budget'!AE56</f>
        <v>3450</v>
      </c>
      <c r="AF56" s="108">
        <f>'ARCHIVE_Operating Budget'!AF56</f>
        <v>3450</v>
      </c>
      <c r="AG56" s="108">
        <f>'ARCHIVE_Operating Budget'!AG56</f>
        <v>3450</v>
      </c>
      <c r="AH56" s="108">
        <f>'ARCHIVE_Operating Budget'!AH56</f>
        <v>3450</v>
      </c>
      <c r="AI56" s="108">
        <f>'ARCHIVE_Operating Budget'!AI56</f>
        <v>3450</v>
      </c>
      <c r="AJ56" s="108">
        <f>'ARCHIVE_Operating Budget'!AJ56</f>
        <v>3450</v>
      </c>
      <c r="AK56" s="108">
        <f>'ARCHIVE_Operating Budget'!AK56</f>
        <v>3450</v>
      </c>
      <c r="AL56" s="108">
        <f>'ARCHIVE_Operating Budget'!AL56</f>
        <v>3450</v>
      </c>
      <c r="AM56" s="108">
        <f>'ARCHIVE_Operating Budget'!AM56</f>
        <v>3450</v>
      </c>
      <c r="AN56" s="108">
        <f>'ARCHIVE_Operating Budget'!AN56</f>
        <v>3450</v>
      </c>
      <c r="AO56" s="108">
        <f>'ARCHIVE_Operating Budget'!AO56</f>
        <v>3450</v>
      </c>
      <c r="AP56" s="102">
        <f>'ARCHIVE_Operating Budget'!AP56</f>
        <v>9.4037511924270547E-4</v>
      </c>
    </row>
    <row r="57" spans="1:42" x14ac:dyDescent="0.2">
      <c r="A57" s="104" t="s">
        <v>567</v>
      </c>
      <c r="B57" s="175">
        <v>65801</v>
      </c>
      <c r="C57" s="108">
        <f>'ARCHIVE_Operating Budget'!C57</f>
        <v>3333</v>
      </c>
      <c r="D57" s="108">
        <f>'ARCHIVE_Operating Budget'!D57</f>
        <v>3333</v>
      </c>
      <c r="E57" s="108">
        <f>'ARCHIVE_Operating Budget'!E57</f>
        <v>3333</v>
      </c>
      <c r="F57" s="108">
        <f>'ARCHIVE_Operating Budget'!F57</f>
        <v>3333</v>
      </c>
      <c r="G57" s="108">
        <f>'ARCHIVE_Operating Budget'!G57</f>
        <v>3333</v>
      </c>
      <c r="H57" s="108">
        <f>'ARCHIVE_Operating Budget'!H57</f>
        <v>3333</v>
      </c>
      <c r="I57" s="108">
        <f>'ARCHIVE_Operating Budget'!I57</f>
        <v>3333</v>
      </c>
      <c r="J57" s="108">
        <f>'ARCHIVE_Operating Budget'!J57</f>
        <v>3333</v>
      </c>
      <c r="K57" s="108">
        <f>'ARCHIVE_Operating Budget'!K57</f>
        <v>3333</v>
      </c>
      <c r="L57" s="108">
        <f>'ARCHIVE_Operating Budget'!L57</f>
        <v>3333</v>
      </c>
      <c r="M57" s="108">
        <f>'ARCHIVE_Operating Budget'!M57</f>
        <v>3333</v>
      </c>
      <c r="N57" s="108">
        <f>'ARCHIVE_Operating Budget'!N57</f>
        <v>3333</v>
      </c>
      <c r="O57" s="108">
        <f>'ARCHIVE_Operating Budget'!O57</f>
        <v>3333</v>
      </c>
      <c r="P57" s="108">
        <f>'ARCHIVE_Operating Budget'!P57</f>
        <v>3333</v>
      </c>
      <c r="Q57" s="108">
        <f>'ARCHIVE_Operating Budget'!Q57</f>
        <v>3333</v>
      </c>
      <c r="R57" s="108">
        <f>'ARCHIVE_Operating Budget'!R57</f>
        <v>3333</v>
      </c>
      <c r="S57" s="108">
        <f>'ARCHIVE_Operating Budget'!S57</f>
        <v>3333</v>
      </c>
      <c r="T57" s="108">
        <f>'ARCHIVE_Operating Budget'!T57</f>
        <v>3333</v>
      </c>
      <c r="U57" s="108">
        <f>'ARCHIVE_Operating Budget'!U57</f>
        <v>3333</v>
      </c>
      <c r="V57" s="108">
        <f>'ARCHIVE_Operating Budget'!V57</f>
        <v>3333</v>
      </c>
      <c r="W57" s="108">
        <f>'ARCHIVE_Operating Budget'!W57</f>
        <v>3333</v>
      </c>
      <c r="X57" s="108">
        <f>'ARCHIVE_Operating Budget'!X57</f>
        <v>3333</v>
      </c>
      <c r="Y57" s="108">
        <f>'ARCHIVE_Operating Budget'!Y57</f>
        <v>3333</v>
      </c>
      <c r="Z57" s="108">
        <f>'ARCHIVE_Operating Budget'!Z57</f>
        <v>3333</v>
      </c>
      <c r="AA57" s="108">
        <f>'ARCHIVE_Operating Budget'!AA57</f>
        <v>3333</v>
      </c>
      <c r="AB57" s="108">
        <f>'ARCHIVE_Operating Budget'!AB57</f>
        <v>3333</v>
      </c>
      <c r="AC57" s="108">
        <f>'ARCHIVE_Operating Budget'!AC57</f>
        <v>3333</v>
      </c>
      <c r="AD57" s="108">
        <f>'ARCHIVE_Operating Budget'!AD57</f>
        <v>3333</v>
      </c>
      <c r="AE57" s="108">
        <f>'ARCHIVE_Operating Budget'!AE57</f>
        <v>3333</v>
      </c>
      <c r="AF57" s="108">
        <f>'ARCHIVE_Operating Budget'!AF57</f>
        <v>3333</v>
      </c>
      <c r="AG57" s="108">
        <f>'ARCHIVE_Operating Budget'!AG57</f>
        <v>3333</v>
      </c>
      <c r="AH57" s="108">
        <f>'ARCHIVE_Operating Budget'!AH57</f>
        <v>3333</v>
      </c>
      <c r="AI57" s="108">
        <f>'ARCHIVE_Operating Budget'!AI57</f>
        <v>3333</v>
      </c>
      <c r="AJ57" s="108">
        <f>'ARCHIVE_Operating Budget'!AJ57</f>
        <v>3333</v>
      </c>
      <c r="AK57" s="108">
        <f>'ARCHIVE_Operating Budget'!AK57</f>
        <v>3333</v>
      </c>
      <c r="AL57" s="108">
        <f>'ARCHIVE_Operating Budget'!AL57</f>
        <v>3333</v>
      </c>
      <c r="AM57" s="108">
        <f>'ARCHIVE_Operating Budget'!AM57</f>
        <v>3333</v>
      </c>
      <c r="AN57" s="108">
        <f>'ARCHIVE_Operating Budget'!AN57</f>
        <v>3333</v>
      </c>
      <c r="AO57" s="108">
        <f>'ARCHIVE_Operating Budget'!AO57</f>
        <v>3333</v>
      </c>
      <c r="AP57" s="102">
        <f>'ARCHIVE_Operating Budget'!AP57</f>
        <v>9.0848413693795293E-4</v>
      </c>
    </row>
    <row r="58" spans="1:42" x14ac:dyDescent="0.2">
      <c r="A58" s="104" t="s">
        <v>568</v>
      </c>
      <c r="B58" s="175">
        <v>65007</v>
      </c>
      <c r="C58" s="108">
        <f>'ARCHIVE_Operating Budget'!C58</f>
        <v>2000</v>
      </c>
      <c r="D58" s="108">
        <f>'ARCHIVE_Operating Budget'!D58</f>
        <v>2000</v>
      </c>
      <c r="E58" s="108">
        <f>'ARCHIVE_Operating Budget'!E58</f>
        <v>2000</v>
      </c>
      <c r="F58" s="108">
        <f>'ARCHIVE_Operating Budget'!F58</f>
        <v>2000</v>
      </c>
      <c r="G58" s="108">
        <f>'ARCHIVE_Operating Budget'!G58</f>
        <v>2000</v>
      </c>
      <c r="H58" s="108">
        <f>'ARCHIVE_Operating Budget'!H58</f>
        <v>2000</v>
      </c>
      <c r="I58" s="108">
        <f>'ARCHIVE_Operating Budget'!I58</f>
        <v>2000</v>
      </c>
      <c r="J58" s="108">
        <f>'ARCHIVE_Operating Budget'!J58</f>
        <v>2000</v>
      </c>
      <c r="K58" s="108">
        <f>'ARCHIVE_Operating Budget'!K58</f>
        <v>2000</v>
      </c>
      <c r="L58" s="108">
        <f>'ARCHIVE_Operating Budget'!L58</f>
        <v>2000</v>
      </c>
      <c r="M58" s="108">
        <f>'ARCHIVE_Operating Budget'!M58</f>
        <v>2000</v>
      </c>
      <c r="N58" s="108">
        <f>'ARCHIVE_Operating Budget'!N58</f>
        <v>2000</v>
      </c>
      <c r="O58" s="108">
        <f>'ARCHIVE_Operating Budget'!O58</f>
        <v>2000</v>
      </c>
      <c r="P58" s="108">
        <f>'ARCHIVE_Operating Budget'!P58</f>
        <v>2000</v>
      </c>
      <c r="Q58" s="108">
        <f>'ARCHIVE_Operating Budget'!Q58</f>
        <v>2000</v>
      </c>
      <c r="R58" s="108">
        <f>'ARCHIVE_Operating Budget'!R58</f>
        <v>2000</v>
      </c>
      <c r="S58" s="108">
        <f>'ARCHIVE_Operating Budget'!S58</f>
        <v>2000</v>
      </c>
      <c r="T58" s="108">
        <f>'ARCHIVE_Operating Budget'!T58</f>
        <v>2000</v>
      </c>
      <c r="U58" s="108">
        <f>'ARCHIVE_Operating Budget'!U58</f>
        <v>2000</v>
      </c>
      <c r="V58" s="108">
        <f>'ARCHIVE_Operating Budget'!V58</f>
        <v>2000</v>
      </c>
      <c r="W58" s="108">
        <f>'ARCHIVE_Operating Budget'!W58</f>
        <v>2000</v>
      </c>
      <c r="X58" s="108">
        <f>'ARCHIVE_Operating Budget'!X58</f>
        <v>2000</v>
      </c>
      <c r="Y58" s="108">
        <f>'ARCHIVE_Operating Budget'!Y58</f>
        <v>2000</v>
      </c>
      <c r="Z58" s="108">
        <f>'ARCHIVE_Operating Budget'!Z58</f>
        <v>2000</v>
      </c>
      <c r="AA58" s="108">
        <f>'ARCHIVE_Operating Budget'!AA58</f>
        <v>2000</v>
      </c>
      <c r="AB58" s="108">
        <f>'ARCHIVE_Operating Budget'!AB58</f>
        <v>2000</v>
      </c>
      <c r="AC58" s="108">
        <f>'ARCHIVE_Operating Budget'!AC58</f>
        <v>2000</v>
      </c>
      <c r="AD58" s="108">
        <f>'ARCHIVE_Operating Budget'!AD58</f>
        <v>2000</v>
      </c>
      <c r="AE58" s="108">
        <f>'ARCHIVE_Operating Budget'!AE58</f>
        <v>2000</v>
      </c>
      <c r="AF58" s="108">
        <f>'ARCHIVE_Operating Budget'!AF58</f>
        <v>2000</v>
      </c>
      <c r="AG58" s="108">
        <f>'ARCHIVE_Operating Budget'!AG58</f>
        <v>2000</v>
      </c>
      <c r="AH58" s="108">
        <f>'ARCHIVE_Operating Budget'!AH58</f>
        <v>2000</v>
      </c>
      <c r="AI58" s="108">
        <f>'ARCHIVE_Operating Budget'!AI58</f>
        <v>2000</v>
      </c>
      <c r="AJ58" s="108">
        <f>'ARCHIVE_Operating Budget'!AJ58</f>
        <v>2000</v>
      </c>
      <c r="AK58" s="108">
        <f>'ARCHIVE_Operating Budget'!AK58</f>
        <v>2000</v>
      </c>
      <c r="AL58" s="108">
        <f>'ARCHIVE_Operating Budget'!AL58</f>
        <v>2000</v>
      </c>
      <c r="AM58" s="108">
        <f>'ARCHIVE_Operating Budget'!AM58</f>
        <v>2000</v>
      </c>
      <c r="AN58" s="108">
        <f>'ARCHIVE_Operating Budget'!AN58</f>
        <v>2000</v>
      </c>
      <c r="AO58" s="108">
        <f>'ARCHIVE_Operating Budget'!AO58</f>
        <v>2000</v>
      </c>
      <c r="AP58" s="102">
        <f>'ARCHIVE_Operating Budget'!AP58</f>
        <v>5.4514499666243792E-4</v>
      </c>
    </row>
    <row r="59" spans="1:42" x14ac:dyDescent="0.2">
      <c r="A59" s="104" t="s">
        <v>569</v>
      </c>
      <c r="B59" s="175">
        <v>65100</v>
      </c>
      <c r="C59" s="108">
        <f>'ARCHIVE_Operating Budget'!C59</f>
        <v>1000</v>
      </c>
      <c r="D59" s="108">
        <f>'ARCHIVE_Operating Budget'!D59</f>
        <v>1000</v>
      </c>
      <c r="E59" s="108">
        <f>'ARCHIVE_Operating Budget'!E59</f>
        <v>1000</v>
      </c>
      <c r="F59" s="108">
        <f>'ARCHIVE_Operating Budget'!F59</f>
        <v>1000</v>
      </c>
      <c r="G59" s="108">
        <f>'ARCHIVE_Operating Budget'!G59</f>
        <v>1000</v>
      </c>
      <c r="H59" s="108">
        <f>'ARCHIVE_Operating Budget'!H59</f>
        <v>1000</v>
      </c>
      <c r="I59" s="108">
        <f>'ARCHIVE_Operating Budget'!I59</f>
        <v>1000</v>
      </c>
      <c r="J59" s="108">
        <f>'ARCHIVE_Operating Budget'!J59</f>
        <v>1000</v>
      </c>
      <c r="K59" s="108">
        <f>'ARCHIVE_Operating Budget'!K59</f>
        <v>1000</v>
      </c>
      <c r="L59" s="108">
        <f>'ARCHIVE_Operating Budget'!L59</f>
        <v>1000</v>
      </c>
      <c r="M59" s="108">
        <f>'ARCHIVE_Operating Budget'!M59</f>
        <v>1000</v>
      </c>
      <c r="N59" s="108">
        <f>'ARCHIVE_Operating Budget'!N59</f>
        <v>1000</v>
      </c>
      <c r="O59" s="108">
        <f>'ARCHIVE_Operating Budget'!O59</f>
        <v>1000</v>
      </c>
      <c r="P59" s="108">
        <f>'ARCHIVE_Operating Budget'!P59</f>
        <v>1000</v>
      </c>
      <c r="Q59" s="108">
        <f>'ARCHIVE_Operating Budget'!Q59</f>
        <v>1000</v>
      </c>
      <c r="R59" s="108">
        <f>'ARCHIVE_Operating Budget'!R59</f>
        <v>1000</v>
      </c>
      <c r="S59" s="108">
        <f>'ARCHIVE_Operating Budget'!S59</f>
        <v>1000</v>
      </c>
      <c r="T59" s="108">
        <f>'ARCHIVE_Operating Budget'!T59</f>
        <v>1000</v>
      </c>
      <c r="U59" s="108">
        <f>'ARCHIVE_Operating Budget'!U59</f>
        <v>1000</v>
      </c>
      <c r="V59" s="108">
        <f>'ARCHIVE_Operating Budget'!V59</f>
        <v>1000</v>
      </c>
      <c r="W59" s="108">
        <f>'ARCHIVE_Operating Budget'!W59</f>
        <v>1000</v>
      </c>
      <c r="X59" s="108">
        <f>'ARCHIVE_Operating Budget'!X59</f>
        <v>1000</v>
      </c>
      <c r="Y59" s="108">
        <f>'ARCHIVE_Operating Budget'!Y59</f>
        <v>1000</v>
      </c>
      <c r="Z59" s="108">
        <f>'ARCHIVE_Operating Budget'!Z59</f>
        <v>1000</v>
      </c>
      <c r="AA59" s="108">
        <f>'ARCHIVE_Operating Budget'!AA59</f>
        <v>1000</v>
      </c>
      <c r="AB59" s="108">
        <f>'ARCHIVE_Operating Budget'!AB59</f>
        <v>1000</v>
      </c>
      <c r="AC59" s="108">
        <f>'ARCHIVE_Operating Budget'!AC59</f>
        <v>1000</v>
      </c>
      <c r="AD59" s="108">
        <f>'ARCHIVE_Operating Budget'!AD59</f>
        <v>1000</v>
      </c>
      <c r="AE59" s="108">
        <f>'ARCHIVE_Operating Budget'!AE59</f>
        <v>1000</v>
      </c>
      <c r="AF59" s="108">
        <f>'ARCHIVE_Operating Budget'!AF59</f>
        <v>1000</v>
      </c>
      <c r="AG59" s="108">
        <f>'ARCHIVE_Operating Budget'!AG59</f>
        <v>1000</v>
      </c>
      <c r="AH59" s="108">
        <f>'ARCHIVE_Operating Budget'!AH59</f>
        <v>1000</v>
      </c>
      <c r="AI59" s="108">
        <f>'ARCHIVE_Operating Budget'!AI59</f>
        <v>1000</v>
      </c>
      <c r="AJ59" s="108">
        <f>'ARCHIVE_Operating Budget'!AJ59</f>
        <v>1000</v>
      </c>
      <c r="AK59" s="108">
        <f>'ARCHIVE_Operating Budget'!AK59</f>
        <v>1000</v>
      </c>
      <c r="AL59" s="108">
        <f>'ARCHIVE_Operating Budget'!AL59</f>
        <v>1000</v>
      </c>
      <c r="AM59" s="108">
        <f>'ARCHIVE_Operating Budget'!AM59</f>
        <v>1000</v>
      </c>
      <c r="AN59" s="108">
        <f>'ARCHIVE_Operating Budget'!AN59</f>
        <v>1000</v>
      </c>
      <c r="AO59" s="108">
        <f>'ARCHIVE_Operating Budget'!AO59</f>
        <v>1000</v>
      </c>
      <c r="AP59" s="102">
        <f>'ARCHIVE_Operating Budget'!AP59</f>
        <v>2.7257249833121896E-4</v>
      </c>
    </row>
    <row r="60" spans="1:42" x14ac:dyDescent="0.2">
      <c r="A60" s="104" t="s">
        <v>570</v>
      </c>
      <c r="B60" s="175">
        <v>65000</v>
      </c>
      <c r="C60" s="108">
        <f>'ARCHIVE_Operating Budget'!C60</f>
        <v>750</v>
      </c>
      <c r="D60" s="108">
        <f>'ARCHIVE_Operating Budget'!D60</f>
        <v>750</v>
      </c>
      <c r="E60" s="108">
        <f>'ARCHIVE_Operating Budget'!E60</f>
        <v>750</v>
      </c>
      <c r="F60" s="108">
        <f>'ARCHIVE_Operating Budget'!F60</f>
        <v>750</v>
      </c>
      <c r="G60" s="108">
        <f>'ARCHIVE_Operating Budget'!G60</f>
        <v>750</v>
      </c>
      <c r="H60" s="108">
        <f>'ARCHIVE_Operating Budget'!H60</f>
        <v>750</v>
      </c>
      <c r="I60" s="108">
        <f>'ARCHIVE_Operating Budget'!I60</f>
        <v>750</v>
      </c>
      <c r="J60" s="108">
        <f>'ARCHIVE_Operating Budget'!J60</f>
        <v>750</v>
      </c>
      <c r="K60" s="108">
        <f>'ARCHIVE_Operating Budget'!K60</f>
        <v>750</v>
      </c>
      <c r="L60" s="108">
        <f>'ARCHIVE_Operating Budget'!L60</f>
        <v>750</v>
      </c>
      <c r="M60" s="108">
        <f>'ARCHIVE_Operating Budget'!M60</f>
        <v>750</v>
      </c>
      <c r="N60" s="108">
        <f>'ARCHIVE_Operating Budget'!N60</f>
        <v>750</v>
      </c>
      <c r="O60" s="108">
        <f>'ARCHIVE_Operating Budget'!O60</f>
        <v>750</v>
      </c>
      <c r="P60" s="108">
        <f>'ARCHIVE_Operating Budget'!P60</f>
        <v>750</v>
      </c>
      <c r="Q60" s="108">
        <f>'ARCHIVE_Operating Budget'!Q60</f>
        <v>750</v>
      </c>
      <c r="R60" s="108">
        <f>'ARCHIVE_Operating Budget'!R60</f>
        <v>750</v>
      </c>
      <c r="S60" s="108">
        <f>'ARCHIVE_Operating Budget'!S60</f>
        <v>750</v>
      </c>
      <c r="T60" s="108">
        <f>'ARCHIVE_Operating Budget'!T60</f>
        <v>750</v>
      </c>
      <c r="U60" s="108">
        <f>'ARCHIVE_Operating Budget'!U60</f>
        <v>750</v>
      </c>
      <c r="V60" s="108">
        <f>'ARCHIVE_Operating Budget'!V60</f>
        <v>750</v>
      </c>
      <c r="W60" s="108">
        <f>'ARCHIVE_Operating Budget'!W60</f>
        <v>750</v>
      </c>
      <c r="X60" s="108">
        <f>'ARCHIVE_Operating Budget'!X60</f>
        <v>750</v>
      </c>
      <c r="Y60" s="108">
        <f>'ARCHIVE_Operating Budget'!Y60</f>
        <v>750</v>
      </c>
      <c r="Z60" s="108">
        <f>'ARCHIVE_Operating Budget'!Z60</f>
        <v>750</v>
      </c>
      <c r="AA60" s="108">
        <f>'ARCHIVE_Operating Budget'!AA60</f>
        <v>750</v>
      </c>
      <c r="AB60" s="108">
        <f>'ARCHIVE_Operating Budget'!AB60</f>
        <v>750</v>
      </c>
      <c r="AC60" s="108">
        <f>'ARCHIVE_Operating Budget'!AC60</f>
        <v>750</v>
      </c>
      <c r="AD60" s="108">
        <f>'ARCHIVE_Operating Budget'!AD60</f>
        <v>750</v>
      </c>
      <c r="AE60" s="108">
        <f>'ARCHIVE_Operating Budget'!AE60</f>
        <v>750</v>
      </c>
      <c r="AF60" s="108">
        <f>'ARCHIVE_Operating Budget'!AF60</f>
        <v>750</v>
      </c>
      <c r="AG60" s="108">
        <f>'ARCHIVE_Operating Budget'!AG60</f>
        <v>750</v>
      </c>
      <c r="AH60" s="108">
        <f>'ARCHIVE_Operating Budget'!AH60</f>
        <v>750</v>
      </c>
      <c r="AI60" s="108">
        <f>'ARCHIVE_Operating Budget'!AI60</f>
        <v>750</v>
      </c>
      <c r="AJ60" s="108">
        <f>'ARCHIVE_Operating Budget'!AJ60</f>
        <v>750</v>
      </c>
      <c r="AK60" s="108">
        <f>'ARCHIVE_Operating Budget'!AK60</f>
        <v>750</v>
      </c>
      <c r="AL60" s="108">
        <f>'ARCHIVE_Operating Budget'!AL60</f>
        <v>750</v>
      </c>
      <c r="AM60" s="108">
        <f>'ARCHIVE_Operating Budget'!AM60</f>
        <v>750</v>
      </c>
      <c r="AN60" s="108">
        <f>'ARCHIVE_Operating Budget'!AN60</f>
        <v>750</v>
      </c>
      <c r="AO60" s="108">
        <f>'ARCHIVE_Operating Budget'!AO60</f>
        <v>750</v>
      </c>
      <c r="AP60" s="102">
        <f>'ARCHIVE_Operating Budget'!AP60</f>
        <v>2.0442937374841425E-4</v>
      </c>
    </row>
    <row r="61" spans="1:42" x14ac:dyDescent="0.2">
      <c r="A61" s="104" t="s">
        <v>571</v>
      </c>
      <c r="B61" s="175">
        <v>65006</v>
      </c>
      <c r="C61" s="108">
        <f>'ARCHIVE_Operating Budget'!C61</f>
        <v>1125</v>
      </c>
      <c r="D61" s="108">
        <f>'ARCHIVE_Operating Budget'!D61</f>
        <v>1275</v>
      </c>
      <c r="E61" s="108">
        <f>'ARCHIVE_Operating Budget'!E61</f>
        <v>1350</v>
      </c>
      <c r="F61" s="108">
        <f>'ARCHIVE_Operating Budget'!F61</f>
        <v>1500</v>
      </c>
      <c r="G61" s="108">
        <f>'ARCHIVE_Operating Budget'!G61</f>
        <v>1650</v>
      </c>
      <c r="H61" s="108">
        <f>'ARCHIVE_Operating Budget'!H61</f>
        <v>1725</v>
      </c>
      <c r="I61" s="108">
        <f>'ARCHIVE_Operating Budget'!I61</f>
        <v>1875</v>
      </c>
      <c r="J61" s="108">
        <f>'ARCHIVE_Operating Budget'!J61</f>
        <v>1950</v>
      </c>
      <c r="K61" s="108">
        <f>'ARCHIVE_Operating Budget'!K61</f>
        <v>2100</v>
      </c>
      <c r="L61" s="108">
        <f>'ARCHIVE_Operating Budget'!L61</f>
        <v>2250</v>
      </c>
      <c r="M61" s="108">
        <f>'ARCHIVE_Operating Budget'!M61</f>
        <v>2325</v>
      </c>
      <c r="N61" s="108">
        <f>'ARCHIVE_Operating Budget'!N61</f>
        <v>2475</v>
      </c>
      <c r="O61" s="108">
        <f>'ARCHIVE_Operating Budget'!O61</f>
        <v>2550</v>
      </c>
      <c r="P61" s="108">
        <f>'ARCHIVE_Operating Budget'!P61</f>
        <v>2700</v>
      </c>
      <c r="Q61" s="108">
        <f>'ARCHIVE_Operating Budget'!Q61</f>
        <v>2775</v>
      </c>
      <c r="R61" s="108">
        <f>'ARCHIVE_Operating Budget'!R61</f>
        <v>2925</v>
      </c>
      <c r="S61" s="108">
        <f>'ARCHIVE_Operating Budget'!S61</f>
        <v>3000</v>
      </c>
      <c r="T61" s="108">
        <f>'ARCHIVE_Operating Budget'!T61</f>
        <v>3150</v>
      </c>
      <c r="U61" s="108">
        <f>'ARCHIVE_Operating Budget'!U61</f>
        <v>3225</v>
      </c>
      <c r="V61" s="108">
        <f>'ARCHIVE_Operating Budget'!V61</f>
        <v>3300</v>
      </c>
      <c r="W61" s="108">
        <f>'ARCHIVE_Operating Budget'!W61</f>
        <v>3450</v>
      </c>
      <c r="X61" s="108">
        <f>'ARCHIVE_Operating Budget'!X61</f>
        <v>3525</v>
      </c>
      <c r="Y61" s="108">
        <f>'ARCHIVE_Operating Budget'!Y61</f>
        <v>3675</v>
      </c>
      <c r="Z61" s="108">
        <f>'ARCHIVE_Operating Budget'!Z61</f>
        <v>3750</v>
      </c>
      <c r="AA61" s="108">
        <f>'ARCHIVE_Operating Budget'!AA61</f>
        <v>3825</v>
      </c>
      <c r="AB61" s="108">
        <f>'ARCHIVE_Operating Budget'!AB61</f>
        <v>3900</v>
      </c>
      <c r="AC61" s="108">
        <f>'ARCHIVE_Operating Budget'!AC61</f>
        <v>3900</v>
      </c>
      <c r="AD61" s="108">
        <f>'ARCHIVE_Operating Budget'!AD61</f>
        <v>3975</v>
      </c>
      <c r="AE61" s="108">
        <f>'ARCHIVE_Operating Budget'!AE61</f>
        <v>4050</v>
      </c>
      <c r="AF61" s="108">
        <f>'ARCHIVE_Operating Budget'!AF61</f>
        <v>4125</v>
      </c>
      <c r="AG61" s="108">
        <f>'ARCHIVE_Operating Budget'!AG61</f>
        <v>4200</v>
      </c>
      <c r="AH61" s="108">
        <f>'ARCHIVE_Operating Budget'!AH61</f>
        <v>4275</v>
      </c>
      <c r="AI61" s="108">
        <f>'ARCHIVE_Operating Budget'!AI61</f>
        <v>4350</v>
      </c>
      <c r="AJ61" s="108">
        <f>'ARCHIVE_Operating Budget'!AJ61</f>
        <v>4350</v>
      </c>
      <c r="AK61" s="108">
        <f>'ARCHIVE_Operating Budget'!AK61</f>
        <v>4425</v>
      </c>
      <c r="AL61" s="108">
        <f>'ARCHIVE_Operating Budget'!AL61</f>
        <v>4500</v>
      </c>
      <c r="AM61" s="108">
        <f>'ARCHIVE_Operating Budget'!AM61</f>
        <v>1000</v>
      </c>
      <c r="AN61" s="108">
        <f>'ARCHIVE_Operating Budget'!AN61</f>
        <v>1000</v>
      </c>
      <c r="AO61" s="108">
        <f>'ARCHIVE_Operating Budget'!AO61</f>
        <v>1000</v>
      </c>
      <c r="AP61" s="102">
        <f>'ARCHIVE_Operating Budget'!AP61</f>
        <v>2.7257249833121896E-4</v>
      </c>
    </row>
    <row r="62" spans="1:42" x14ac:dyDescent="0.2">
      <c r="A62" s="104" t="s">
        <v>572</v>
      </c>
      <c r="B62" s="175">
        <v>68001</v>
      </c>
      <c r="C62" s="108">
        <f>'ARCHIVE_Operating Budget'!C62</f>
        <v>1200</v>
      </c>
      <c r="D62" s="108">
        <f>'ARCHIVE_Operating Budget'!D62</f>
        <v>1200</v>
      </c>
      <c r="E62" s="108">
        <f>'ARCHIVE_Operating Budget'!E62</f>
        <v>1200</v>
      </c>
      <c r="F62" s="108">
        <f>'ARCHIVE_Operating Budget'!F62</f>
        <v>1200</v>
      </c>
      <c r="G62" s="108">
        <f>'ARCHIVE_Operating Budget'!G62</f>
        <v>1200</v>
      </c>
      <c r="H62" s="108">
        <f>'ARCHIVE_Operating Budget'!H62</f>
        <v>1200</v>
      </c>
      <c r="I62" s="108">
        <f>'ARCHIVE_Operating Budget'!I62</f>
        <v>1200</v>
      </c>
      <c r="J62" s="108">
        <f>'ARCHIVE_Operating Budget'!J62</f>
        <v>1200</v>
      </c>
      <c r="K62" s="108">
        <f>'ARCHIVE_Operating Budget'!K62</f>
        <v>1200</v>
      </c>
      <c r="L62" s="108">
        <f>'ARCHIVE_Operating Budget'!L62</f>
        <v>1200</v>
      </c>
      <c r="M62" s="108">
        <f>'ARCHIVE_Operating Budget'!M62</f>
        <v>1200</v>
      </c>
      <c r="N62" s="108">
        <f>'ARCHIVE_Operating Budget'!N62</f>
        <v>1200</v>
      </c>
      <c r="O62" s="108">
        <f>'ARCHIVE_Operating Budget'!O62</f>
        <v>1200</v>
      </c>
      <c r="P62" s="108">
        <f>'ARCHIVE_Operating Budget'!P62</f>
        <v>1200</v>
      </c>
      <c r="Q62" s="108">
        <f>'ARCHIVE_Operating Budget'!Q62</f>
        <v>1200</v>
      </c>
      <c r="R62" s="108">
        <f>'ARCHIVE_Operating Budget'!R62</f>
        <v>1200</v>
      </c>
      <c r="S62" s="108">
        <f>'ARCHIVE_Operating Budget'!S62</f>
        <v>1200</v>
      </c>
      <c r="T62" s="108">
        <f>'ARCHIVE_Operating Budget'!T62</f>
        <v>1200</v>
      </c>
      <c r="U62" s="108">
        <f>'ARCHIVE_Operating Budget'!U62</f>
        <v>1200</v>
      </c>
      <c r="V62" s="108">
        <f>'ARCHIVE_Operating Budget'!V62</f>
        <v>1200</v>
      </c>
      <c r="W62" s="108">
        <f>'ARCHIVE_Operating Budget'!W62</f>
        <v>1200</v>
      </c>
      <c r="X62" s="108">
        <f>'ARCHIVE_Operating Budget'!X62</f>
        <v>1200</v>
      </c>
      <c r="Y62" s="108">
        <f>'ARCHIVE_Operating Budget'!Y62</f>
        <v>1200</v>
      </c>
      <c r="Z62" s="108">
        <f>'ARCHIVE_Operating Budget'!Z62</f>
        <v>1200</v>
      </c>
      <c r="AA62" s="108">
        <f>'ARCHIVE_Operating Budget'!AA62</f>
        <v>1200</v>
      </c>
      <c r="AB62" s="108">
        <f>'ARCHIVE_Operating Budget'!AB62</f>
        <v>1200</v>
      </c>
      <c r="AC62" s="108">
        <f>'ARCHIVE_Operating Budget'!AC62</f>
        <v>1200</v>
      </c>
      <c r="AD62" s="108">
        <f>'ARCHIVE_Operating Budget'!AD62</f>
        <v>1200</v>
      </c>
      <c r="AE62" s="108">
        <f>'ARCHIVE_Operating Budget'!AE62</f>
        <v>1200</v>
      </c>
      <c r="AF62" s="108">
        <f>'ARCHIVE_Operating Budget'!AF62</f>
        <v>1200</v>
      </c>
      <c r="AG62" s="108">
        <f>'ARCHIVE_Operating Budget'!AG62</f>
        <v>1200</v>
      </c>
      <c r="AH62" s="108">
        <f>'ARCHIVE_Operating Budget'!AH62</f>
        <v>1200</v>
      </c>
      <c r="AI62" s="108">
        <f>'ARCHIVE_Operating Budget'!AI62</f>
        <v>1200</v>
      </c>
      <c r="AJ62" s="108">
        <f>'ARCHIVE_Operating Budget'!AJ62</f>
        <v>1200</v>
      </c>
      <c r="AK62" s="108">
        <f>'ARCHIVE_Operating Budget'!AK62</f>
        <v>1200</v>
      </c>
      <c r="AL62" s="108">
        <f>'ARCHIVE_Operating Budget'!AL62</f>
        <v>1200</v>
      </c>
      <c r="AM62" s="108">
        <f>'ARCHIVE_Operating Budget'!AM62</f>
        <v>1200</v>
      </c>
      <c r="AN62" s="108">
        <f>'ARCHIVE_Operating Budget'!AN62</f>
        <v>1200</v>
      </c>
      <c r="AO62" s="108">
        <f>'ARCHIVE_Operating Budget'!AO62</f>
        <v>1200</v>
      </c>
      <c r="AP62" s="102">
        <f>'ARCHIVE_Operating Budget'!AP62</f>
        <v>3.2708699799746281E-4</v>
      </c>
    </row>
    <row r="63" spans="1:42" x14ac:dyDescent="0.2">
      <c r="A63" s="104" t="s">
        <v>573</v>
      </c>
      <c r="B63" s="175">
        <v>68050</v>
      </c>
      <c r="C63" s="108">
        <f>'ARCHIVE_Operating Budget'!C63</f>
        <v>800</v>
      </c>
      <c r="D63" s="108">
        <f>'ARCHIVE_Operating Budget'!D63</f>
        <v>800</v>
      </c>
      <c r="E63" s="108">
        <f>'ARCHIVE_Operating Budget'!E63</f>
        <v>800</v>
      </c>
      <c r="F63" s="108">
        <f>'ARCHIVE_Operating Budget'!F63</f>
        <v>800</v>
      </c>
      <c r="G63" s="108">
        <f>'ARCHIVE_Operating Budget'!G63</f>
        <v>800</v>
      </c>
      <c r="H63" s="108">
        <f>'ARCHIVE_Operating Budget'!H63</f>
        <v>800</v>
      </c>
      <c r="I63" s="108">
        <f>'ARCHIVE_Operating Budget'!I63</f>
        <v>800</v>
      </c>
      <c r="J63" s="108">
        <f>'ARCHIVE_Operating Budget'!J63</f>
        <v>800</v>
      </c>
      <c r="K63" s="108">
        <f>'ARCHIVE_Operating Budget'!K63</f>
        <v>800</v>
      </c>
      <c r="L63" s="108">
        <f>'ARCHIVE_Operating Budget'!L63</f>
        <v>800</v>
      </c>
      <c r="M63" s="108">
        <f>'ARCHIVE_Operating Budget'!M63</f>
        <v>800</v>
      </c>
      <c r="N63" s="108">
        <f>'ARCHIVE_Operating Budget'!N63</f>
        <v>800</v>
      </c>
      <c r="O63" s="108">
        <f>'ARCHIVE_Operating Budget'!O63</f>
        <v>800</v>
      </c>
      <c r="P63" s="108">
        <f>'ARCHIVE_Operating Budget'!P63</f>
        <v>800</v>
      </c>
      <c r="Q63" s="108">
        <f>'ARCHIVE_Operating Budget'!Q63</f>
        <v>800</v>
      </c>
      <c r="R63" s="108">
        <f>'ARCHIVE_Operating Budget'!R63</f>
        <v>800</v>
      </c>
      <c r="S63" s="108">
        <f>'ARCHIVE_Operating Budget'!S63</f>
        <v>800</v>
      </c>
      <c r="T63" s="108">
        <f>'ARCHIVE_Operating Budget'!T63</f>
        <v>800</v>
      </c>
      <c r="U63" s="108">
        <f>'ARCHIVE_Operating Budget'!U63</f>
        <v>800</v>
      </c>
      <c r="V63" s="108">
        <f>'ARCHIVE_Operating Budget'!V63</f>
        <v>800</v>
      </c>
      <c r="W63" s="108">
        <f>'ARCHIVE_Operating Budget'!W63</f>
        <v>800</v>
      </c>
      <c r="X63" s="108">
        <f>'ARCHIVE_Operating Budget'!X63</f>
        <v>800</v>
      </c>
      <c r="Y63" s="108">
        <f>'ARCHIVE_Operating Budget'!Y63</f>
        <v>800</v>
      </c>
      <c r="Z63" s="108">
        <f>'ARCHIVE_Operating Budget'!Z63</f>
        <v>800</v>
      </c>
      <c r="AA63" s="108">
        <f>'ARCHIVE_Operating Budget'!AA63</f>
        <v>800</v>
      </c>
      <c r="AB63" s="108">
        <f>'ARCHIVE_Operating Budget'!AB63</f>
        <v>800</v>
      </c>
      <c r="AC63" s="108">
        <f>'ARCHIVE_Operating Budget'!AC63</f>
        <v>800</v>
      </c>
      <c r="AD63" s="108">
        <f>'ARCHIVE_Operating Budget'!AD63</f>
        <v>800</v>
      </c>
      <c r="AE63" s="108">
        <f>'ARCHIVE_Operating Budget'!AE63</f>
        <v>800</v>
      </c>
      <c r="AF63" s="108">
        <f>'ARCHIVE_Operating Budget'!AF63</f>
        <v>800</v>
      </c>
      <c r="AG63" s="108">
        <f>'ARCHIVE_Operating Budget'!AG63</f>
        <v>800</v>
      </c>
      <c r="AH63" s="108">
        <f>'ARCHIVE_Operating Budget'!AH63</f>
        <v>800</v>
      </c>
      <c r="AI63" s="108">
        <f>'ARCHIVE_Operating Budget'!AI63</f>
        <v>800</v>
      </c>
      <c r="AJ63" s="108">
        <f>'ARCHIVE_Operating Budget'!AJ63</f>
        <v>800</v>
      </c>
      <c r="AK63" s="108">
        <f>'ARCHIVE_Operating Budget'!AK63</f>
        <v>800</v>
      </c>
      <c r="AL63" s="108">
        <f>'ARCHIVE_Operating Budget'!AL63</f>
        <v>800</v>
      </c>
      <c r="AM63" s="108">
        <f>'ARCHIVE_Operating Budget'!AM63</f>
        <v>800</v>
      </c>
      <c r="AN63" s="108">
        <f>'ARCHIVE_Operating Budget'!AN63</f>
        <v>800</v>
      </c>
      <c r="AO63" s="108">
        <f>'ARCHIVE_Operating Budget'!AO63</f>
        <v>800</v>
      </c>
      <c r="AP63" s="102">
        <f>'ARCHIVE_Operating Budget'!AP63</f>
        <v>2.180579986649752E-4</v>
      </c>
    </row>
    <row r="64" spans="1:42" x14ac:dyDescent="0.2">
      <c r="A64" s="104" t="s">
        <v>574</v>
      </c>
      <c r="B64" s="175">
        <v>66500</v>
      </c>
      <c r="C64" s="108">
        <f>'ARCHIVE_Operating Budget'!C64</f>
        <v>500</v>
      </c>
      <c r="D64" s="108">
        <f>'ARCHIVE_Operating Budget'!D64</f>
        <v>500</v>
      </c>
      <c r="E64" s="108">
        <f>'ARCHIVE_Operating Budget'!E64</f>
        <v>500</v>
      </c>
      <c r="F64" s="108">
        <f>'ARCHIVE_Operating Budget'!F64</f>
        <v>500</v>
      </c>
      <c r="G64" s="108">
        <f>'ARCHIVE_Operating Budget'!G64</f>
        <v>500</v>
      </c>
      <c r="H64" s="108">
        <f>'ARCHIVE_Operating Budget'!H64</f>
        <v>500</v>
      </c>
      <c r="I64" s="108">
        <f>'ARCHIVE_Operating Budget'!I64</f>
        <v>500</v>
      </c>
      <c r="J64" s="108">
        <f>'ARCHIVE_Operating Budget'!J64</f>
        <v>500</v>
      </c>
      <c r="K64" s="108">
        <f>'ARCHIVE_Operating Budget'!K64</f>
        <v>500</v>
      </c>
      <c r="L64" s="108">
        <f>'ARCHIVE_Operating Budget'!L64</f>
        <v>500</v>
      </c>
      <c r="M64" s="108">
        <f>'ARCHIVE_Operating Budget'!M64</f>
        <v>500</v>
      </c>
      <c r="N64" s="108">
        <f>'ARCHIVE_Operating Budget'!N64</f>
        <v>500</v>
      </c>
      <c r="O64" s="108">
        <f>'ARCHIVE_Operating Budget'!O64</f>
        <v>500</v>
      </c>
      <c r="P64" s="108">
        <f>'ARCHIVE_Operating Budget'!P64</f>
        <v>500</v>
      </c>
      <c r="Q64" s="108">
        <f>'ARCHIVE_Operating Budget'!Q64</f>
        <v>500</v>
      </c>
      <c r="R64" s="108">
        <f>'ARCHIVE_Operating Budget'!R64</f>
        <v>500</v>
      </c>
      <c r="S64" s="108">
        <f>'ARCHIVE_Operating Budget'!S64</f>
        <v>500</v>
      </c>
      <c r="T64" s="108">
        <f>'ARCHIVE_Operating Budget'!T64</f>
        <v>500</v>
      </c>
      <c r="U64" s="108">
        <f>'ARCHIVE_Operating Budget'!U64</f>
        <v>500</v>
      </c>
      <c r="V64" s="108">
        <f>'ARCHIVE_Operating Budget'!V64</f>
        <v>500</v>
      </c>
      <c r="W64" s="108">
        <f>'ARCHIVE_Operating Budget'!W64</f>
        <v>500</v>
      </c>
      <c r="X64" s="108">
        <f>'ARCHIVE_Operating Budget'!X64</f>
        <v>500</v>
      </c>
      <c r="Y64" s="108">
        <f>'ARCHIVE_Operating Budget'!Y64</f>
        <v>500</v>
      </c>
      <c r="Z64" s="108">
        <f>'ARCHIVE_Operating Budget'!Z64</f>
        <v>500</v>
      </c>
      <c r="AA64" s="108">
        <f>'ARCHIVE_Operating Budget'!AA64</f>
        <v>500</v>
      </c>
      <c r="AB64" s="108">
        <f>'ARCHIVE_Operating Budget'!AB64</f>
        <v>500</v>
      </c>
      <c r="AC64" s="108">
        <f>'ARCHIVE_Operating Budget'!AC64</f>
        <v>500</v>
      </c>
      <c r="AD64" s="108">
        <f>'ARCHIVE_Operating Budget'!AD64</f>
        <v>500</v>
      </c>
      <c r="AE64" s="108">
        <f>'ARCHIVE_Operating Budget'!AE64</f>
        <v>500</v>
      </c>
      <c r="AF64" s="108">
        <f>'ARCHIVE_Operating Budget'!AF64</f>
        <v>500</v>
      </c>
      <c r="AG64" s="108">
        <f>'ARCHIVE_Operating Budget'!AG64</f>
        <v>500</v>
      </c>
      <c r="AH64" s="108">
        <f>'ARCHIVE_Operating Budget'!AH64</f>
        <v>500</v>
      </c>
      <c r="AI64" s="108">
        <f>'ARCHIVE_Operating Budget'!AI64</f>
        <v>500</v>
      </c>
      <c r="AJ64" s="108">
        <f>'ARCHIVE_Operating Budget'!AJ64</f>
        <v>500</v>
      </c>
      <c r="AK64" s="108">
        <f>'ARCHIVE_Operating Budget'!AK64</f>
        <v>500</v>
      </c>
      <c r="AL64" s="108">
        <f>'ARCHIVE_Operating Budget'!AL64</f>
        <v>500</v>
      </c>
      <c r="AM64" s="108">
        <f>'ARCHIVE_Operating Budget'!AM64</f>
        <v>500</v>
      </c>
      <c r="AN64" s="108">
        <f>'ARCHIVE_Operating Budget'!AN64</f>
        <v>500</v>
      </c>
      <c r="AO64" s="108">
        <f>'ARCHIVE_Operating Budget'!AO64</f>
        <v>500</v>
      </c>
      <c r="AP64" s="102">
        <f>'ARCHIVE_Operating Budget'!AP64</f>
        <v>1.3628624916560948E-4</v>
      </c>
    </row>
    <row r="65" spans="1:42" x14ac:dyDescent="0.2">
      <c r="A65" s="104" t="s">
        <v>575</v>
      </c>
      <c r="B65" s="175">
        <v>61500</v>
      </c>
      <c r="C65" s="108">
        <f>'ARCHIVE_Operating Budget'!C65</f>
        <v>600</v>
      </c>
      <c r="D65" s="108">
        <f>'ARCHIVE_Operating Budget'!D65</f>
        <v>600</v>
      </c>
      <c r="E65" s="108">
        <f>'ARCHIVE_Operating Budget'!E65</f>
        <v>600</v>
      </c>
      <c r="F65" s="108">
        <f>'ARCHIVE_Operating Budget'!F65</f>
        <v>600</v>
      </c>
      <c r="G65" s="108">
        <f>'ARCHIVE_Operating Budget'!G65</f>
        <v>600</v>
      </c>
      <c r="H65" s="108">
        <f>'ARCHIVE_Operating Budget'!H65</f>
        <v>600</v>
      </c>
      <c r="I65" s="108">
        <f>'ARCHIVE_Operating Budget'!I65</f>
        <v>600</v>
      </c>
      <c r="J65" s="108">
        <f>'ARCHIVE_Operating Budget'!J65</f>
        <v>600</v>
      </c>
      <c r="K65" s="108">
        <f>'ARCHIVE_Operating Budget'!K65</f>
        <v>600</v>
      </c>
      <c r="L65" s="108">
        <f>'ARCHIVE_Operating Budget'!L65</f>
        <v>600</v>
      </c>
      <c r="M65" s="108">
        <f>'ARCHIVE_Operating Budget'!M65</f>
        <v>600</v>
      </c>
      <c r="N65" s="108">
        <f>'ARCHIVE_Operating Budget'!N65</f>
        <v>600</v>
      </c>
      <c r="O65" s="108">
        <f>'ARCHIVE_Operating Budget'!O65</f>
        <v>600</v>
      </c>
      <c r="P65" s="108">
        <f>'ARCHIVE_Operating Budget'!P65</f>
        <v>600</v>
      </c>
      <c r="Q65" s="108">
        <f>'ARCHIVE_Operating Budget'!Q65</f>
        <v>600</v>
      </c>
      <c r="R65" s="108">
        <f>'ARCHIVE_Operating Budget'!R65</f>
        <v>600</v>
      </c>
      <c r="S65" s="108">
        <f>'ARCHIVE_Operating Budget'!S65</f>
        <v>600</v>
      </c>
      <c r="T65" s="108">
        <f>'ARCHIVE_Operating Budget'!T65</f>
        <v>600</v>
      </c>
      <c r="U65" s="108">
        <f>'ARCHIVE_Operating Budget'!U65</f>
        <v>600</v>
      </c>
      <c r="V65" s="108">
        <f>'ARCHIVE_Operating Budget'!V65</f>
        <v>600</v>
      </c>
      <c r="W65" s="108">
        <f>'ARCHIVE_Operating Budget'!W65</f>
        <v>600</v>
      </c>
      <c r="X65" s="108">
        <f>'ARCHIVE_Operating Budget'!X65</f>
        <v>600</v>
      </c>
      <c r="Y65" s="108">
        <f>'ARCHIVE_Operating Budget'!Y65</f>
        <v>600</v>
      </c>
      <c r="Z65" s="108">
        <f>'ARCHIVE_Operating Budget'!Z65</f>
        <v>600</v>
      </c>
      <c r="AA65" s="108">
        <f>'ARCHIVE_Operating Budget'!AA65</f>
        <v>600</v>
      </c>
      <c r="AB65" s="108">
        <f>'ARCHIVE_Operating Budget'!AB65</f>
        <v>600</v>
      </c>
      <c r="AC65" s="108">
        <f>'ARCHIVE_Operating Budget'!AC65</f>
        <v>600</v>
      </c>
      <c r="AD65" s="108">
        <f>'ARCHIVE_Operating Budget'!AD65</f>
        <v>600</v>
      </c>
      <c r="AE65" s="108">
        <f>'ARCHIVE_Operating Budget'!AE65</f>
        <v>600</v>
      </c>
      <c r="AF65" s="108">
        <f>'ARCHIVE_Operating Budget'!AF65</f>
        <v>600</v>
      </c>
      <c r="AG65" s="108">
        <f>'ARCHIVE_Operating Budget'!AG65</f>
        <v>600</v>
      </c>
      <c r="AH65" s="108">
        <f>'ARCHIVE_Operating Budget'!AH65</f>
        <v>600</v>
      </c>
      <c r="AI65" s="108">
        <f>'ARCHIVE_Operating Budget'!AI65</f>
        <v>600</v>
      </c>
      <c r="AJ65" s="108">
        <f>'ARCHIVE_Operating Budget'!AJ65</f>
        <v>600</v>
      </c>
      <c r="AK65" s="108">
        <f>'ARCHIVE_Operating Budget'!AK65</f>
        <v>600</v>
      </c>
      <c r="AL65" s="108">
        <f>'ARCHIVE_Operating Budget'!AL65</f>
        <v>600</v>
      </c>
      <c r="AM65" s="108">
        <f>'ARCHIVE_Operating Budget'!AM65</f>
        <v>600</v>
      </c>
      <c r="AN65" s="108">
        <f>'ARCHIVE_Operating Budget'!AN65</f>
        <v>600</v>
      </c>
      <c r="AO65" s="108">
        <f>'ARCHIVE_Operating Budget'!AO65</f>
        <v>600</v>
      </c>
      <c r="AP65" s="102">
        <f>'ARCHIVE_Operating Budget'!AP65</f>
        <v>1.635434989987314E-4</v>
      </c>
    </row>
    <row r="66" spans="1:42" x14ac:dyDescent="0.2">
      <c r="A66" s="104" t="s">
        <v>576</v>
      </c>
      <c r="B66" s="175">
        <v>61500</v>
      </c>
      <c r="C66" s="108">
        <f>'ARCHIVE_Operating Budget'!C66</f>
        <v>600</v>
      </c>
      <c r="D66" s="108">
        <f>'ARCHIVE_Operating Budget'!D66</f>
        <v>600</v>
      </c>
      <c r="E66" s="108">
        <f>'ARCHIVE_Operating Budget'!E66</f>
        <v>600</v>
      </c>
      <c r="F66" s="108">
        <f>'ARCHIVE_Operating Budget'!F66</f>
        <v>600</v>
      </c>
      <c r="G66" s="108">
        <f>'ARCHIVE_Operating Budget'!G66</f>
        <v>600</v>
      </c>
      <c r="H66" s="108">
        <f>'ARCHIVE_Operating Budget'!H66</f>
        <v>600</v>
      </c>
      <c r="I66" s="108">
        <f>'ARCHIVE_Operating Budget'!I66</f>
        <v>600</v>
      </c>
      <c r="J66" s="108">
        <f>'ARCHIVE_Operating Budget'!J66</f>
        <v>600</v>
      </c>
      <c r="K66" s="108">
        <f>'ARCHIVE_Operating Budget'!K66</f>
        <v>600</v>
      </c>
      <c r="L66" s="108">
        <f>'ARCHIVE_Operating Budget'!L66</f>
        <v>600</v>
      </c>
      <c r="M66" s="108">
        <f>'ARCHIVE_Operating Budget'!M66</f>
        <v>600</v>
      </c>
      <c r="N66" s="108">
        <f>'ARCHIVE_Operating Budget'!N66</f>
        <v>600</v>
      </c>
      <c r="O66" s="108">
        <f>'ARCHIVE_Operating Budget'!O66</f>
        <v>600</v>
      </c>
      <c r="P66" s="108">
        <f>'ARCHIVE_Operating Budget'!P66</f>
        <v>600</v>
      </c>
      <c r="Q66" s="108">
        <f>'ARCHIVE_Operating Budget'!Q66</f>
        <v>600</v>
      </c>
      <c r="R66" s="108">
        <f>'ARCHIVE_Operating Budget'!R66</f>
        <v>600</v>
      </c>
      <c r="S66" s="108">
        <f>'ARCHIVE_Operating Budget'!S66</f>
        <v>600</v>
      </c>
      <c r="T66" s="108">
        <f>'ARCHIVE_Operating Budget'!T66</f>
        <v>600</v>
      </c>
      <c r="U66" s="108">
        <f>'ARCHIVE_Operating Budget'!U66</f>
        <v>600</v>
      </c>
      <c r="V66" s="108">
        <f>'ARCHIVE_Operating Budget'!V66</f>
        <v>600</v>
      </c>
      <c r="W66" s="108">
        <f>'ARCHIVE_Operating Budget'!W66</f>
        <v>600</v>
      </c>
      <c r="X66" s="108">
        <f>'ARCHIVE_Operating Budget'!X66</f>
        <v>600</v>
      </c>
      <c r="Y66" s="108">
        <f>'ARCHIVE_Operating Budget'!Y66</f>
        <v>600</v>
      </c>
      <c r="Z66" s="108">
        <f>'ARCHIVE_Operating Budget'!Z66</f>
        <v>600</v>
      </c>
      <c r="AA66" s="108">
        <f>'ARCHIVE_Operating Budget'!AA66</f>
        <v>600</v>
      </c>
      <c r="AB66" s="108">
        <f>'ARCHIVE_Operating Budget'!AB66</f>
        <v>600</v>
      </c>
      <c r="AC66" s="108">
        <f>'ARCHIVE_Operating Budget'!AC66</f>
        <v>600</v>
      </c>
      <c r="AD66" s="108">
        <f>'ARCHIVE_Operating Budget'!AD66</f>
        <v>600</v>
      </c>
      <c r="AE66" s="108">
        <f>'ARCHIVE_Operating Budget'!AE66</f>
        <v>600</v>
      </c>
      <c r="AF66" s="108">
        <f>'ARCHIVE_Operating Budget'!AF66</f>
        <v>600</v>
      </c>
      <c r="AG66" s="108">
        <f>'ARCHIVE_Operating Budget'!AG66</f>
        <v>600</v>
      </c>
      <c r="AH66" s="108">
        <f>'ARCHIVE_Operating Budget'!AH66</f>
        <v>600</v>
      </c>
      <c r="AI66" s="108">
        <f>'ARCHIVE_Operating Budget'!AI66</f>
        <v>600</v>
      </c>
      <c r="AJ66" s="108">
        <f>'ARCHIVE_Operating Budget'!AJ66</f>
        <v>600</v>
      </c>
      <c r="AK66" s="108">
        <f>'ARCHIVE_Operating Budget'!AK66</f>
        <v>600</v>
      </c>
      <c r="AL66" s="108">
        <f>'ARCHIVE_Operating Budget'!AL66</f>
        <v>600</v>
      </c>
      <c r="AM66" s="108">
        <f>'ARCHIVE_Operating Budget'!AM66</f>
        <v>600</v>
      </c>
      <c r="AN66" s="108">
        <f>'ARCHIVE_Operating Budget'!AN66</f>
        <v>600</v>
      </c>
      <c r="AO66" s="108">
        <f>'ARCHIVE_Operating Budget'!AO66</f>
        <v>600</v>
      </c>
      <c r="AP66" s="102">
        <f>'ARCHIVE_Operating Budget'!AP66</f>
        <v>1.635434989987314E-4</v>
      </c>
    </row>
    <row r="67" spans="1:42" x14ac:dyDescent="0.2">
      <c r="A67" s="104" t="s">
        <v>577</v>
      </c>
      <c r="B67" s="175">
        <v>65200</v>
      </c>
      <c r="C67" s="108">
        <f>'ARCHIVE_Operating Budget'!C67</f>
        <v>150</v>
      </c>
      <c r="D67" s="108">
        <f>'ARCHIVE_Operating Budget'!D67</f>
        <v>150</v>
      </c>
      <c r="E67" s="108">
        <f>'ARCHIVE_Operating Budget'!E67</f>
        <v>150</v>
      </c>
      <c r="F67" s="108">
        <f>'ARCHIVE_Operating Budget'!F67</f>
        <v>150</v>
      </c>
      <c r="G67" s="108">
        <f>'ARCHIVE_Operating Budget'!G67</f>
        <v>150</v>
      </c>
      <c r="H67" s="108">
        <f>'ARCHIVE_Operating Budget'!H67</f>
        <v>150</v>
      </c>
      <c r="I67" s="108">
        <f>'ARCHIVE_Operating Budget'!I67</f>
        <v>150</v>
      </c>
      <c r="J67" s="108">
        <f>'ARCHIVE_Operating Budget'!J67</f>
        <v>150</v>
      </c>
      <c r="K67" s="108">
        <f>'ARCHIVE_Operating Budget'!K67</f>
        <v>150</v>
      </c>
      <c r="L67" s="108">
        <f>'ARCHIVE_Operating Budget'!L67</f>
        <v>150</v>
      </c>
      <c r="M67" s="108">
        <f>'ARCHIVE_Operating Budget'!M67</f>
        <v>150</v>
      </c>
      <c r="N67" s="108">
        <f>'ARCHIVE_Operating Budget'!N67</f>
        <v>150</v>
      </c>
      <c r="O67" s="108">
        <f>'ARCHIVE_Operating Budget'!O67</f>
        <v>150</v>
      </c>
      <c r="P67" s="108">
        <f>'ARCHIVE_Operating Budget'!P67</f>
        <v>150</v>
      </c>
      <c r="Q67" s="108">
        <f>'ARCHIVE_Operating Budget'!Q67</f>
        <v>150</v>
      </c>
      <c r="R67" s="108">
        <f>'ARCHIVE_Operating Budget'!R67</f>
        <v>150</v>
      </c>
      <c r="S67" s="108">
        <f>'ARCHIVE_Operating Budget'!S67</f>
        <v>150</v>
      </c>
      <c r="T67" s="108">
        <f>'ARCHIVE_Operating Budget'!T67</f>
        <v>150</v>
      </c>
      <c r="U67" s="108">
        <f>'ARCHIVE_Operating Budget'!U67</f>
        <v>150</v>
      </c>
      <c r="V67" s="108">
        <f>'ARCHIVE_Operating Budget'!V67</f>
        <v>150</v>
      </c>
      <c r="W67" s="108">
        <f>'ARCHIVE_Operating Budget'!W67</f>
        <v>150</v>
      </c>
      <c r="X67" s="108">
        <f>'ARCHIVE_Operating Budget'!X67</f>
        <v>150</v>
      </c>
      <c r="Y67" s="108">
        <f>'ARCHIVE_Operating Budget'!Y67</f>
        <v>150</v>
      </c>
      <c r="Z67" s="108">
        <f>'ARCHIVE_Operating Budget'!Z67</f>
        <v>150</v>
      </c>
      <c r="AA67" s="108">
        <f>'ARCHIVE_Operating Budget'!AA67</f>
        <v>150</v>
      </c>
      <c r="AB67" s="108">
        <f>'ARCHIVE_Operating Budget'!AB67</f>
        <v>150</v>
      </c>
      <c r="AC67" s="108">
        <f>'ARCHIVE_Operating Budget'!AC67</f>
        <v>150</v>
      </c>
      <c r="AD67" s="108">
        <f>'ARCHIVE_Operating Budget'!AD67</f>
        <v>150</v>
      </c>
      <c r="AE67" s="108">
        <f>'ARCHIVE_Operating Budget'!AE67</f>
        <v>150</v>
      </c>
      <c r="AF67" s="108">
        <f>'ARCHIVE_Operating Budget'!AF67</f>
        <v>150</v>
      </c>
      <c r="AG67" s="108">
        <f>'ARCHIVE_Operating Budget'!AG67</f>
        <v>150</v>
      </c>
      <c r="AH67" s="108">
        <f>'ARCHIVE_Operating Budget'!AH67</f>
        <v>150</v>
      </c>
      <c r="AI67" s="108">
        <f>'ARCHIVE_Operating Budget'!AI67</f>
        <v>150</v>
      </c>
      <c r="AJ67" s="108">
        <f>'ARCHIVE_Operating Budget'!AJ67</f>
        <v>150</v>
      </c>
      <c r="AK67" s="108">
        <f>'ARCHIVE_Operating Budget'!AK67</f>
        <v>150</v>
      </c>
      <c r="AL67" s="108">
        <f>'ARCHIVE_Operating Budget'!AL67</f>
        <v>150</v>
      </c>
      <c r="AM67" s="108">
        <f>'ARCHIVE_Operating Budget'!AM67</f>
        <v>150</v>
      </c>
      <c r="AN67" s="108">
        <f>'ARCHIVE_Operating Budget'!AN67</f>
        <v>150</v>
      </c>
      <c r="AO67" s="108">
        <f>'ARCHIVE_Operating Budget'!AO67</f>
        <v>150</v>
      </c>
      <c r="AP67" s="102">
        <f>'ARCHIVE_Operating Budget'!AP67</f>
        <v>4.0885874749682851E-5</v>
      </c>
    </row>
    <row r="68" spans="1:42" x14ac:dyDescent="0.2">
      <c r="A68" s="104" t="s">
        <v>578</v>
      </c>
      <c r="B68" s="175">
        <v>65700</v>
      </c>
      <c r="C68" s="108">
        <f>'ARCHIVE_Operating Budget'!C68</f>
        <v>300</v>
      </c>
      <c r="D68" s="108">
        <f>'ARCHIVE_Operating Budget'!D68</f>
        <v>300</v>
      </c>
      <c r="E68" s="108">
        <f>'ARCHIVE_Operating Budget'!E68</f>
        <v>300</v>
      </c>
      <c r="F68" s="108">
        <f>'ARCHIVE_Operating Budget'!F68</f>
        <v>300</v>
      </c>
      <c r="G68" s="108">
        <f>'ARCHIVE_Operating Budget'!G68</f>
        <v>300</v>
      </c>
      <c r="H68" s="108">
        <f>'ARCHIVE_Operating Budget'!H68</f>
        <v>300</v>
      </c>
      <c r="I68" s="108">
        <f>'ARCHIVE_Operating Budget'!I68</f>
        <v>300</v>
      </c>
      <c r="J68" s="108">
        <f>'ARCHIVE_Operating Budget'!J68</f>
        <v>300</v>
      </c>
      <c r="K68" s="108">
        <f>'ARCHIVE_Operating Budget'!K68</f>
        <v>300</v>
      </c>
      <c r="L68" s="108">
        <f>'ARCHIVE_Operating Budget'!L68</f>
        <v>300</v>
      </c>
      <c r="M68" s="108">
        <f>'ARCHIVE_Operating Budget'!M68</f>
        <v>300</v>
      </c>
      <c r="N68" s="108">
        <f>'ARCHIVE_Operating Budget'!N68</f>
        <v>300</v>
      </c>
      <c r="O68" s="108">
        <f>'ARCHIVE_Operating Budget'!O68</f>
        <v>300</v>
      </c>
      <c r="P68" s="108">
        <f>'ARCHIVE_Operating Budget'!P68</f>
        <v>300</v>
      </c>
      <c r="Q68" s="108">
        <f>'ARCHIVE_Operating Budget'!Q68</f>
        <v>300</v>
      </c>
      <c r="R68" s="108">
        <f>'ARCHIVE_Operating Budget'!R68</f>
        <v>300</v>
      </c>
      <c r="S68" s="108">
        <f>'ARCHIVE_Operating Budget'!S68</f>
        <v>300</v>
      </c>
      <c r="T68" s="108">
        <f>'ARCHIVE_Operating Budget'!T68</f>
        <v>300</v>
      </c>
      <c r="U68" s="108">
        <f>'ARCHIVE_Operating Budget'!U68</f>
        <v>300</v>
      </c>
      <c r="V68" s="108">
        <f>'ARCHIVE_Operating Budget'!V68</f>
        <v>300</v>
      </c>
      <c r="W68" s="108">
        <f>'ARCHIVE_Operating Budget'!W68</f>
        <v>300</v>
      </c>
      <c r="X68" s="108">
        <f>'ARCHIVE_Operating Budget'!X68</f>
        <v>300</v>
      </c>
      <c r="Y68" s="108">
        <f>'ARCHIVE_Operating Budget'!Y68</f>
        <v>300</v>
      </c>
      <c r="Z68" s="108">
        <f>'ARCHIVE_Operating Budget'!Z68</f>
        <v>300</v>
      </c>
      <c r="AA68" s="108">
        <f>'ARCHIVE_Operating Budget'!AA68</f>
        <v>300</v>
      </c>
      <c r="AB68" s="108">
        <f>'ARCHIVE_Operating Budget'!AB68</f>
        <v>300</v>
      </c>
      <c r="AC68" s="108">
        <f>'ARCHIVE_Operating Budget'!AC68</f>
        <v>300</v>
      </c>
      <c r="AD68" s="108">
        <f>'ARCHIVE_Operating Budget'!AD68</f>
        <v>300</v>
      </c>
      <c r="AE68" s="108">
        <f>'ARCHIVE_Operating Budget'!AE68</f>
        <v>300</v>
      </c>
      <c r="AF68" s="108">
        <f>'ARCHIVE_Operating Budget'!AF68</f>
        <v>300</v>
      </c>
      <c r="AG68" s="108">
        <f>'ARCHIVE_Operating Budget'!AG68</f>
        <v>300</v>
      </c>
      <c r="AH68" s="108">
        <f>'ARCHIVE_Operating Budget'!AH68</f>
        <v>300</v>
      </c>
      <c r="AI68" s="108">
        <f>'ARCHIVE_Operating Budget'!AI68</f>
        <v>300</v>
      </c>
      <c r="AJ68" s="108">
        <f>'ARCHIVE_Operating Budget'!AJ68</f>
        <v>300</v>
      </c>
      <c r="AK68" s="108">
        <f>'ARCHIVE_Operating Budget'!AK68</f>
        <v>300</v>
      </c>
      <c r="AL68" s="108">
        <f>'ARCHIVE_Operating Budget'!AL68</f>
        <v>300</v>
      </c>
      <c r="AM68" s="108">
        <f>'ARCHIVE_Operating Budget'!AM68</f>
        <v>300</v>
      </c>
      <c r="AN68" s="108">
        <f>'ARCHIVE_Operating Budget'!AN68</f>
        <v>300</v>
      </c>
      <c r="AO68" s="108">
        <f>'ARCHIVE_Operating Budget'!AO68</f>
        <v>300</v>
      </c>
      <c r="AP68" s="102">
        <f>'ARCHIVE_Operating Budget'!AP68</f>
        <v>8.1771749499365702E-5</v>
      </c>
    </row>
    <row r="69" spans="1:42" x14ac:dyDescent="0.2">
      <c r="A69" s="110" t="s">
        <v>579</v>
      </c>
      <c r="B69" s="175"/>
      <c r="C69" s="111">
        <f>'ARCHIVE_Operating Budget'!C69</f>
        <v>15808</v>
      </c>
      <c r="D69" s="111">
        <f>'ARCHIVE_Operating Budget'!D69</f>
        <v>15958</v>
      </c>
      <c r="E69" s="111">
        <f>'ARCHIVE_Operating Budget'!E69</f>
        <v>16033</v>
      </c>
      <c r="F69" s="111">
        <f>'ARCHIVE_Operating Budget'!F69</f>
        <v>16183</v>
      </c>
      <c r="G69" s="111">
        <f>'ARCHIVE_Operating Budget'!G69</f>
        <v>16333</v>
      </c>
      <c r="H69" s="111">
        <f>'ARCHIVE_Operating Budget'!H69</f>
        <v>16408</v>
      </c>
      <c r="I69" s="111">
        <f>'ARCHIVE_Operating Budget'!I69</f>
        <v>16558</v>
      </c>
      <c r="J69" s="111">
        <f>'ARCHIVE_Operating Budget'!J69</f>
        <v>16633</v>
      </c>
      <c r="K69" s="111">
        <f>'ARCHIVE_Operating Budget'!K69</f>
        <v>16783</v>
      </c>
      <c r="L69" s="111">
        <f>'ARCHIVE_Operating Budget'!L69</f>
        <v>16933</v>
      </c>
      <c r="M69" s="111">
        <f>'ARCHIVE_Operating Budget'!M69</f>
        <v>17008</v>
      </c>
      <c r="N69" s="111">
        <f>'ARCHIVE_Operating Budget'!N69</f>
        <v>17158</v>
      </c>
      <c r="O69" s="111">
        <f>'ARCHIVE_Operating Budget'!O69</f>
        <v>17233</v>
      </c>
      <c r="P69" s="111">
        <f>'ARCHIVE_Operating Budget'!P69</f>
        <v>17383</v>
      </c>
      <c r="Q69" s="111">
        <f>'ARCHIVE_Operating Budget'!Q69</f>
        <v>17458</v>
      </c>
      <c r="R69" s="111">
        <f>'ARCHIVE_Operating Budget'!R69</f>
        <v>17608</v>
      </c>
      <c r="S69" s="111">
        <f>'ARCHIVE_Operating Budget'!S69</f>
        <v>17683</v>
      </c>
      <c r="T69" s="111">
        <f>'ARCHIVE_Operating Budget'!T69</f>
        <v>17833</v>
      </c>
      <c r="U69" s="111">
        <f>'ARCHIVE_Operating Budget'!U69</f>
        <v>17908</v>
      </c>
      <c r="V69" s="111">
        <f>'ARCHIVE_Operating Budget'!V69</f>
        <v>17983</v>
      </c>
      <c r="W69" s="111">
        <f>'ARCHIVE_Operating Budget'!W69</f>
        <v>18133</v>
      </c>
      <c r="X69" s="111">
        <f>'ARCHIVE_Operating Budget'!X69</f>
        <v>18208</v>
      </c>
      <c r="Y69" s="111">
        <f>'ARCHIVE_Operating Budget'!Y69</f>
        <v>18358</v>
      </c>
      <c r="Z69" s="111">
        <f>'ARCHIVE_Operating Budget'!Z69</f>
        <v>18433</v>
      </c>
      <c r="AA69" s="111">
        <f>'ARCHIVE_Operating Budget'!AA69</f>
        <v>18508</v>
      </c>
      <c r="AB69" s="111">
        <f>'ARCHIVE_Operating Budget'!AB69</f>
        <v>18583</v>
      </c>
      <c r="AC69" s="111">
        <f>'ARCHIVE_Operating Budget'!AC69</f>
        <v>18583</v>
      </c>
      <c r="AD69" s="111">
        <f>'ARCHIVE_Operating Budget'!AD69</f>
        <v>18658</v>
      </c>
      <c r="AE69" s="111">
        <f>'ARCHIVE_Operating Budget'!AE69</f>
        <v>18733</v>
      </c>
      <c r="AF69" s="111">
        <f>'ARCHIVE_Operating Budget'!AF69</f>
        <v>18808</v>
      </c>
      <c r="AG69" s="111">
        <f>'ARCHIVE_Operating Budget'!AG69</f>
        <v>18883</v>
      </c>
      <c r="AH69" s="111">
        <f>'ARCHIVE_Operating Budget'!AH69</f>
        <v>18958</v>
      </c>
      <c r="AI69" s="111">
        <f>'ARCHIVE_Operating Budget'!AI69</f>
        <v>19033</v>
      </c>
      <c r="AJ69" s="111">
        <f>'ARCHIVE_Operating Budget'!AJ69</f>
        <v>19033</v>
      </c>
      <c r="AK69" s="111">
        <f>'ARCHIVE_Operating Budget'!AK69</f>
        <v>19108</v>
      </c>
      <c r="AL69" s="111">
        <f>'ARCHIVE_Operating Budget'!AL69</f>
        <v>19183</v>
      </c>
      <c r="AM69" s="111">
        <f>'ARCHIVE_Operating Budget'!AM69</f>
        <v>15683</v>
      </c>
      <c r="AN69" s="111">
        <f>'ARCHIVE_Operating Budget'!AN69</f>
        <v>15683</v>
      </c>
      <c r="AO69" s="111">
        <f>'ARCHIVE_Operating Budget'!AO69</f>
        <v>15683</v>
      </c>
      <c r="AP69" s="103">
        <f>'ARCHIVE_Operating Budget'!AP69</f>
        <v>4.2747544913285078E-3</v>
      </c>
    </row>
    <row r="70" spans="1:42" x14ac:dyDescent="0.2">
      <c r="A70" s="110"/>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row>
    <row r="71" spans="1:42" x14ac:dyDescent="0.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row>
    <row r="72" spans="1:42" x14ac:dyDescent="0.2">
      <c r="A72" s="105" t="s">
        <v>507</v>
      </c>
      <c r="B72" s="101"/>
      <c r="C72" s="112">
        <f>'ARCHIVE_Operating Budget'!C72</f>
        <v>35790.868063899987</v>
      </c>
      <c r="D72" s="112">
        <f>'ARCHIVE_Operating Budget'!D72</f>
        <v>51394.614887552591</v>
      </c>
      <c r="E72" s="112">
        <f>'ARCHIVE_Operating Budget'!E72</f>
        <v>63685.471269310212</v>
      </c>
      <c r="F72" s="112">
        <f>'ARCHIVE_Operating Budget'!F72</f>
        <v>63818.182595214188</v>
      </c>
      <c r="G72" s="112">
        <f>'ARCHIVE_Operating Budget'!G72</f>
        <v>63951.140968973319</v>
      </c>
      <c r="H72" s="112">
        <f>'ARCHIVE_Operating Budget'!H72</f>
        <v>64017.711149903334</v>
      </c>
      <c r="I72" s="112">
        <f>'ARCHIVE_Operating Budget'!I72</f>
        <v>64291.367396019967</v>
      </c>
      <c r="J72" s="112">
        <f>'ARCHIVE_Operating Budget'!J72</f>
        <v>64358.125303218483</v>
      </c>
      <c r="K72" s="112">
        <f>'ARCHIVE_Operating Budget'!K72</f>
        <v>64491.80416432015</v>
      </c>
      <c r="L72" s="112">
        <f>'ARCHIVE_Operating Budget'!L72</f>
        <v>64625.696860702752</v>
      </c>
      <c r="M72" s="112">
        <f>'ARCHIVE_Operating Budget'!M72</f>
        <v>64731.331583263869</v>
      </c>
      <c r="N72" s="112">
        <f>'ARCHIVE_Operating Budget'!N72</f>
        <v>64866.654099218991</v>
      </c>
      <c r="O72" s="112">
        <f>'ARCHIVE_Operating Budget'!O72</f>
        <v>66179.083274154924</v>
      </c>
      <c r="P72" s="112">
        <f>'ARCHIVE_Operating Budget'!P72</f>
        <v>66314.99980827776</v>
      </c>
      <c r="Q72" s="112">
        <f>'ARCHIVE_Operating Budget'!Q72</f>
        <v>66496.365022214624</v>
      </c>
      <c r="R72" s="112">
        <f>'ARCHIVE_Operating Budget'!R72</f>
        <v>66632.578228811195</v>
      </c>
      <c r="S72" s="112">
        <f>'ARCHIVE_Operating Budget'!S72</f>
        <v>66700.74056714421</v>
      </c>
      <c r="T72" s="112">
        <f>'ARCHIVE_Operating Budget'!T72</f>
        <v>66837.175219821889</v>
      </c>
      <c r="U72" s="112">
        <f>'ARCHIVE_Operating Budget'!U72</f>
        <v>66905.446946129858</v>
      </c>
      <c r="V72" s="112">
        <f>'ARCHIVE_Operating Budget'!V72</f>
        <v>66973.754552285813</v>
      </c>
      <c r="W72" s="112">
        <f>'ARCHIVE_Operating Budget'!W72</f>
        <v>67139.221505411464</v>
      </c>
      <c r="X72" s="112">
        <f>'ARCHIVE_Operating Budget'!X72</f>
        <v>67208.042523202166</v>
      </c>
      <c r="Y72" s="112">
        <f>'ARCHIVE_Operating Budget'!Y72</f>
        <v>67440.724020458991</v>
      </c>
      <c r="Z72" s="112">
        <f>'ARCHIVE_Operating Budget'!Z72</f>
        <v>67509.667874554623</v>
      </c>
      <c r="AA72" s="112">
        <f>'ARCHIVE_Operating Budget'!AA72</f>
        <v>68862.229217085696</v>
      </c>
      <c r="AB72" s="112">
        <f>'ARCHIVE_Operating Budget'!AB72</f>
        <v>68931.363177089224</v>
      </c>
      <c r="AC72" s="112">
        <f>'ARCHIVE_Operating Budget'!AC72</f>
        <v>68931.363177089224</v>
      </c>
      <c r="AD72" s="112">
        <f>'ARCHIVE_Operating Budget'!AD72</f>
        <v>69000.523627330753</v>
      </c>
      <c r="AE72" s="112">
        <f>'ARCHIVE_Operating Budget'!AE72</f>
        <v>69069.710388775115</v>
      </c>
      <c r="AF72" s="112">
        <f>'ARCHIVE_Operating Budget'!AF72</f>
        <v>69138.923283996788</v>
      </c>
      <c r="AG72" s="112">
        <f>'ARCHIVE_Operating Budget'!AG72</f>
        <v>69208.162137161969</v>
      </c>
      <c r="AH72" s="112">
        <f>'ARCHIVE_Operating Budget'!AH72</f>
        <v>69277.426774010732</v>
      </c>
      <c r="AI72" s="112">
        <f>'ARCHIVE_Operating Budget'!AI72</f>
        <v>69346.717021839431</v>
      </c>
      <c r="AJ72" s="112">
        <f>'ARCHIVE_Operating Budget'!AJ72</f>
        <v>69346.717021839431</v>
      </c>
      <c r="AK72" s="112">
        <f>'ARCHIVE_Operating Budget'!AK72</f>
        <v>69416.032709483377</v>
      </c>
      <c r="AL72" s="112">
        <f>'ARCHIVE_Operating Budget'!AL72</f>
        <v>69485.373667299747</v>
      </c>
      <c r="AM72" s="112">
        <f>'ARCHIVE_Operating Budget'!AM72</f>
        <v>547979.29209606198</v>
      </c>
      <c r="AN72" s="112">
        <f>'ARCHIVE_Operating Budget'!AN72</f>
        <v>603827.17690843437</v>
      </c>
      <c r="AO72" s="112">
        <f>'ARCHIVE_Operating Budget'!AO72</f>
        <v>619625.23593888513</v>
      </c>
      <c r="AP72" s="107">
        <f>'ARCHIVE_Operating Budget'!AP72</f>
        <v>0.16889279858893294</v>
      </c>
    </row>
    <row r="73" spans="1:42" x14ac:dyDescent="0.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row>
    <row r="74" spans="1:42" ht="17" thickBot="1" x14ac:dyDescent="0.25">
      <c r="A74" s="115" t="s">
        <v>409</v>
      </c>
      <c r="B74" s="101"/>
      <c r="C74" s="116">
        <f>'ARCHIVE_Operating Budget'!C74</f>
        <v>17065.358687210544</v>
      </c>
      <c r="D74" s="116">
        <f>'ARCHIVE_Operating Budget'!D74</f>
        <v>3024.0940121719395</v>
      </c>
      <c r="E74" s="116">
        <f>'ARCHIVE_Operating Budget'!E74</f>
        <v>-4422.6945753473628</v>
      </c>
      <c r="F74" s="116">
        <f>'ARCHIVE_Operating Budget'!F74</f>
        <v>4739.4469996140615</v>
      </c>
      <c r="G74" s="116">
        <f>'ARCHIVE_Operating Budget'!G74</f>
        <v>13901.588574575457</v>
      </c>
      <c r="H74" s="116">
        <f>'ARCHIVE_Operating Budget'!H74</f>
        <v>18482.659362056147</v>
      </c>
      <c r="I74" s="116">
        <f>'ARCHIVE_Operating Budget'!I74</f>
        <v>22819.129062017586</v>
      </c>
      <c r="J74" s="116">
        <f>'ARCHIVE_Operating Budget'!J74</f>
        <v>27400.199849498262</v>
      </c>
      <c r="K74" s="116">
        <f>'ARCHIVE_Operating Budget'!K74</f>
        <v>36562.341424459657</v>
      </c>
      <c r="L74" s="116">
        <f>'ARCHIVE_Operating Budget'!L74</f>
        <v>45724.482999421074</v>
      </c>
      <c r="M74" s="116">
        <f>'ARCHIVE_Operating Budget'!M74</f>
        <v>42656.741286901794</v>
      </c>
      <c r="N74" s="116">
        <f>'ARCHIVE_Operating Budget'!N74</f>
        <v>51818.882861863174</v>
      </c>
      <c r="O74" s="116">
        <f>'ARCHIVE_Operating Budget'!O74</f>
        <v>54129.750055593875</v>
      </c>
      <c r="P74" s="116">
        <f>'ARCHIVE_Operating Budget'!P74</f>
        <v>63291.891630555299</v>
      </c>
      <c r="Q74" s="116">
        <f>'ARCHIVE_Operating Budget'!Q74</f>
        <v>62917.520386786011</v>
      </c>
      <c r="R74" s="116">
        <f>'ARCHIVE_Operating Budget'!R74</f>
        <v>72079.661961747406</v>
      </c>
      <c r="S74" s="116">
        <f>'ARCHIVE_Operating Budget'!S74</f>
        <v>76660.732749228104</v>
      </c>
      <c r="T74" s="116">
        <f>'ARCHIVE_Operating Budget'!T74</f>
        <v>85822.874324189528</v>
      </c>
      <c r="U74" s="116">
        <f>'ARCHIVE_Operating Budget'!U74</f>
        <v>90403.945111670226</v>
      </c>
      <c r="V74" s="116">
        <f>'ARCHIVE_Operating Budget'!V74</f>
        <v>94985.015899150938</v>
      </c>
      <c r="W74" s="116">
        <f>'ARCHIVE_Operating Budget'!W74</f>
        <v>96283.880599112337</v>
      </c>
      <c r="X74" s="116">
        <f>'ARCHIVE_Operating Budget'!X74</f>
        <v>100864.95138659308</v>
      </c>
      <c r="Y74" s="116">
        <f>'ARCHIVE_Operating Budget'!Y74</f>
        <v>105071.65093030443</v>
      </c>
      <c r="Z74" s="116">
        <f>'ARCHIVE_Operating Budget'!Z74</f>
        <v>109652.72171778516</v>
      </c>
      <c r="AA74" s="116">
        <f>'ARCHIVE_Operating Budget'!AA74</f>
        <v>111407.25797557831</v>
      </c>
      <c r="AB74" s="116">
        <f>'ARCHIVE_Operating Budget'!AB74</f>
        <v>115988.32876305902</v>
      </c>
      <c r="AC74" s="116">
        <f>'ARCHIVE_Operating Budget'!AC74</f>
        <v>115988.32876305902</v>
      </c>
      <c r="AD74" s="116">
        <f>'ARCHIVE_Operating Budget'!AD74</f>
        <v>120569.39955053973</v>
      </c>
      <c r="AE74" s="116">
        <f>'ARCHIVE_Operating Budget'!AE74</f>
        <v>125150.47033802043</v>
      </c>
      <c r="AF74" s="116">
        <f>'ARCHIVE_Operating Budget'!AF74</f>
        <v>129731.54112550116</v>
      </c>
      <c r="AG74" s="116">
        <f>'ARCHIVE_Operating Budget'!AG74</f>
        <v>134312.61191298184</v>
      </c>
      <c r="AH74" s="116">
        <f>'ARCHIVE_Operating Budget'!AH74</f>
        <v>138893.68270046255</v>
      </c>
      <c r="AI74" s="116">
        <f>'ARCHIVE_Operating Budget'!AI74</f>
        <v>143474.75348794326</v>
      </c>
      <c r="AJ74" s="116">
        <f>'ARCHIVE_Operating Budget'!AJ74</f>
        <v>143474.75348794326</v>
      </c>
      <c r="AK74" s="116">
        <f>'ARCHIVE_Operating Budget'!AK74</f>
        <v>148055.82427542401</v>
      </c>
      <c r="AL74" s="116">
        <f>'ARCHIVE_Operating Budget'!AL74</f>
        <v>152636.89506290466</v>
      </c>
      <c r="AM74" s="116">
        <f>'ARCHIVE_Operating Budget'!AM74</f>
        <v>461885.23054444243</v>
      </c>
      <c r="AN74" s="116">
        <f>'ARCHIVE_Operating Budget'!AN74</f>
        <v>1210702.5967527162</v>
      </c>
      <c r="AO74" s="116">
        <f>'ARCHIVE_Operating Budget'!AO74</f>
        <v>1790071.8474434172</v>
      </c>
      <c r="AP74" s="176">
        <f>'ARCHIVE_Operating Budget'!AP74</f>
        <v>0.48792435565003289</v>
      </c>
    </row>
    <row r="75" spans="1:42" ht="16" thickTop="1" x14ac:dyDescent="0.2">
      <c r="A75" s="174" t="s">
        <v>580</v>
      </c>
      <c r="B75" s="2"/>
      <c r="C75" s="173">
        <f>'ARCHIVE_Operating Budget'!C75</f>
        <v>0.20621860371824985</v>
      </c>
      <c r="D75" s="173">
        <f>'ARCHIVE_Operating Budget'!D75</f>
        <v>3.2244084232783132E-2</v>
      </c>
      <c r="E75" s="173">
        <f>'ARCHIVE_Operating Budget'!E75</f>
        <v>-4.453670916607276E-2</v>
      </c>
      <c r="F75" s="173">
        <f>'ARCHIVE_Operating Budget'!F75</f>
        <v>4.2953776737324048E-2</v>
      </c>
      <c r="G75" s="173">
        <f>'ARCHIVE_Operating Budget'!G75</f>
        <v>0.11453690156737574</v>
      </c>
      <c r="H75" s="173">
        <f>'ARCHIVE_Operating Budget'!H75</f>
        <v>0.14565999931957208</v>
      </c>
      <c r="I75" s="173">
        <f>'ARCHIVE_Operating Budget'!I75</f>
        <v>0.16544846268349911</v>
      </c>
      <c r="J75" s="173">
        <f>'ARCHIVE_Operating Budget'!J75</f>
        <v>0.19102229680597566</v>
      </c>
      <c r="K75" s="173">
        <f>'ARCHIVE_Operating Budget'!K75</f>
        <v>0.23668985773896975</v>
      </c>
      <c r="L75" s="173">
        <f>'ARCHIVE_Operating Budget'!L75</f>
        <v>0.27626841054756474</v>
      </c>
      <c r="M75" s="173">
        <f>'ARCHIVE_Operating Budget'!M75</f>
        <v>0.24941907326626195</v>
      </c>
      <c r="N75" s="173">
        <f>'ARCHIVE_Operating Budget'!N75</f>
        <v>0.28462810821181528</v>
      </c>
      <c r="O75" s="173">
        <f>'ARCHIVE_Operating Budget'!O75</f>
        <v>0.28857638242511607</v>
      </c>
      <c r="P75" s="173">
        <f>'ARCHIVE_Operating Budget'!P75</f>
        <v>0.31867592506082598</v>
      </c>
      <c r="Q75" s="173">
        <f>'ARCHIVE_Operating Budget'!Q75</f>
        <v>0.30822904065459616</v>
      </c>
      <c r="R75" s="173">
        <f>'ARCHIVE_Operating Budget'!R75</f>
        <v>0.33500540522963701</v>
      </c>
      <c r="S75" s="173">
        <f>'ARCHIVE_Operating Budget'!S75</f>
        <v>0.34738947384559338</v>
      </c>
      <c r="T75" s="173">
        <f>'ARCHIVE_Operating Budget'!T75</f>
        <v>0.37038845841808399</v>
      </c>
      <c r="U75" s="173">
        <f>'ARCHIVE_Operating Budget'!U75</f>
        <v>0.38108566054482368</v>
      </c>
      <c r="V75" s="173">
        <f>'ARCHIVE_Operating Budget'!V75</f>
        <v>0.39129662621125716</v>
      </c>
      <c r="W75" s="173">
        <f>'ARCHIVE_Operating Budget'!W75</f>
        <v>0.37940184114804382</v>
      </c>
      <c r="X75" s="173">
        <f>'ARCHIVE_Operating Budget'!X75</f>
        <v>0.38899686899314712</v>
      </c>
      <c r="Y75" s="173">
        <f>'ARCHIVE_Operating Budget'!Y75</f>
        <v>0.3886808611137984</v>
      </c>
      <c r="Z75" s="173">
        <f>'ARCHIVE_Operating Budget'!Z75</f>
        <v>0.39751460688888035</v>
      </c>
      <c r="AA75" s="173">
        <f>'ARCHIVE_Operating Budget'!AA75</f>
        <v>0.39595605558218849</v>
      </c>
      <c r="AB75" s="173">
        <f>'ARCHIVE_Operating Budget'!AB75</f>
        <v>0.40431013431845203</v>
      </c>
      <c r="AC75" s="173">
        <f>'ARCHIVE_Operating Budget'!AC75</f>
        <v>0.40431013431845203</v>
      </c>
      <c r="AD75" s="173">
        <f>'ARCHIVE_Operating Budget'!AD75</f>
        <v>0.41234896480051708</v>
      </c>
      <c r="AE75" s="173">
        <f>'ARCHIVE_Operating Budget'!AE75</f>
        <v>0.42009006082028327</v>
      </c>
      <c r="AF75" s="173">
        <f>'ARCHIVE_Operating Budget'!AF75</f>
        <v>0.42754966243933079</v>
      </c>
      <c r="AG75" s="173">
        <f>'ARCHIVE_Operating Budget'!AG75</f>
        <v>0.43474284971484078</v>
      </c>
      <c r="AH75" s="173">
        <f>'ARCHIVE_Operating Budget'!AH75</f>
        <v>0.44168364445436803</v>
      </c>
      <c r="AI75" s="173">
        <f>'ARCHIVE_Operating Budget'!AI75</f>
        <v>0.44838510144425642</v>
      </c>
      <c r="AJ75" s="173">
        <f>'ARCHIVE_Operating Budget'!AJ75</f>
        <v>0.44838510144425642</v>
      </c>
      <c r="AK75" s="173">
        <f>'ARCHIVE_Operating Budget'!AK75</f>
        <v>0.45485939040058937</v>
      </c>
      <c r="AL75" s="173">
        <f>'ARCHIVE_Operating Budget'!AL75</f>
        <v>0.46111786972504432</v>
      </c>
      <c r="AM75" s="173">
        <f>'ARCHIVE_Operating Budget'!AM75</f>
        <v>0.29070015787895892</v>
      </c>
      <c r="AN75" s="173">
        <f>'ARCHIVE_Operating Budget'!AN75</f>
        <v>0.43284578692195896</v>
      </c>
      <c r="AO75" s="173">
        <f>'ARCHIVE_Operating Budget'!AO75</f>
        <v>0.48792435565003289</v>
      </c>
      <c r="AP75" s="2"/>
    </row>
    <row r="76" spans="1:42" x14ac:dyDescent="0.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row>
    <row r="77" spans="1:42" x14ac:dyDescent="0.2">
      <c r="A77" s="168" t="s">
        <v>510</v>
      </c>
      <c r="B77" s="160"/>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row>
    <row r="78" spans="1:42" x14ac:dyDescent="0.2">
      <c r="A78" s="104" t="s">
        <v>581</v>
      </c>
      <c r="B78" s="175">
        <v>7000</v>
      </c>
      <c r="C78" s="108">
        <f>'ARCHIVE_Operating Budget'!C78</f>
        <v>1666.6666666666667</v>
      </c>
      <c r="D78" s="108">
        <f>'ARCHIVE_Operating Budget'!D78</f>
        <v>1666.6666666666667</v>
      </c>
      <c r="E78" s="108">
        <f>'ARCHIVE_Operating Budget'!E78</f>
        <v>1666.6666666666667</v>
      </c>
      <c r="F78" s="108">
        <f>'ARCHIVE_Operating Budget'!F78</f>
        <v>1666.6666666666667</v>
      </c>
      <c r="G78" s="108">
        <f>'ARCHIVE_Operating Budget'!G78</f>
        <v>1666.6666666666667</v>
      </c>
      <c r="H78" s="108">
        <f>'ARCHIVE_Operating Budget'!H78</f>
        <v>1666.6666666666667</v>
      </c>
      <c r="I78" s="108">
        <f>'ARCHIVE_Operating Budget'!I78</f>
        <v>1666.6666666666667</v>
      </c>
      <c r="J78" s="108">
        <f>'ARCHIVE_Operating Budget'!J78</f>
        <v>1666.6666666666667</v>
      </c>
      <c r="K78" s="108">
        <f>'ARCHIVE_Operating Budget'!K78</f>
        <v>1666.6666666666667</v>
      </c>
      <c r="L78" s="108">
        <f>'ARCHIVE_Operating Budget'!L78</f>
        <v>1666.6666666666667</v>
      </c>
      <c r="M78" s="108">
        <f>'ARCHIVE_Operating Budget'!M78</f>
        <v>1666.6666666666667</v>
      </c>
      <c r="N78" s="108">
        <f>'ARCHIVE_Operating Budget'!N78</f>
        <v>1666.6666666666667</v>
      </c>
      <c r="O78" s="108">
        <f>'ARCHIVE_Operating Budget'!O78</f>
        <v>1666.6666666666667</v>
      </c>
      <c r="P78" s="108">
        <f>'ARCHIVE_Operating Budget'!P78</f>
        <v>1666.6666666666667</v>
      </c>
      <c r="Q78" s="108">
        <f>'ARCHIVE_Operating Budget'!Q78</f>
        <v>1666.6666666666667</v>
      </c>
      <c r="R78" s="108">
        <f>'ARCHIVE_Operating Budget'!R78</f>
        <v>1666.6666666666667</v>
      </c>
      <c r="S78" s="108">
        <f>'ARCHIVE_Operating Budget'!S78</f>
        <v>1666.6666666666667</v>
      </c>
      <c r="T78" s="108">
        <f>'ARCHIVE_Operating Budget'!T78</f>
        <v>1666.6666666666667</v>
      </c>
      <c r="U78" s="108">
        <f>'ARCHIVE_Operating Budget'!U78</f>
        <v>1666.6666666666667</v>
      </c>
      <c r="V78" s="108">
        <f>'ARCHIVE_Operating Budget'!V78</f>
        <v>1666.6666666666667</v>
      </c>
      <c r="W78" s="108">
        <f>'ARCHIVE_Operating Budget'!W78</f>
        <v>1666.6666666666667</v>
      </c>
      <c r="X78" s="108">
        <f>'ARCHIVE_Operating Budget'!X78</f>
        <v>1666.6666666666667</v>
      </c>
      <c r="Y78" s="108">
        <f>'ARCHIVE_Operating Budget'!Y78</f>
        <v>1666.6666666666667</v>
      </c>
      <c r="Z78" s="108">
        <f>'ARCHIVE_Operating Budget'!Z78</f>
        <v>1666.6666666666667</v>
      </c>
      <c r="AA78" s="108">
        <f>'ARCHIVE_Operating Budget'!AA78</f>
        <v>1666.6666666666667</v>
      </c>
      <c r="AB78" s="108">
        <f>'ARCHIVE_Operating Budget'!AB78</f>
        <v>1666.6666666666667</v>
      </c>
      <c r="AC78" s="108">
        <f>'ARCHIVE_Operating Budget'!AC78</f>
        <v>1666.6666666666667</v>
      </c>
      <c r="AD78" s="108">
        <f>'ARCHIVE_Operating Budget'!AD78</f>
        <v>1666.6666666666667</v>
      </c>
      <c r="AE78" s="108">
        <f>'ARCHIVE_Operating Budget'!AE78</f>
        <v>1666.6666666666667</v>
      </c>
      <c r="AF78" s="108">
        <f>'ARCHIVE_Operating Budget'!AF78</f>
        <v>1666.6666666666667</v>
      </c>
      <c r="AG78" s="108">
        <f>'ARCHIVE_Operating Budget'!AG78</f>
        <v>1666.6666666666667</v>
      </c>
      <c r="AH78" s="108">
        <f>'ARCHIVE_Operating Budget'!AH78</f>
        <v>1666.6666666666667</v>
      </c>
      <c r="AI78" s="108">
        <f>'ARCHIVE_Operating Budget'!AI78</f>
        <v>1666.6666666666667</v>
      </c>
      <c r="AJ78" s="108">
        <f>'ARCHIVE_Operating Budget'!AJ78</f>
        <v>1666.6666666666667</v>
      </c>
      <c r="AK78" s="108">
        <f>'ARCHIVE_Operating Budget'!AK78</f>
        <v>1666.6666666666667</v>
      </c>
      <c r="AL78" s="108">
        <f>'ARCHIVE_Operating Budget'!AL78</f>
        <v>1666.6666666666667</v>
      </c>
      <c r="AM78" s="108">
        <f>'ARCHIVE_Operating Budget'!AM78</f>
        <v>1666.6666666666667</v>
      </c>
      <c r="AN78" s="108">
        <f>'ARCHIVE_Operating Budget'!AN78</f>
        <v>1666.6666666666667</v>
      </c>
      <c r="AO78" s="108">
        <f>'ARCHIVE_Operating Budget'!AO78</f>
        <v>1666.6666666666667</v>
      </c>
      <c r="AP78" s="102">
        <f>'ARCHIVE_Operating Budget'!AP78</f>
        <v>4.5428749721869834E-4</v>
      </c>
    </row>
    <row r="79" spans="1:42" x14ac:dyDescent="0.2">
      <c r="A79" s="104" t="s">
        <v>582</v>
      </c>
      <c r="B79" s="175">
        <v>7100</v>
      </c>
      <c r="C79" s="108">
        <f>'ARCHIVE_Operating Budget'!C79</f>
        <v>4791.666666666667</v>
      </c>
      <c r="D79" s="108">
        <f>'ARCHIVE_Operating Budget'!D79</f>
        <v>4791.666666666667</v>
      </c>
      <c r="E79" s="108">
        <f>'ARCHIVE_Operating Budget'!E79</f>
        <v>4791.666666666667</v>
      </c>
      <c r="F79" s="108">
        <f>'ARCHIVE_Operating Budget'!F79</f>
        <v>4791.666666666667</v>
      </c>
      <c r="G79" s="108">
        <f>'ARCHIVE_Operating Budget'!G79</f>
        <v>4791.666666666667</v>
      </c>
      <c r="H79" s="108">
        <f>'ARCHIVE_Operating Budget'!H79</f>
        <v>4791.666666666667</v>
      </c>
      <c r="I79" s="108">
        <f>'ARCHIVE_Operating Budget'!I79</f>
        <v>4791.666666666667</v>
      </c>
      <c r="J79" s="108">
        <f>'ARCHIVE_Operating Budget'!J79</f>
        <v>4791.666666666667</v>
      </c>
      <c r="K79" s="108">
        <f>'ARCHIVE_Operating Budget'!K79</f>
        <v>4791.666666666667</v>
      </c>
      <c r="L79" s="108">
        <f>'ARCHIVE_Operating Budget'!L79</f>
        <v>4791.666666666667</v>
      </c>
      <c r="M79" s="108">
        <f>'ARCHIVE_Operating Budget'!M79</f>
        <v>4791.666666666667</v>
      </c>
      <c r="N79" s="108">
        <f>'ARCHIVE_Operating Budget'!N79</f>
        <v>4791.666666666667</v>
      </c>
      <c r="O79" s="108">
        <f>'ARCHIVE_Operating Budget'!O79</f>
        <v>4791.666666666667</v>
      </c>
      <c r="P79" s="108">
        <f>'ARCHIVE_Operating Budget'!P79</f>
        <v>4791.666666666667</v>
      </c>
      <c r="Q79" s="108">
        <f>'ARCHIVE_Operating Budget'!Q79</f>
        <v>4791.666666666667</v>
      </c>
      <c r="R79" s="108">
        <f>'ARCHIVE_Operating Budget'!R79</f>
        <v>4791.666666666667</v>
      </c>
      <c r="S79" s="108">
        <f>'ARCHIVE_Operating Budget'!S79</f>
        <v>4791.666666666667</v>
      </c>
      <c r="T79" s="108">
        <f>'ARCHIVE_Operating Budget'!T79</f>
        <v>4791.666666666667</v>
      </c>
      <c r="U79" s="108">
        <f>'ARCHIVE_Operating Budget'!U79</f>
        <v>4791.666666666667</v>
      </c>
      <c r="V79" s="108">
        <f>'ARCHIVE_Operating Budget'!V79</f>
        <v>4791.666666666667</v>
      </c>
      <c r="W79" s="108">
        <f>'ARCHIVE_Operating Budget'!W79</f>
        <v>4791.666666666667</v>
      </c>
      <c r="X79" s="108">
        <f>'ARCHIVE_Operating Budget'!X79</f>
        <v>4791.666666666667</v>
      </c>
      <c r="Y79" s="108">
        <f>'ARCHIVE_Operating Budget'!Y79</f>
        <v>4791.666666666667</v>
      </c>
      <c r="Z79" s="108">
        <f>'ARCHIVE_Operating Budget'!Z79</f>
        <v>4791.666666666667</v>
      </c>
      <c r="AA79" s="108">
        <f>'ARCHIVE_Operating Budget'!AA79</f>
        <v>4791.666666666667</v>
      </c>
      <c r="AB79" s="108">
        <f>'ARCHIVE_Operating Budget'!AB79</f>
        <v>4791.666666666667</v>
      </c>
      <c r="AC79" s="108">
        <f>'ARCHIVE_Operating Budget'!AC79</f>
        <v>4791.666666666667</v>
      </c>
      <c r="AD79" s="108">
        <f>'ARCHIVE_Operating Budget'!AD79</f>
        <v>4791.666666666667</v>
      </c>
      <c r="AE79" s="108">
        <f>'ARCHIVE_Operating Budget'!AE79</f>
        <v>4791.666666666667</v>
      </c>
      <c r="AF79" s="108">
        <f>'ARCHIVE_Operating Budget'!AF79</f>
        <v>4791.666666666667</v>
      </c>
      <c r="AG79" s="108">
        <f>'ARCHIVE_Operating Budget'!AG79</f>
        <v>4791.666666666667</v>
      </c>
      <c r="AH79" s="108">
        <f>'ARCHIVE_Operating Budget'!AH79</f>
        <v>4791.666666666667</v>
      </c>
      <c r="AI79" s="108">
        <f>'ARCHIVE_Operating Budget'!AI79</f>
        <v>4791.666666666667</v>
      </c>
      <c r="AJ79" s="108">
        <f>'ARCHIVE_Operating Budget'!AJ79</f>
        <v>4791.666666666667</v>
      </c>
      <c r="AK79" s="108">
        <f>'ARCHIVE_Operating Budget'!AK79</f>
        <v>4791.666666666667</v>
      </c>
      <c r="AL79" s="108">
        <f>'ARCHIVE_Operating Budget'!AL79</f>
        <v>4791.666666666667</v>
      </c>
      <c r="AM79" s="108">
        <f>'ARCHIVE_Operating Budget'!AM79</f>
        <v>4791.666666666667</v>
      </c>
      <c r="AN79" s="108">
        <f>'ARCHIVE_Operating Budget'!AN79</f>
        <v>4791.666666666667</v>
      </c>
      <c r="AO79" s="108">
        <f>'ARCHIVE_Operating Budget'!AO79</f>
        <v>4791.666666666667</v>
      </c>
      <c r="AP79" s="102">
        <f>'ARCHIVE_Operating Budget'!AP79</f>
        <v>1.3060765545037578E-3</v>
      </c>
    </row>
    <row r="80" spans="1:42" x14ac:dyDescent="0.2">
      <c r="A80" s="104" t="s">
        <v>583</v>
      </c>
      <c r="B80" s="175">
        <v>7100</v>
      </c>
      <c r="C80" s="108">
        <f>'ARCHIVE_Operating Budget'!C80</f>
        <v>1000</v>
      </c>
      <c r="D80" s="108">
        <f>'ARCHIVE_Operating Budget'!D80</f>
        <v>1000</v>
      </c>
      <c r="E80" s="108">
        <f>'ARCHIVE_Operating Budget'!E80</f>
        <v>1000</v>
      </c>
      <c r="F80" s="108">
        <f>'ARCHIVE_Operating Budget'!F80</f>
        <v>1000</v>
      </c>
      <c r="G80" s="108">
        <f>'ARCHIVE_Operating Budget'!G80</f>
        <v>1000</v>
      </c>
      <c r="H80" s="108">
        <f>'ARCHIVE_Operating Budget'!H80</f>
        <v>1000</v>
      </c>
      <c r="I80" s="108">
        <f>'ARCHIVE_Operating Budget'!I80</f>
        <v>1000</v>
      </c>
      <c r="J80" s="108">
        <f>'ARCHIVE_Operating Budget'!J80</f>
        <v>1000</v>
      </c>
      <c r="K80" s="108">
        <f>'ARCHIVE_Operating Budget'!K80</f>
        <v>1000</v>
      </c>
      <c r="L80" s="108">
        <f>'ARCHIVE_Operating Budget'!L80</f>
        <v>1000</v>
      </c>
      <c r="M80" s="108">
        <f>'ARCHIVE_Operating Budget'!M80</f>
        <v>1000</v>
      </c>
      <c r="N80" s="108">
        <f>'ARCHIVE_Operating Budget'!N80</f>
        <v>1000</v>
      </c>
      <c r="O80" s="108">
        <f>'ARCHIVE_Operating Budget'!O80</f>
        <v>1000</v>
      </c>
      <c r="P80" s="108">
        <f>'ARCHIVE_Operating Budget'!P80</f>
        <v>1000</v>
      </c>
      <c r="Q80" s="108">
        <f>'ARCHIVE_Operating Budget'!Q80</f>
        <v>1000</v>
      </c>
      <c r="R80" s="108">
        <f>'ARCHIVE_Operating Budget'!R80</f>
        <v>1000</v>
      </c>
      <c r="S80" s="108">
        <f>'ARCHIVE_Operating Budget'!S80</f>
        <v>1000</v>
      </c>
      <c r="T80" s="108">
        <f>'ARCHIVE_Operating Budget'!T80</f>
        <v>1000</v>
      </c>
      <c r="U80" s="108">
        <f>'ARCHIVE_Operating Budget'!U80</f>
        <v>1000</v>
      </c>
      <c r="V80" s="108">
        <f>'ARCHIVE_Operating Budget'!V80</f>
        <v>1000</v>
      </c>
      <c r="W80" s="108">
        <f>'ARCHIVE_Operating Budget'!W80</f>
        <v>1000</v>
      </c>
      <c r="X80" s="108">
        <f>'ARCHIVE_Operating Budget'!X80</f>
        <v>1000</v>
      </c>
      <c r="Y80" s="108">
        <f>'ARCHIVE_Operating Budget'!Y80</f>
        <v>1000</v>
      </c>
      <c r="Z80" s="108">
        <f>'ARCHIVE_Operating Budget'!Z80</f>
        <v>1000</v>
      </c>
      <c r="AA80" s="108">
        <f>'ARCHIVE_Operating Budget'!AA80</f>
        <v>1000</v>
      </c>
      <c r="AB80" s="108">
        <f>'ARCHIVE_Operating Budget'!AB80</f>
        <v>1000</v>
      </c>
      <c r="AC80" s="108">
        <f>'ARCHIVE_Operating Budget'!AC80</f>
        <v>1000</v>
      </c>
      <c r="AD80" s="108">
        <f>'ARCHIVE_Operating Budget'!AD80</f>
        <v>1000</v>
      </c>
      <c r="AE80" s="108">
        <f>'ARCHIVE_Operating Budget'!AE80</f>
        <v>1000</v>
      </c>
      <c r="AF80" s="108">
        <f>'ARCHIVE_Operating Budget'!AF80</f>
        <v>1000</v>
      </c>
      <c r="AG80" s="108">
        <f>'ARCHIVE_Operating Budget'!AG80</f>
        <v>1000</v>
      </c>
      <c r="AH80" s="108">
        <f>'ARCHIVE_Operating Budget'!AH80</f>
        <v>1000</v>
      </c>
      <c r="AI80" s="108">
        <f>'ARCHIVE_Operating Budget'!AI80</f>
        <v>1000</v>
      </c>
      <c r="AJ80" s="108">
        <f>'ARCHIVE_Operating Budget'!AJ80</f>
        <v>1000</v>
      </c>
      <c r="AK80" s="108">
        <f>'ARCHIVE_Operating Budget'!AK80</f>
        <v>1000</v>
      </c>
      <c r="AL80" s="108">
        <f>'ARCHIVE_Operating Budget'!AL80</f>
        <v>1000</v>
      </c>
      <c r="AM80" s="108">
        <f>'ARCHIVE_Operating Budget'!AM80</f>
        <v>1000</v>
      </c>
      <c r="AN80" s="108">
        <f>'ARCHIVE_Operating Budget'!AN80</f>
        <v>1000</v>
      </c>
      <c r="AO80" s="108">
        <f>'ARCHIVE_Operating Budget'!AO80</f>
        <v>1000</v>
      </c>
      <c r="AP80" s="102">
        <f>'ARCHIVE_Operating Budget'!AP80</f>
        <v>2.7257249833121896E-4</v>
      </c>
    </row>
    <row r="81" spans="1:42" x14ac:dyDescent="0.2">
      <c r="A81" s="109" t="s">
        <v>590</v>
      </c>
      <c r="B81" s="175">
        <v>7200</v>
      </c>
      <c r="C81" s="108">
        <f>'ARCHIVE_Operating Budget'!C81</f>
        <v>25000</v>
      </c>
      <c r="D81" s="109">
        <f>'ARCHIVE_Operating Budget'!D81</f>
        <v>25000</v>
      </c>
      <c r="E81" s="175">
        <f>'ARCHIVE_Operating Budget'!E81</f>
        <v>25000</v>
      </c>
      <c r="F81" s="108">
        <f>'ARCHIVE_Operating Budget'!F81</f>
        <v>0</v>
      </c>
      <c r="G81" s="2">
        <f>'ARCHIVE_Operating Budget'!G81</f>
        <v>0</v>
      </c>
      <c r="H81" s="2">
        <f>'ARCHIVE_Operating Budget'!H81</f>
        <v>0</v>
      </c>
      <c r="I81" s="2">
        <f>'ARCHIVE_Operating Budget'!I81</f>
        <v>0</v>
      </c>
      <c r="J81" s="2">
        <f>'ARCHIVE_Operating Budget'!J81</f>
        <v>0</v>
      </c>
      <c r="K81" s="2">
        <f>'ARCHIVE_Operating Budget'!K81</f>
        <v>0</v>
      </c>
      <c r="L81" s="2">
        <f>'ARCHIVE_Operating Budget'!L81</f>
        <v>0</v>
      </c>
      <c r="M81" s="2">
        <f>'ARCHIVE_Operating Budget'!M81</f>
        <v>0</v>
      </c>
      <c r="N81" s="2">
        <f>'ARCHIVE_Operating Budget'!N81</f>
        <v>0</v>
      </c>
      <c r="O81" s="2">
        <f>'ARCHIVE_Operating Budget'!O81</f>
        <v>0</v>
      </c>
      <c r="P81" s="2">
        <f>'ARCHIVE_Operating Budget'!P81</f>
        <v>0</v>
      </c>
      <c r="Q81" s="2">
        <f>'ARCHIVE_Operating Budget'!Q81</f>
        <v>0</v>
      </c>
      <c r="R81" s="2">
        <f>'ARCHIVE_Operating Budget'!R81</f>
        <v>0</v>
      </c>
      <c r="S81" s="2">
        <f>'ARCHIVE_Operating Budget'!S81</f>
        <v>0</v>
      </c>
      <c r="T81" s="2">
        <f>'ARCHIVE_Operating Budget'!T81</f>
        <v>0</v>
      </c>
      <c r="U81" s="2">
        <f>'ARCHIVE_Operating Budget'!U81</f>
        <v>0</v>
      </c>
      <c r="V81" s="2">
        <f>'ARCHIVE_Operating Budget'!V81</f>
        <v>0</v>
      </c>
      <c r="W81" s="2">
        <f>'ARCHIVE_Operating Budget'!W81</f>
        <v>0</v>
      </c>
      <c r="X81" s="2">
        <f>'ARCHIVE_Operating Budget'!X81</f>
        <v>0</v>
      </c>
      <c r="Y81" s="2">
        <f>'ARCHIVE_Operating Budget'!Y81</f>
        <v>0</v>
      </c>
      <c r="Z81" s="2">
        <f>'ARCHIVE_Operating Budget'!Z81</f>
        <v>0</v>
      </c>
      <c r="AA81" s="2">
        <f>'ARCHIVE_Operating Budget'!AA81</f>
        <v>0</v>
      </c>
      <c r="AB81" s="2">
        <f>'ARCHIVE_Operating Budget'!AB81</f>
        <v>0</v>
      </c>
      <c r="AC81" s="2">
        <f>'ARCHIVE_Operating Budget'!AC81</f>
        <v>0</v>
      </c>
      <c r="AD81" s="2">
        <f>'ARCHIVE_Operating Budget'!AD81</f>
        <v>0</v>
      </c>
      <c r="AE81" s="2">
        <f>'ARCHIVE_Operating Budget'!AE81</f>
        <v>0</v>
      </c>
      <c r="AF81" s="2">
        <f>'ARCHIVE_Operating Budget'!AF81</f>
        <v>0</v>
      </c>
      <c r="AG81" s="2">
        <f>'ARCHIVE_Operating Budget'!AG81</f>
        <v>0</v>
      </c>
      <c r="AH81" s="2">
        <f>'ARCHIVE_Operating Budget'!AH81</f>
        <v>0</v>
      </c>
      <c r="AI81" s="2">
        <f>'ARCHIVE_Operating Budget'!AI81</f>
        <v>0</v>
      </c>
      <c r="AJ81" s="2">
        <f>'ARCHIVE_Operating Budget'!AJ81</f>
        <v>0</v>
      </c>
      <c r="AK81" s="2">
        <f>'ARCHIVE_Operating Budget'!AK81</f>
        <v>0</v>
      </c>
      <c r="AL81" s="2">
        <f>'ARCHIVE_Operating Budget'!AL81</f>
        <v>0</v>
      </c>
      <c r="AM81" s="2">
        <f>'ARCHIVE_Operating Budget'!AM81</f>
        <v>75000</v>
      </c>
      <c r="AN81" s="2">
        <f>'ARCHIVE_Operating Budget'!AN81</f>
        <v>0</v>
      </c>
      <c r="AO81" s="2">
        <f>'ARCHIVE_Operating Budget'!AO81</f>
        <v>0</v>
      </c>
      <c r="AP81" s="102">
        <f>'ARCHIVE_Operating Budget'!AP81</f>
        <v>0</v>
      </c>
    </row>
    <row r="82" spans="1:42" x14ac:dyDescent="0.2">
      <c r="A82" s="109" t="s">
        <v>591</v>
      </c>
      <c r="B82" s="175">
        <v>7200</v>
      </c>
      <c r="C82" s="108">
        <f>'ARCHIVE_Operating Budget'!C82</f>
        <v>0</v>
      </c>
      <c r="D82" s="109">
        <f>'ARCHIVE_Operating Budget'!D82</f>
        <v>0</v>
      </c>
      <c r="E82" s="175">
        <f>'ARCHIVE_Operating Budget'!E82</f>
        <v>0</v>
      </c>
      <c r="F82" s="108">
        <f>'ARCHIVE_Operating Budget'!F82</f>
        <v>1124.9999999999998</v>
      </c>
      <c r="G82" s="2">
        <f>'ARCHIVE_Operating Budget'!G82</f>
        <v>1096.4003203670006</v>
      </c>
      <c r="H82" s="2">
        <f>'ARCHIVE_Operating Budget'!H82</f>
        <v>1067.6576423358358</v>
      </c>
      <c r="I82" s="2">
        <f>'ARCHIVE_Operating Budget'!I82</f>
        <v>1038.7712509145156</v>
      </c>
      <c r="J82" s="2">
        <f>'ARCHIVE_Operating Budget'!J82</f>
        <v>1009.7404275360884</v>
      </c>
      <c r="K82" s="2">
        <f>'ARCHIVE_Operating Budget'!K82</f>
        <v>980.56445004076966</v>
      </c>
      <c r="L82" s="2">
        <f>'ARCHIVE_Operating Budget'!L82</f>
        <v>951.242592657974</v>
      </c>
      <c r="M82" s="2">
        <f>'ARCHIVE_Operating Budget'!M82</f>
        <v>921.77412598826425</v>
      </c>
      <c r="N82" s="2">
        <f>'ARCHIVE_Operating Budget'!N82</f>
        <v>892.15831698520606</v>
      </c>
      <c r="O82" s="2">
        <f>'ARCHIVE_Operating Budget'!O82</f>
        <v>862.3944289371326</v>
      </c>
      <c r="P82" s="2">
        <f>'ARCHIVE_Operating Budget'!P82</f>
        <v>832.48172144881858</v>
      </c>
      <c r="Q82" s="2">
        <f>'ARCHIVE_Operating Budget'!Q82</f>
        <v>802.41945042306338</v>
      </c>
      <c r="R82" s="2">
        <f>'ARCHIVE_Operating Budget'!R82</f>
        <v>772.20686804217928</v>
      </c>
      <c r="S82" s="2">
        <f>'ARCHIVE_Operating Budget'!S82</f>
        <v>741.84322274939052</v>
      </c>
      <c r="T82" s="2">
        <f>'ARCHIVE_Operating Budget'!T82</f>
        <v>711.3277592301381</v>
      </c>
      <c r="U82" s="2">
        <f>'ARCHIVE_Operating Budget'!U82</f>
        <v>680.65971839328927</v>
      </c>
      <c r="V82" s="2">
        <f>'ARCHIVE_Operating Budget'!V82</f>
        <v>649.83833735225619</v>
      </c>
      <c r="W82" s="2">
        <f>'ARCHIVE_Operating Budget'!W82</f>
        <v>618.86284940601797</v>
      </c>
      <c r="X82" s="2">
        <f>'ARCHIVE_Operating Budget'!X82</f>
        <v>587.73248402004856</v>
      </c>
      <c r="Y82" s="2">
        <f>'ARCHIVE_Operating Budget'!Y82</f>
        <v>556.44646680714925</v>
      </c>
      <c r="Z82" s="2">
        <f>'ARCHIVE_Operating Budget'!Z82</f>
        <v>525.00401950818548</v>
      </c>
      <c r="AA82" s="2">
        <f>'ARCHIVE_Operating Budget'!AA82</f>
        <v>493.40435997272692</v>
      </c>
      <c r="AB82" s="2">
        <f>'ARCHIVE_Operating Budget'!AB82</f>
        <v>461.64670213959101</v>
      </c>
      <c r="AC82" s="2">
        <f>'ARCHIVE_Operating Budget'!AC82</f>
        <v>429.73025601728949</v>
      </c>
      <c r="AD82" s="2">
        <f>'ARCHIVE_Operating Budget'!AD82</f>
        <v>397.65422766437644</v>
      </c>
      <c r="AE82" s="2">
        <f>'ARCHIVE_Operating Budget'!AE82</f>
        <v>365.41781916969887</v>
      </c>
      <c r="AF82" s="2">
        <f>'ARCHIVE_Operating Budget'!AF82</f>
        <v>333.0202286325478</v>
      </c>
      <c r="AG82" s="2">
        <f>'ARCHIVE_Operating Budget'!AG82</f>
        <v>300.46065014271107</v>
      </c>
      <c r="AH82" s="2">
        <f>'ARCHIVE_Operating Budget'!AH82</f>
        <v>267.7382737604251</v>
      </c>
      <c r="AI82" s="2">
        <f>'ARCHIVE_Operating Budget'!AI82</f>
        <v>234.85228549622767</v>
      </c>
      <c r="AJ82" s="2">
        <f>'ARCHIVE_Operating Budget'!AJ82</f>
        <v>201.80186729070934</v>
      </c>
      <c r="AK82" s="2">
        <f>'ARCHIVE_Operating Budget'!AK82</f>
        <v>168.5861969941634</v>
      </c>
      <c r="AL82" s="2">
        <f>'ARCHIVE_Operating Budget'!AL82</f>
        <v>135.20444834613468</v>
      </c>
      <c r="AM82" s="2">
        <f>'ARCHIVE_Operating Budget'!AM82</f>
        <v>9083.3091268256539</v>
      </c>
      <c r="AN82" s="2">
        <f>'ARCHIVE_Operating Budget'!AN82</f>
        <v>8341.2173263176683</v>
      </c>
      <c r="AO82" s="2">
        <f>'ARCHIVE_Operating Budget'!AO82</f>
        <v>3789.5173156266014</v>
      </c>
      <c r="AP82" s="102">
        <f>'ARCHIVE_Operating Budget'!AP82</f>
        <v>1.0329182021897572E-3</v>
      </c>
    </row>
    <row r="83" spans="1:42" x14ac:dyDescent="0.2">
      <c r="A83" s="110" t="s">
        <v>584</v>
      </c>
      <c r="B83" s="2"/>
      <c r="C83" s="111">
        <f>'ARCHIVE_Operating Budget'!C83</f>
        <v>32458.333333333336</v>
      </c>
      <c r="D83" s="111">
        <f>'ARCHIVE_Operating Budget'!D83</f>
        <v>32458.333333333336</v>
      </c>
      <c r="E83" s="111">
        <f>'ARCHIVE_Operating Budget'!E83</f>
        <v>32458.333333333336</v>
      </c>
      <c r="F83" s="111">
        <f>'ARCHIVE_Operating Budget'!F83</f>
        <v>8583.3333333333339</v>
      </c>
      <c r="G83" s="111">
        <f>'ARCHIVE_Operating Budget'!G83</f>
        <v>8554.7336537003339</v>
      </c>
      <c r="H83" s="111">
        <f>'ARCHIVE_Operating Budget'!H83</f>
        <v>8525.9909756691704</v>
      </c>
      <c r="I83" s="111">
        <f>'ARCHIVE_Operating Budget'!I83</f>
        <v>8497.1045842478488</v>
      </c>
      <c r="J83" s="111">
        <f>'ARCHIVE_Operating Budget'!J83</f>
        <v>8468.0737608694217</v>
      </c>
      <c r="K83" s="111">
        <f>'ARCHIVE_Operating Budget'!K83</f>
        <v>8438.8977833741028</v>
      </c>
      <c r="L83" s="111">
        <f>'ARCHIVE_Operating Budget'!L83</f>
        <v>8409.5759259913084</v>
      </c>
      <c r="M83" s="111">
        <f>'ARCHIVE_Operating Budget'!M83</f>
        <v>8380.1074593215981</v>
      </c>
      <c r="N83" s="111">
        <f>'ARCHIVE_Operating Budget'!N83</f>
        <v>8350.4916503185395</v>
      </c>
      <c r="O83" s="111">
        <f>'ARCHIVE_Operating Budget'!O83</f>
        <v>8320.727762270466</v>
      </c>
      <c r="P83" s="111">
        <f>'ARCHIVE_Operating Budget'!P83</f>
        <v>8290.8150547821533</v>
      </c>
      <c r="Q83" s="111">
        <f>'ARCHIVE_Operating Budget'!Q83</f>
        <v>8260.7527837563975</v>
      </c>
      <c r="R83" s="111">
        <f>'ARCHIVE_Operating Budget'!R83</f>
        <v>8230.5402013755138</v>
      </c>
      <c r="S83" s="111">
        <f>'ARCHIVE_Operating Budget'!S83</f>
        <v>8200.1765560827243</v>
      </c>
      <c r="T83" s="111">
        <f>'ARCHIVE_Operating Budget'!T83</f>
        <v>8169.6610925634723</v>
      </c>
      <c r="U83" s="111">
        <f>'ARCHIVE_Operating Budget'!U83</f>
        <v>8138.993051726623</v>
      </c>
      <c r="V83" s="111">
        <f>'ARCHIVE_Operating Budget'!V83</f>
        <v>8108.1716706855905</v>
      </c>
      <c r="W83" s="111">
        <f>'ARCHIVE_Operating Budget'!W83</f>
        <v>8077.1961827393516</v>
      </c>
      <c r="X83" s="111">
        <f>'ARCHIVE_Operating Budget'!X83</f>
        <v>8046.065817353383</v>
      </c>
      <c r="Y83" s="111">
        <f>'ARCHIVE_Operating Budget'!Y83</f>
        <v>8014.7798001404835</v>
      </c>
      <c r="Z83" s="111">
        <f>'ARCHIVE_Operating Budget'!Z83</f>
        <v>7983.3373528415195</v>
      </c>
      <c r="AA83" s="111">
        <f>'ARCHIVE_Operating Budget'!AA83</f>
        <v>7951.7376933060605</v>
      </c>
      <c r="AB83" s="111">
        <f>'ARCHIVE_Operating Budget'!AB83</f>
        <v>7919.980035472925</v>
      </c>
      <c r="AC83" s="111">
        <f>'ARCHIVE_Operating Budget'!AC83</f>
        <v>7888.0635893506233</v>
      </c>
      <c r="AD83" s="111">
        <f>'ARCHIVE_Operating Budget'!AD83</f>
        <v>7855.9875609977107</v>
      </c>
      <c r="AE83" s="111">
        <f>'ARCHIVE_Operating Budget'!AE83</f>
        <v>7823.7511525030332</v>
      </c>
      <c r="AF83" s="111">
        <f>'ARCHIVE_Operating Budget'!AF83</f>
        <v>7791.3535619658815</v>
      </c>
      <c r="AG83" s="111">
        <f>'ARCHIVE_Operating Budget'!AG83</f>
        <v>7758.7939834760455</v>
      </c>
      <c r="AH83" s="111">
        <f>'ARCHIVE_Operating Budget'!AH83</f>
        <v>7726.0716070937588</v>
      </c>
      <c r="AI83" s="111">
        <f>'ARCHIVE_Operating Budget'!AI83</f>
        <v>7693.1856188295615</v>
      </c>
      <c r="AJ83" s="111">
        <f>'ARCHIVE_Operating Budget'!AJ83</f>
        <v>7660.1352006240431</v>
      </c>
      <c r="AK83" s="111">
        <f>'ARCHIVE_Operating Budget'!AK83</f>
        <v>7626.9195303274973</v>
      </c>
      <c r="AL83" s="111">
        <f>'ARCHIVE_Operating Budget'!AL83</f>
        <v>7593.5377816794689</v>
      </c>
      <c r="AM83" s="111">
        <f>'ARCHIVE_Operating Budget'!AM83</f>
        <v>91541.642460158982</v>
      </c>
      <c r="AN83" s="111">
        <f>'ARCHIVE_Operating Budget'!AN83</f>
        <v>15799.550659651002</v>
      </c>
      <c r="AO83" s="111">
        <f>'ARCHIVE_Operating Budget'!AO83</f>
        <v>11247.850648959935</v>
      </c>
      <c r="AP83" s="103">
        <f>'ARCHIVE_Operating Budget'!AP83</f>
        <v>3.0658547522434323E-3</v>
      </c>
    </row>
    <row r="84" spans="1:42" x14ac:dyDescent="0.2">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row>
    <row r="85" spans="1:42" x14ac:dyDescent="0.2">
      <c r="A85" s="105" t="s">
        <v>410</v>
      </c>
      <c r="B85" s="101"/>
      <c r="C85" s="112">
        <f>'ARCHIVE_Operating Budget'!C85</f>
        <v>-15392.974646122791</v>
      </c>
      <c r="D85" s="112">
        <f>'ARCHIVE_Operating Budget'!D85</f>
        <v>-29434.239321161396</v>
      </c>
      <c r="E85" s="112">
        <f>'ARCHIVE_Operating Budget'!E85</f>
        <v>-36881.027908680699</v>
      </c>
      <c r="F85" s="112">
        <f>'ARCHIVE_Operating Budget'!F85</f>
        <v>-3843.8863337192724</v>
      </c>
      <c r="G85" s="112">
        <f>'ARCHIVE_Operating Budget'!G85</f>
        <v>5346.8549208751228</v>
      </c>
      <c r="H85" s="112">
        <f>'ARCHIVE_Operating Budget'!H85</f>
        <v>9956.6683863869766</v>
      </c>
      <c r="I85" s="112">
        <f>'ARCHIVE_Operating Budget'!I85</f>
        <v>14322.024477769737</v>
      </c>
      <c r="J85" s="112">
        <f>'ARCHIVE_Operating Budget'!J85</f>
        <v>18932.12608862884</v>
      </c>
      <c r="K85" s="112">
        <f>'ARCHIVE_Operating Budget'!K85</f>
        <v>28123.443641085556</v>
      </c>
      <c r="L85" s="112">
        <f>'ARCHIVE_Operating Budget'!L85</f>
        <v>37314.907073429764</v>
      </c>
      <c r="M85" s="112">
        <f>'ARCHIVE_Operating Budget'!M85</f>
        <v>34276.633827580197</v>
      </c>
      <c r="N85" s="112">
        <f>'ARCHIVE_Operating Budget'!N85</f>
        <v>43468.391211544636</v>
      </c>
      <c r="O85" s="112">
        <f>'ARCHIVE_Operating Budget'!O85</f>
        <v>45809.022293323411</v>
      </c>
      <c r="P85" s="112">
        <f>'ARCHIVE_Operating Budget'!P85</f>
        <v>55001.076575773142</v>
      </c>
      <c r="Q85" s="112">
        <f>'ARCHIVE_Operating Budget'!Q85</f>
        <v>54656.767603029613</v>
      </c>
      <c r="R85" s="112">
        <f>'ARCHIVE_Operating Budget'!R85</f>
        <v>63849.121760371891</v>
      </c>
      <c r="S85" s="112">
        <f>'ARCHIVE_Operating Budget'!S85</f>
        <v>68460.556193145385</v>
      </c>
      <c r="T85" s="112">
        <f>'ARCHIVE_Operating Budget'!T85</f>
        <v>77653.213231626054</v>
      </c>
      <c r="U85" s="112">
        <f>'ARCHIVE_Operating Budget'!U85</f>
        <v>82264.952059943607</v>
      </c>
      <c r="V85" s="112">
        <f>'ARCHIVE_Operating Budget'!V85</f>
        <v>86876.844228465343</v>
      </c>
      <c r="W85" s="112">
        <f>'ARCHIVE_Operating Budget'!W85</f>
        <v>88206.684416372984</v>
      </c>
      <c r="X85" s="112">
        <f>'ARCHIVE_Operating Budget'!X85</f>
        <v>92818.88556923969</v>
      </c>
      <c r="Y85" s="112">
        <f>'ARCHIVE_Operating Budget'!Y85</f>
        <v>97056.871130163941</v>
      </c>
      <c r="Z85" s="112">
        <f>'ARCHIVE_Operating Budget'!Z85</f>
        <v>101669.38436494363</v>
      </c>
      <c r="AA85" s="112">
        <f>'ARCHIVE_Operating Budget'!AA85</f>
        <v>103455.52028227225</v>
      </c>
      <c r="AB85" s="112">
        <f>'ARCHIVE_Operating Budget'!AB85</f>
        <v>108068.3487275861</v>
      </c>
      <c r="AC85" s="112">
        <f>'ARCHIVE_Operating Budget'!AC85</f>
        <v>108100.26517370839</v>
      </c>
      <c r="AD85" s="112">
        <f>'ARCHIVE_Operating Budget'!AD85</f>
        <v>112713.41198954202</v>
      </c>
      <c r="AE85" s="112">
        <f>'ARCHIVE_Operating Budget'!AE85</f>
        <v>117326.7191855174</v>
      </c>
      <c r="AF85" s="112">
        <f>'ARCHIVE_Operating Budget'!AF85</f>
        <v>121940.18756353528</v>
      </c>
      <c r="AG85" s="112">
        <f>'ARCHIVE_Operating Budget'!AG85</f>
        <v>126553.81792950579</v>
      </c>
      <c r="AH85" s="112">
        <f>'ARCHIVE_Operating Budget'!AH85</f>
        <v>131167.61109336879</v>
      </c>
      <c r="AI85" s="112">
        <f>'ARCHIVE_Operating Budget'!AI85</f>
        <v>135781.5678691137</v>
      </c>
      <c r="AJ85" s="112">
        <f>'ARCHIVE_Operating Budget'!AJ85</f>
        <v>135814.61828731923</v>
      </c>
      <c r="AK85" s="112">
        <f>'ARCHIVE_Operating Budget'!AK85</f>
        <v>140428.90474509652</v>
      </c>
      <c r="AL85" s="112">
        <f>'ARCHIVE_Operating Budget'!AL85</f>
        <v>145043.35728122518</v>
      </c>
      <c r="AM85" s="112">
        <f>'ARCHIVE_Operating Budget'!AM85</f>
        <v>370343.58808428346</v>
      </c>
      <c r="AN85" s="112">
        <f>'ARCHIVE_Operating Budget'!AN85</f>
        <v>1194903.0460930653</v>
      </c>
      <c r="AO85" s="112">
        <f>'ARCHIVE_Operating Budget'!AO85</f>
        <v>1778823.9967944573</v>
      </c>
      <c r="AP85" s="103">
        <f>'ARCHIVE_Operating Budget'!AP85</f>
        <v>0.48485850089778948</v>
      </c>
    </row>
    <row r="86" spans="1:42" x14ac:dyDescent="0.2">
      <c r="A86" s="104" t="s">
        <v>585</v>
      </c>
      <c r="B86" s="175">
        <v>9000</v>
      </c>
      <c r="C86" s="108">
        <f>'ARCHIVE_Operating Budget'!C86</f>
        <v>0</v>
      </c>
      <c r="D86" s="108">
        <f>'ARCHIVE_Operating Budget'!D86</f>
        <v>0</v>
      </c>
      <c r="E86" s="108">
        <f>'ARCHIVE_Operating Budget'!E86</f>
        <v>0</v>
      </c>
      <c r="F86" s="108">
        <f>'ARCHIVE_Operating Budget'!F86</f>
        <v>0</v>
      </c>
      <c r="G86" s="108">
        <f>'ARCHIVE_Operating Budget'!G86</f>
        <v>455.1455159103653</v>
      </c>
      <c r="H86" s="108">
        <f>'ARCHIVE_Operating Budget'!H86</f>
        <v>475.83394845174553</v>
      </c>
      <c r="I86" s="108">
        <f>'ARCHIVE_Operating Budget'!I86</f>
        <v>517.21081353450609</v>
      </c>
      <c r="J86" s="108">
        <f>'ARCHIVE_Operating Budget'!J86</f>
        <v>537.89924607588625</v>
      </c>
      <c r="K86" s="108">
        <f>'ARCHIVE_Operating Budget'!K86</f>
        <v>579.2761111586467</v>
      </c>
      <c r="L86" s="108">
        <f>'ARCHIVE_Operating Budget'!L86</f>
        <v>620.65297624140715</v>
      </c>
      <c r="M86" s="108">
        <f>'ARCHIVE_Operating Budget'!M86</f>
        <v>641.34140878278754</v>
      </c>
      <c r="N86" s="108">
        <f>'ARCHIVE_Operating Budget'!N86</f>
        <v>682.71827386554787</v>
      </c>
      <c r="O86" s="108">
        <f>'ARCHIVE_Operating Budget'!O86</f>
        <v>703.40670640692815</v>
      </c>
      <c r="P86" s="108">
        <f>'ARCHIVE_Operating Budget'!P86</f>
        <v>744.7835714896886</v>
      </c>
      <c r="Q86" s="108">
        <f>'ARCHIVE_Operating Budget'!Q86</f>
        <v>765.47200403106899</v>
      </c>
      <c r="R86" s="108">
        <f>'ARCHIVE_Operating Budget'!R86</f>
        <v>806.84886911382932</v>
      </c>
      <c r="S86" s="108">
        <f>'ARCHIVE_Operating Budget'!S86</f>
        <v>827.53730165520972</v>
      </c>
      <c r="T86" s="108">
        <f>'ARCHIVE_Operating Budget'!T86</f>
        <v>868.91416673797005</v>
      </c>
      <c r="U86" s="108">
        <f>'ARCHIVE_Operating Budget'!U86</f>
        <v>889.60259927935044</v>
      </c>
      <c r="V86" s="108">
        <f>'ARCHIVE_Operating Budget'!V86</f>
        <v>910.29103182073061</v>
      </c>
      <c r="W86" s="108">
        <f>'ARCHIVE_Operating Budget'!W86</f>
        <v>951.66789690349106</v>
      </c>
      <c r="X86" s="108">
        <f>'ARCHIVE_Operating Budget'!X86</f>
        <v>972.35632944487145</v>
      </c>
      <c r="Y86" s="108">
        <f>'ARCHIVE_Operating Budget'!Y86</f>
        <v>1013.7331945276318</v>
      </c>
      <c r="Z86" s="108">
        <f>'ARCHIVE_Operating Budget'!Z86</f>
        <v>1034.4216270690122</v>
      </c>
      <c r="AA86" s="108">
        <f>'ARCHIVE_Operating Budget'!AA86</f>
        <v>1055.1100596103922</v>
      </c>
      <c r="AB86" s="108">
        <f>'ARCHIVE_Operating Budget'!AB86</f>
        <v>1075.7984921517725</v>
      </c>
      <c r="AC86" s="108">
        <f>'ARCHIVE_Operating Budget'!AC86</f>
        <v>1075.7984921517725</v>
      </c>
      <c r="AD86" s="108">
        <f>'ARCHIVE_Operating Budget'!AD86</f>
        <v>1096.4869246931526</v>
      </c>
      <c r="AE86" s="108">
        <f>'ARCHIVE_Operating Budget'!AE86</f>
        <v>1117.1753572345328</v>
      </c>
      <c r="AF86" s="108">
        <f>'ARCHIVE_Operating Budget'!AF86</f>
        <v>1137.8637897759131</v>
      </c>
      <c r="AG86" s="108">
        <f>'ARCHIVE_Operating Budget'!AG86</f>
        <v>1158.5522223172934</v>
      </c>
      <c r="AH86" s="108">
        <f>'ARCHIVE_Operating Budget'!AH86</f>
        <v>1179.2406548586737</v>
      </c>
      <c r="AI86" s="108">
        <f>'ARCHIVE_Operating Budget'!AI86</f>
        <v>1199.929087400054</v>
      </c>
      <c r="AJ86" s="108">
        <f>'ARCHIVE_Operating Budget'!AJ86</f>
        <v>1199.929087400054</v>
      </c>
      <c r="AK86" s="108">
        <f>'ARCHIVE_Operating Budget'!AK86</f>
        <v>1220.6175199414342</v>
      </c>
      <c r="AL86" s="108">
        <f>'ARCHIVE_Operating Budget'!AL86</f>
        <v>1241.3059524828143</v>
      </c>
      <c r="AM86" s="108">
        <f>'ARCHIVE_Operating Budget'!AM86</f>
        <v>5958.2685719175088</v>
      </c>
      <c r="AN86" s="108">
        <f>'ARCHIVE_Operating Budget'!AN86</f>
        <v>10489.035298479781</v>
      </c>
      <c r="AO86" s="108">
        <f>'ARCHIVE_Operating Budget'!AO86</f>
        <v>13757.80764001786</v>
      </c>
      <c r="AP86" s="102">
        <f>'ARCHIVE_Operating Budget'!AP86</f>
        <v>3.7499999999999999E-3</v>
      </c>
    </row>
    <row r="87" spans="1:42" ht="17" thickBot="1" x14ac:dyDescent="0.25">
      <c r="A87" s="115" t="s">
        <v>511</v>
      </c>
      <c r="B87" s="101"/>
      <c r="C87" s="116">
        <f>'ARCHIVE_Operating Budget'!C87</f>
        <v>-15392.974646122791</v>
      </c>
      <c r="D87" s="116">
        <f>'ARCHIVE_Operating Budget'!D87</f>
        <v>-29434.239321161396</v>
      </c>
      <c r="E87" s="116">
        <f>'ARCHIVE_Operating Budget'!E87</f>
        <v>-36881.027908680699</v>
      </c>
      <c r="F87" s="116">
        <f>'ARCHIVE_Operating Budget'!F87</f>
        <v>-3843.8863337192724</v>
      </c>
      <c r="G87" s="116">
        <f>'ARCHIVE_Operating Budget'!G87</f>
        <v>4891.7094049647576</v>
      </c>
      <c r="H87" s="116">
        <f>'ARCHIVE_Operating Budget'!H87</f>
        <v>9480.8344379352311</v>
      </c>
      <c r="I87" s="116">
        <f>'ARCHIVE_Operating Budget'!I87</f>
        <v>13804.813664235231</v>
      </c>
      <c r="J87" s="116">
        <f>'ARCHIVE_Operating Budget'!J87</f>
        <v>18394.226842552955</v>
      </c>
      <c r="K87" s="116">
        <f>'ARCHIVE_Operating Budget'!K87</f>
        <v>27544.167529926908</v>
      </c>
      <c r="L87" s="116">
        <f>'ARCHIVE_Operating Budget'!L87</f>
        <v>36694.254097188357</v>
      </c>
      <c r="M87" s="116">
        <f>'ARCHIVE_Operating Budget'!M87</f>
        <v>33635.292418797413</v>
      </c>
      <c r="N87" s="116">
        <f>'ARCHIVE_Operating Budget'!N87</f>
        <v>42785.67293767909</v>
      </c>
      <c r="O87" s="116">
        <f>'ARCHIVE_Operating Budget'!O87</f>
        <v>45105.61558691648</v>
      </c>
      <c r="P87" s="116">
        <f>'ARCHIVE_Operating Budget'!P87</f>
        <v>54256.293004283456</v>
      </c>
      <c r="Q87" s="116">
        <f>'ARCHIVE_Operating Budget'!Q87</f>
        <v>53891.295598998542</v>
      </c>
      <c r="R87" s="116">
        <f>'ARCHIVE_Operating Budget'!R87</f>
        <v>63042.272891258064</v>
      </c>
      <c r="S87" s="116">
        <f>'ARCHIVE_Operating Budget'!S87</f>
        <v>67633.018891490181</v>
      </c>
      <c r="T87" s="116">
        <f>'ARCHIVE_Operating Budget'!T87</f>
        <v>76784.29906488808</v>
      </c>
      <c r="U87" s="116">
        <f>'ARCHIVE_Operating Budget'!U87</f>
        <v>81375.349460664263</v>
      </c>
      <c r="V87" s="116">
        <f>'ARCHIVE_Operating Budget'!V87</f>
        <v>85966.553196644614</v>
      </c>
      <c r="W87" s="116">
        <f>'ARCHIVE_Operating Budget'!W87</f>
        <v>87255.0165194695</v>
      </c>
      <c r="X87" s="116">
        <f>'ARCHIVE_Operating Budget'!X87</f>
        <v>91846.529239794821</v>
      </c>
      <c r="Y87" s="116">
        <f>'ARCHIVE_Operating Budget'!Y87</f>
        <v>96043.137935636303</v>
      </c>
      <c r="Z87" s="116">
        <f>'ARCHIVE_Operating Budget'!Z87</f>
        <v>100634.96273787462</v>
      </c>
      <c r="AA87" s="116">
        <f>'ARCHIVE_Operating Budget'!AA87</f>
        <v>102400.41022266186</v>
      </c>
      <c r="AB87" s="116">
        <f>'ARCHIVE_Operating Budget'!AB87</f>
        <v>106992.55023543432</v>
      </c>
      <c r="AC87" s="116">
        <f>'ARCHIVE_Operating Budget'!AC87</f>
        <v>107024.46668155662</v>
      </c>
      <c r="AD87" s="116">
        <f>'ARCHIVE_Operating Budget'!AD87</f>
        <v>111616.92506484887</v>
      </c>
      <c r="AE87" s="116">
        <f>'ARCHIVE_Operating Budget'!AE87</f>
        <v>116209.54382828287</v>
      </c>
      <c r="AF87" s="116">
        <f>'ARCHIVE_Operating Budget'!AF87</f>
        <v>120802.32377375936</v>
      </c>
      <c r="AG87" s="116">
        <f>'ARCHIVE_Operating Budget'!AG87</f>
        <v>125395.2657071885</v>
      </c>
      <c r="AH87" s="116">
        <f>'ARCHIVE_Operating Budget'!AH87</f>
        <v>129988.37043851012</v>
      </c>
      <c r="AI87" s="116">
        <f>'ARCHIVE_Operating Budget'!AI87</f>
        <v>134581.63878171364</v>
      </c>
      <c r="AJ87" s="116">
        <f>'ARCHIVE_Operating Budget'!AJ87</f>
        <v>134614.68919991917</v>
      </c>
      <c r="AK87" s="116">
        <f>'ARCHIVE_Operating Budget'!AK87</f>
        <v>139208.28722515507</v>
      </c>
      <c r="AL87" s="116">
        <f>'ARCHIVE_Operating Budget'!AL87</f>
        <v>143802.05132874235</v>
      </c>
      <c r="AM87" s="116">
        <f>'ARCHIVE_Operating Budget'!AM87</f>
        <v>364385.31951236597</v>
      </c>
      <c r="AN87" s="116">
        <f>'ARCHIVE_Operating Budget'!AN87</f>
        <v>1184414.0107945856</v>
      </c>
      <c r="AO87" s="116">
        <f>'ARCHIVE_Operating Budget'!AO87</f>
        <v>1765066.1891544394</v>
      </c>
      <c r="AP87" s="107">
        <f>'ARCHIVE_Operating Budget'!AP87</f>
        <v>0.4811085008977895</v>
      </c>
    </row>
    <row r="88" spans="1:42" ht="16" thickTop="1" x14ac:dyDescent="0.2"/>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F6966-FC2F-6C4A-8CB2-4EAF0C31DC78}">
  <dimension ref="A1:K40"/>
  <sheetViews>
    <sheetView workbookViewId="0">
      <pane ySplit="4" topLeftCell="A5" activePane="bottomLeft" state="frozen"/>
      <selection pane="bottomLeft"/>
    </sheetView>
  </sheetViews>
  <sheetFormatPr baseColWidth="10" defaultRowHeight="15" x14ac:dyDescent="0.2"/>
  <cols>
    <col min="1" max="1" width="33.33203125" customWidth="1"/>
    <col min="2" max="10" width="16.6640625" customWidth="1"/>
    <col min="11" max="11" width="53.33203125" customWidth="1"/>
  </cols>
  <sheetData>
    <row r="1" spans="1:11" ht="19" x14ac:dyDescent="0.25">
      <c r="A1" s="117" t="s">
        <v>450</v>
      </c>
      <c r="B1" s="2"/>
      <c r="C1" s="2"/>
      <c r="D1" s="2"/>
      <c r="E1" s="2"/>
      <c r="F1" s="2"/>
      <c r="G1" s="2"/>
      <c r="H1" s="2"/>
      <c r="I1" s="2"/>
      <c r="J1" s="2"/>
      <c r="K1" s="2"/>
    </row>
    <row r="2" spans="1:11" x14ac:dyDescent="0.2">
      <c r="A2" s="177" t="s">
        <v>451</v>
      </c>
      <c r="B2" s="2"/>
      <c r="C2" s="2"/>
      <c r="D2" s="2"/>
      <c r="E2" s="2"/>
      <c r="F2" s="2"/>
      <c r="G2" s="2"/>
      <c r="H2" s="2"/>
      <c r="I2" s="2"/>
      <c r="J2" s="2"/>
      <c r="K2" s="2"/>
    </row>
    <row r="3" spans="1:11" x14ac:dyDescent="0.2">
      <c r="A3" s="2"/>
      <c r="B3" s="2"/>
      <c r="C3" s="2"/>
      <c r="D3" s="2"/>
      <c r="E3" s="2"/>
      <c r="F3" s="2"/>
      <c r="G3" s="2"/>
      <c r="H3" s="2"/>
      <c r="I3" s="2"/>
      <c r="J3" s="2"/>
      <c r="K3" s="2"/>
    </row>
    <row r="4" spans="1:11" x14ac:dyDescent="0.2">
      <c r="A4" s="178" t="s">
        <v>452</v>
      </c>
      <c r="B4" s="179" t="s">
        <v>453</v>
      </c>
      <c r="C4" s="179" t="s">
        <v>454</v>
      </c>
      <c r="D4" s="179" t="s">
        <v>455</v>
      </c>
      <c r="E4" s="179" t="s">
        <v>456</v>
      </c>
      <c r="F4" s="179" t="s">
        <v>457</v>
      </c>
      <c r="G4" s="179" t="s">
        <v>458</v>
      </c>
      <c r="H4" s="179" t="s">
        <v>459</v>
      </c>
      <c r="I4" s="179" t="s">
        <v>460</v>
      </c>
      <c r="J4" s="179" t="s">
        <v>461</v>
      </c>
      <c r="K4" s="179" t="s">
        <v>183</v>
      </c>
    </row>
    <row r="5" spans="1:11" x14ac:dyDescent="0.2">
      <c r="A5" s="154" t="s">
        <v>462</v>
      </c>
      <c r="B5" s="160"/>
      <c r="C5" s="160"/>
      <c r="D5" s="160"/>
      <c r="E5" s="160"/>
      <c r="F5" s="160"/>
      <c r="G5" s="160"/>
      <c r="H5" s="160"/>
      <c r="I5" s="160"/>
      <c r="J5" s="160"/>
      <c r="K5" s="160"/>
    </row>
    <row r="6" spans="1:11" x14ac:dyDescent="0.2">
      <c r="A6" s="118" t="s">
        <v>463</v>
      </c>
      <c r="B6" s="119">
        <v>25.95</v>
      </c>
      <c r="C6" s="119">
        <v>24</v>
      </c>
      <c r="D6" s="120">
        <f>C6-B6</f>
        <v>-1.9499999999999993</v>
      </c>
      <c r="E6" s="119">
        <v>41.45</v>
      </c>
      <c r="F6" s="119">
        <v>42.25</v>
      </c>
      <c r="G6" s="120">
        <f>F6-E6</f>
        <v>0.79999999999999716</v>
      </c>
      <c r="H6" s="119">
        <v>55.08</v>
      </c>
      <c r="I6" s="119">
        <v>55.42</v>
      </c>
      <c r="J6" s="120">
        <f>I6-H6</f>
        <v>0.34000000000000341</v>
      </c>
      <c r="K6" s="180" t="s">
        <v>464</v>
      </c>
    </row>
    <row r="7" spans="1:11" x14ac:dyDescent="0.2">
      <c r="A7" s="121" t="s">
        <v>465</v>
      </c>
      <c r="B7" s="122">
        <v>32.25</v>
      </c>
      <c r="C7" s="122">
        <v>33</v>
      </c>
      <c r="D7" s="123">
        <f>C7-B7</f>
        <v>0.75</v>
      </c>
      <c r="E7" s="122">
        <v>49.5</v>
      </c>
      <c r="F7" s="122">
        <v>50</v>
      </c>
      <c r="G7" s="123">
        <f>F7-E7</f>
        <v>0.5</v>
      </c>
      <c r="H7" s="122">
        <v>59.5</v>
      </c>
      <c r="I7" s="122">
        <v>60</v>
      </c>
      <c r="J7" s="123">
        <f>I7-H7</f>
        <v>0.5</v>
      </c>
      <c r="K7" s="181" t="s">
        <v>466</v>
      </c>
    </row>
    <row r="8" spans="1:11" x14ac:dyDescent="0.2">
      <c r="A8" s="2"/>
      <c r="B8" s="2"/>
      <c r="C8" s="2"/>
      <c r="D8" s="2"/>
      <c r="E8" s="2"/>
      <c r="F8" s="2"/>
      <c r="G8" s="2"/>
      <c r="H8" s="2"/>
      <c r="I8" s="2"/>
      <c r="J8" s="2"/>
      <c r="K8" s="2"/>
    </row>
    <row r="9" spans="1:11" x14ac:dyDescent="0.2">
      <c r="A9" s="154" t="s">
        <v>467</v>
      </c>
      <c r="B9" s="160"/>
      <c r="C9" s="160"/>
      <c r="D9" s="160"/>
      <c r="E9" s="160"/>
      <c r="F9" s="160"/>
      <c r="G9" s="160"/>
      <c r="H9" s="160"/>
      <c r="I9" s="160"/>
      <c r="J9" s="160"/>
      <c r="K9" s="160"/>
    </row>
    <row r="10" spans="1:11" x14ac:dyDescent="0.2">
      <c r="A10" s="118" t="s">
        <v>468</v>
      </c>
      <c r="B10" s="124">
        <v>1605199</v>
      </c>
      <c r="C10" s="124">
        <v>1588872</v>
      </c>
      <c r="D10" s="125">
        <f>C10-B10</f>
        <v>-16327</v>
      </c>
      <c r="E10" s="124">
        <v>2628166</v>
      </c>
      <c r="F10" s="124">
        <v>2797076</v>
      </c>
      <c r="G10" s="125">
        <f>F10-E10</f>
        <v>168910</v>
      </c>
      <c r="H10" s="124">
        <v>3580092</v>
      </c>
      <c r="I10" s="124">
        <v>3668749</v>
      </c>
      <c r="J10" s="125">
        <f>I10-H10</f>
        <v>88657</v>
      </c>
      <c r="K10" s="180" t="s">
        <v>469</v>
      </c>
    </row>
    <row r="11" spans="1:11" x14ac:dyDescent="0.2">
      <c r="A11" s="2"/>
      <c r="B11" s="2"/>
      <c r="C11" s="2"/>
      <c r="D11" s="2"/>
      <c r="E11" s="2"/>
      <c r="F11" s="2"/>
      <c r="G11" s="2"/>
      <c r="H11" s="2"/>
      <c r="I11" s="2"/>
      <c r="J11" s="2"/>
      <c r="K11" s="2"/>
    </row>
    <row r="12" spans="1:11" x14ac:dyDescent="0.2">
      <c r="A12" s="154" t="s">
        <v>470</v>
      </c>
      <c r="B12" s="160"/>
      <c r="C12" s="160"/>
      <c r="D12" s="160"/>
      <c r="E12" s="160"/>
      <c r="F12" s="160"/>
      <c r="G12" s="160"/>
      <c r="H12" s="160"/>
      <c r="I12" s="160"/>
      <c r="J12" s="160"/>
      <c r="K12" s="160"/>
    </row>
    <row r="13" spans="1:11" x14ac:dyDescent="0.2">
      <c r="A13" s="118" t="s">
        <v>471</v>
      </c>
      <c r="B13" s="124">
        <v>30423</v>
      </c>
      <c r="C13" s="124">
        <v>279772</v>
      </c>
      <c r="D13" s="125">
        <f>C13-B13</f>
        <v>249349</v>
      </c>
      <c r="E13" s="124">
        <v>498276</v>
      </c>
      <c r="F13" s="124">
        <v>1093561</v>
      </c>
      <c r="G13" s="125">
        <f>F13-E13</f>
        <v>595285</v>
      </c>
      <c r="H13" s="124">
        <v>955488</v>
      </c>
      <c r="I13" s="124">
        <v>1525084</v>
      </c>
      <c r="J13" s="125">
        <f>I13-H13</f>
        <v>569596</v>
      </c>
      <c r="K13" s="180" t="s">
        <v>472</v>
      </c>
    </row>
    <row r="14" spans="1:11" x14ac:dyDescent="0.2">
      <c r="A14" s="118" t="s">
        <v>473</v>
      </c>
      <c r="B14" s="126">
        <v>1.9E-2</v>
      </c>
      <c r="C14" s="126">
        <v>0.17599999999999999</v>
      </c>
      <c r="D14" s="127">
        <f>C14-B14</f>
        <v>0.157</v>
      </c>
      <c r="E14" s="126">
        <v>0.18959999999999999</v>
      </c>
      <c r="F14" s="126">
        <v>0.39100000000000001</v>
      </c>
      <c r="G14" s="127">
        <f>F14-E14</f>
        <v>0.20140000000000002</v>
      </c>
      <c r="H14" s="126">
        <v>0.26690000000000003</v>
      </c>
      <c r="I14" s="126">
        <v>0.41599999999999998</v>
      </c>
      <c r="J14" s="127">
        <f>I14-H14</f>
        <v>0.14909999999999995</v>
      </c>
      <c r="K14" s="180" t="s">
        <v>474</v>
      </c>
    </row>
    <row r="15" spans="1:11" x14ac:dyDescent="0.2">
      <c r="A15" s="118" t="s">
        <v>475</v>
      </c>
      <c r="B15" s="124">
        <v>9438</v>
      </c>
      <c r="C15" s="124">
        <v>189559</v>
      </c>
      <c r="D15" s="125">
        <f>C15-B15</f>
        <v>180121</v>
      </c>
      <c r="E15" s="124">
        <v>471829</v>
      </c>
      <c r="F15" s="124">
        <v>1000295</v>
      </c>
      <c r="G15" s="125">
        <f>F15-E15</f>
        <v>528466</v>
      </c>
      <c r="H15" s="124">
        <v>935142</v>
      </c>
      <c r="I15" s="124">
        <v>1430200</v>
      </c>
      <c r="J15" s="125">
        <f>I15-H15</f>
        <v>495058</v>
      </c>
      <c r="K15" s="180" t="s">
        <v>476</v>
      </c>
    </row>
    <row r="16" spans="1:11" x14ac:dyDescent="0.2">
      <c r="A16" s="2"/>
      <c r="B16" s="2"/>
      <c r="C16" s="2"/>
      <c r="D16" s="2"/>
      <c r="E16" s="2"/>
      <c r="F16" s="2"/>
      <c r="G16" s="2"/>
      <c r="H16" s="2"/>
      <c r="I16" s="2"/>
      <c r="J16" s="2"/>
      <c r="K16" s="2"/>
    </row>
    <row r="17" spans="1:11" x14ac:dyDescent="0.2">
      <c r="A17" s="154" t="s">
        <v>477</v>
      </c>
      <c r="B17" s="160"/>
      <c r="C17" s="160"/>
      <c r="D17" s="160"/>
      <c r="E17" s="160"/>
      <c r="F17" s="160"/>
      <c r="G17" s="160"/>
      <c r="H17" s="160"/>
      <c r="I17" s="160"/>
      <c r="J17" s="160"/>
      <c r="K17" s="160"/>
    </row>
    <row r="18" spans="1:11" x14ac:dyDescent="0.2">
      <c r="A18" s="118" t="s">
        <v>478</v>
      </c>
      <c r="B18" s="124">
        <v>1430476</v>
      </c>
      <c r="C18" s="124">
        <v>579007</v>
      </c>
      <c r="D18" s="125">
        <f>C18-B18</f>
        <v>-851469</v>
      </c>
      <c r="E18" s="124">
        <v>1827799</v>
      </c>
      <c r="F18" s="124">
        <v>982546</v>
      </c>
      <c r="G18" s="125">
        <f>F18-E18</f>
        <v>-845253</v>
      </c>
      <c r="H18" s="124">
        <v>2224286</v>
      </c>
      <c r="I18" s="124">
        <v>1259052</v>
      </c>
      <c r="J18" s="125">
        <f>I18-H18</f>
        <v>-965234</v>
      </c>
      <c r="K18" s="180" t="s">
        <v>479</v>
      </c>
    </row>
    <row r="19" spans="1:11" x14ac:dyDescent="0.2">
      <c r="A19" s="118" t="s">
        <v>480</v>
      </c>
      <c r="B19" s="124">
        <v>216174</v>
      </c>
      <c r="C19" s="124">
        <v>730092</v>
      </c>
      <c r="D19" s="125">
        <f>C19-B19</f>
        <v>513918</v>
      </c>
      <c r="E19" s="124">
        <v>340716</v>
      </c>
      <c r="F19" s="124">
        <v>720969</v>
      </c>
      <c r="G19" s="125">
        <f>F19-E19</f>
        <v>380253</v>
      </c>
      <c r="H19" s="124">
        <v>456678</v>
      </c>
      <c r="I19" s="124">
        <v>884613</v>
      </c>
      <c r="J19" s="125">
        <f>I19-H19</f>
        <v>427935</v>
      </c>
      <c r="K19" s="180" t="s">
        <v>481</v>
      </c>
    </row>
    <row r="20" spans="1:11" x14ac:dyDescent="0.2">
      <c r="A20" s="2"/>
      <c r="B20" s="2"/>
      <c r="C20" s="2"/>
      <c r="D20" s="2"/>
      <c r="E20" s="2"/>
      <c r="F20" s="2"/>
      <c r="G20" s="2"/>
      <c r="H20" s="2"/>
      <c r="I20" s="2"/>
      <c r="J20" s="2"/>
      <c r="K20" s="2"/>
    </row>
    <row r="21" spans="1:11" x14ac:dyDescent="0.2">
      <c r="A21" s="154" t="s">
        <v>482</v>
      </c>
      <c r="B21" s="160"/>
      <c r="C21" s="160"/>
      <c r="D21" s="160"/>
      <c r="E21" s="160"/>
      <c r="F21" s="160"/>
      <c r="G21" s="160"/>
      <c r="H21" s="160"/>
      <c r="I21" s="160"/>
      <c r="J21" s="160"/>
      <c r="K21" s="160"/>
    </row>
    <row r="22" spans="1:11" x14ac:dyDescent="0.2">
      <c r="A22" s="118" t="s">
        <v>483</v>
      </c>
      <c r="B22" s="124">
        <v>300000</v>
      </c>
      <c r="C22" s="182" t="s">
        <v>484</v>
      </c>
      <c r="D22" s="2"/>
      <c r="E22" s="2"/>
      <c r="F22" s="2"/>
      <c r="G22" s="2"/>
      <c r="H22" s="2"/>
      <c r="I22" s="2"/>
      <c r="J22" s="2"/>
      <c r="K22" s="180" t="s">
        <v>485</v>
      </c>
    </row>
    <row r="23" spans="1:11" x14ac:dyDescent="0.2">
      <c r="A23" s="118" t="s">
        <v>486</v>
      </c>
      <c r="B23" s="124">
        <v>500000</v>
      </c>
      <c r="C23" s="182" t="s">
        <v>484</v>
      </c>
      <c r="D23" s="2"/>
      <c r="E23" s="2"/>
      <c r="F23" s="2"/>
      <c r="G23" s="2"/>
      <c r="H23" s="2"/>
      <c r="I23" s="2"/>
      <c r="J23" s="2"/>
      <c r="K23" s="180" t="s">
        <v>487</v>
      </c>
    </row>
    <row r="24" spans="1:11" x14ac:dyDescent="0.2">
      <c r="A24" s="118" t="s">
        <v>488</v>
      </c>
      <c r="B24" s="124">
        <v>250000</v>
      </c>
      <c r="C24" s="182" t="s">
        <v>484</v>
      </c>
      <c r="D24" s="2"/>
      <c r="E24" s="2"/>
      <c r="F24" s="2"/>
      <c r="G24" s="2"/>
      <c r="H24" s="2"/>
      <c r="I24" s="2"/>
      <c r="J24" s="2"/>
      <c r="K24" s="180" t="s">
        <v>489</v>
      </c>
    </row>
    <row r="25" spans="1:11" x14ac:dyDescent="0.2">
      <c r="A25" s="118" t="s">
        <v>490</v>
      </c>
      <c r="B25" s="183" t="s">
        <v>491</v>
      </c>
      <c r="C25" s="182" t="s">
        <v>484</v>
      </c>
      <c r="D25" s="2"/>
      <c r="E25" s="2"/>
      <c r="F25" s="2"/>
      <c r="G25" s="2"/>
      <c r="H25" s="2"/>
      <c r="I25" s="2"/>
      <c r="J25" s="2"/>
      <c r="K25" s="184" t="s">
        <v>492</v>
      </c>
    </row>
    <row r="26" spans="1:11" x14ac:dyDescent="0.2">
      <c r="A26" s="2"/>
      <c r="B26" s="2"/>
      <c r="C26" s="2"/>
      <c r="D26" s="2"/>
      <c r="E26" s="2"/>
      <c r="F26" s="2"/>
      <c r="G26" s="2"/>
      <c r="H26" s="2"/>
      <c r="I26" s="2"/>
      <c r="J26" s="2"/>
      <c r="K26" s="2"/>
    </row>
    <row r="27" spans="1:11" x14ac:dyDescent="0.2">
      <c r="A27" s="154" t="s">
        <v>493</v>
      </c>
      <c r="B27" s="160"/>
      <c r="C27" s="160"/>
      <c r="D27" s="160"/>
      <c r="E27" s="160"/>
      <c r="F27" s="160"/>
      <c r="G27" s="160"/>
      <c r="H27" s="160"/>
      <c r="I27" s="160"/>
      <c r="J27" s="160"/>
      <c r="K27" s="160"/>
    </row>
    <row r="28" spans="1:11" x14ac:dyDescent="0.2">
      <c r="A28" s="2"/>
      <c r="B28" s="2"/>
      <c r="C28" s="2"/>
      <c r="D28" s="2"/>
      <c r="E28" s="2"/>
      <c r="F28" s="2"/>
      <c r="G28" s="2"/>
      <c r="H28" s="2"/>
      <c r="I28" s="2"/>
      <c r="J28" s="2"/>
      <c r="K28" s="2"/>
    </row>
    <row r="29" spans="1:11" x14ac:dyDescent="0.2">
      <c r="A29" s="118" t="s">
        <v>494</v>
      </c>
      <c r="B29" s="2"/>
      <c r="C29" s="2"/>
      <c r="D29" s="2"/>
      <c r="E29" s="2"/>
      <c r="F29" s="2"/>
      <c r="G29" s="2"/>
      <c r="H29" s="2"/>
      <c r="I29" s="2"/>
      <c r="J29" s="2"/>
      <c r="K29" s="2"/>
    </row>
    <row r="30" spans="1:11" x14ac:dyDescent="0.2">
      <c r="A30" s="2"/>
      <c r="B30" s="2"/>
      <c r="C30" s="2"/>
      <c r="D30" s="2"/>
      <c r="E30" s="2"/>
      <c r="F30" s="2"/>
      <c r="G30" s="2"/>
      <c r="H30" s="2"/>
      <c r="I30" s="2"/>
      <c r="J30" s="2"/>
      <c r="K30" s="2"/>
    </row>
    <row r="31" spans="1:11" x14ac:dyDescent="0.2">
      <c r="A31" s="118" t="s">
        <v>495</v>
      </c>
      <c r="B31" s="2"/>
      <c r="C31" s="2"/>
      <c r="D31" s="2"/>
      <c r="E31" s="2"/>
      <c r="F31" s="2"/>
      <c r="G31" s="2"/>
      <c r="H31" s="2"/>
      <c r="I31" s="2"/>
      <c r="J31" s="2"/>
      <c r="K31" s="2"/>
    </row>
    <row r="32" spans="1:11" x14ac:dyDescent="0.2">
      <c r="A32" s="118" t="s">
        <v>496</v>
      </c>
      <c r="B32" s="2"/>
      <c r="C32" s="2"/>
      <c r="D32" s="2"/>
      <c r="E32" s="2"/>
      <c r="F32" s="2"/>
      <c r="G32" s="2"/>
      <c r="H32" s="2"/>
      <c r="I32" s="2"/>
      <c r="J32" s="2"/>
      <c r="K32" s="2"/>
    </row>
    <row r="33" spans="1:11" x14ac:dyDescent="0.2">
      <c r="A33" s="118" t="s">
        <v>497</v>
      </c>
      <c r="B33" s="2"/>
      <c r="C33" s="2"/>
      <c r="D33" s="2"/>
      <c r="E33" s="2"/>
      <c r="F33" s="2"/>
      <c r="G33" s="2"/>
      <c r="H33" s="2"/>
      <c r="I33" s="2"/>
      <c r="J33" s="2"/>
      <c r="K33" s="2"/>
    </row>
    <row r="34" spans="1:11" x14ac:dyDescent="0.2">
      <c r="A34" s="118" t="s">
        <v>498</v>
      </c>
      <c r="B34" s="2"/>
      <c r="C34" s="2"/>
      <c r="D34" s="2"/>
      <c r="E34" s="2"/>
      <c r="F34" s="2"/>
      <c r="G34" s="2"/>
      <c r="H34" s="2"/>
      <c r="I34" s="2"/>
      <c r="J34" s="2"/>
      <c r="K34" s="2"/>
    </row>
    <row r="35" spans="1:11" x14ac:dyDescent="0.2">
      <c r="A35" s="118" t="s">
        <v>499</v>
      </c>
      <c r="B35" s="2"/>
      <c r="C35" s="2"/>
      <c r="D35" s="2"/>
      <c r="E35" s="2"/>
      <c r="F35" s="2"/>
      <c r="G35" s="2"/>
      <c r="H35" s="2"/>
      <c r="I35" s="2"/>
      <c r="J35" s="2"/>
      <c r="K35" s="2"/>
    </row>
    <row r="36" spans="1:11" x14ac:dyDescent="0.2">
      <c r="A36" s="118" t="s">
        <v>500</v>
      </c>
      <c r="B36" s="2"/>
      <c r="C36" s="2"/>
      <c r="D36" s="2"/>
      <c r="E36" s="2"/>
      <c r="F36" s="2"/>
      <c r="G36" s="2"/>
      <c r="H36" s="2"/>
      <c r="I36" s="2"/>
      <c r="J36" s="2"/>
      <c r="K36" s="2"/>
    </row>
    <row r="37" spans="1:11" x14ac:dyDescent="0.2">
      <c r="A37" s="118" t="s">
        <v>501</v>
      </c>
      <c r="B37" s="2"/>
      <c r="C37" s="2"/>
      <c r="D37" s="2"/>
      <c r="E37" s="2"/>
      <c r="F37" s="2"/>
      <c r="G37" s="2"/>
      <c r="H37" s="2"/>
      <c r="I37" s="2"/>
      <c r="J37" s="2"/>
      <c r="K37" s="2"/>
    </row>
    <row r="38" spans="1:11" x14ac:dyDescent="0.2">
      <c r="A38" s="2"/>
      <c r="B38" s="2"/>
      <c r="C38" s="2"/>
      <c r="D38" s="2"/>
      <c r="E38" s="2"/>
      <c r="F38" s="2"/>
      <c r="G38" s="2"/>
      <c r="H38" s="2"/>
      <c r="I38" s="2"/>
      <c r="J38" s="2"/>
      <c r="K38" s="2"/>
    </row>
    <row r="39" spans="1:11" x14ac:dyDescent="0.2">
      <c r="A39" s="128" t="s">
        <v>502</v>
      </c>
      <c r="B39" s="2"/>
      <c r="C39" s="2"/>
      <c r="D39" s="2"/>
      <c r="E39" s="2"/>
      <c r="F39" s="2"/>
      <c r="G39" s="2"/>
      <c r="H39" s="2"/>
      <c r="I39" s="2"/>
      <c r="J39" s="2"/>
      <c r="K39" s="2"/>
    </row>
    <row r="40" spans="1:11" x14ac:dyDescent="0.2">
      <c r="A40" s="128" t="s">
        <v>503</v>
      </c>
      <c r="B40" s="2"/>
      <c r="C40" s="2"/>
      <c r="D40" s="2"/>
      <c r="E40" s="2"/>
      <c r="F40" s="2"/>
      <c r="G40" s="2"/>
      <c r="H40" s="2"/>
      <c r="I40" s="2"/>
      <c r="J40" s="2"/>
      <c r="K4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7"/>
  <sheetViews>
    <sheetView showGridLines="0" zoomScaleNormal="100" workbookViewId="0"/>
  </sheetViews>
  <sheetFormatPr baseColWidth="10" defaultColWidth="8.6640625" defaultRowHeight="15" x14ac:dyDescent="0.2"/>
  <cols>
    <col min="1" max="1" width="38" customWidth="1"/>
    <col min="2" max="2" width="20" customWidth="1"/>
    <col min="3" max="20" width="10" customWidth="1"/>
    <col min="21" max="21" width="14" customWidth="1"/>
  </cols>
  <sheetData>
    <row r="1" spans="1:21" ht="25.5" customHeight="1" x14ac:dyDescent="0.2">
      <c r="A1" s="34" t="s">
        <v>411</v>
      </c>
      <c r="B1" s="34"/>
      <c r="C1" s="34"/>
      <c r="D1" s="34"/>
      <c r="E1" s="34"/>
      <c r="F1" s="34"/>
      <c r="G1" s="34"/>
      <c r="H1" s="34"/>
      <c r="I1" s="34"/>
      <c r="J1" s="34"/>
      <c r="K1" s="34"/>
      <c r="L1" s="34"/>
      <c r="M1" s="34"/>
      <c r="N1" s="34"/>
      <c r="O1" s="34"/>
      <c r="P1" s="34"/>
      <c r="Q1" s="34"/>
      <c r="R1" s="34"/>
      <c r="S1" s="34"/>
      <c r="T1" s="34"/>
      <c r="U1" s="34"/>
    </row>
    <row r="2" spans="1:21" x14ac:dyDescent="0.2">
      <c r="A2" s="134" t="s">
        <v>412</v>
      </c>
      <c r="B2" s="134"/>
      <c r="C2" s="134"/>
      <c r="D2" s="134"/>
      <c r="E2" s="134"/>
      <c r="F2" s="134"/>
      <c r="G2" s="134"/>
      <c r="H2" s="134"/>
      <c r="I2" s="134"/>
      <c r="J2" s="134"/>
      <c r="K2" s="134"/>
      <c r="L2" s="134"/>
      <c r="M2" s="134"/>
      <c r="N2" s="134"/>
      <c r="O2" s="134"/>
      <c r="P2" s="134"/>
      <c r="Q2" s="134"/>
      <c r="R2" s="134"/>
      <c r="S2" s="134"/>
      <c r="T2" s="134"/>
      <c r="U2" s="134"/>
    </row>
    <row r="3" spans="1:21" x14ac:dyDescent="0.2">
      <c r="A3" s="2"/>
      <c r="B3" s="2"/>
      <c r="C3" s="2"/>
      <c r="D3" s="2"/>
      <c r="E3" s="2"/>
      <c r="F3" s="2"/>
      <c r="G3" s="2"/>
      <c r="H3" s="2"/>
      <c r="I3" s="2"/>
      <c r="J3" s="2"/>
      <c r="K3" s="2"/>
      <c r="L3" s="2"/>
      <c r="M3" s="2"/>
      <c r="N3" s="2"/>
      <c r="O3" s="2"/>
      <c r="P3" s="2"/>
      <c r="Q3" s="2"/>
      <c r="R3" s="2"/>
      <c r="S3" s="2"/>
      <c r="T3" s="2"/>
      <c r="U3" s="2"/>
    </row>
    <row r="4" spans="1:21" x14ac:dyDescent="0.2">
      <c r="A4" s="3" t="s">
        <v>413</v>
      </c>
      <c r="B4" s="3"/>
      <c r="C4" s="3"/>
      <c r="D4" s="3"/>
      <c r="E4" s="3"/>
      <c r="F4" s="3"/>
      <c r="G4" s="3"/>
      <c r="H4" s="3"/>
      <c r="I4" s="3"/>
      <c r="J4" s="3"/>
      <c r="K4" s="3"/>
      <c r="L4" s="3"/>
      <c r="M4" s="3"/>
      <c r="N4" s="3"/>
      <c r="O4" s="3"/>
      <c r="P4" s="3"/>
      <c r="Q4" s="3"/>
      <c r="R4" s="3"/>
      <c r="S4" s="3"/>
      <c r="T4" s="3"/>
      <c r="U4" s="3"/>
    </row>
    <row r="5" spans="1:21" x14ac:dyDescent="0.2">
      <c r="A5" s="72" t="s">
        <v>414</v>
      </c>
      <c r="B5" s="72" t="s">
        <v>415</v>
      </c>
      <c r="C5" s="129" t="s">
        <v>416</v>
      </c>
      <c r="D5" s="129"/>
      <c r="E5" s="129"/>
      <c r="F5" s="129"/>
      <c r="G5" s="129"/>
      <c r="H5" s="129"/>
      <c r="I5" s="129"/>
      <c r="J5" s="129"/>
      <c r="K5" s="129"/>
      <c r="L5" s="129"/>
      <c r="M5" s="129"/>
      <c r="N5" s="129"/>
      <c r="O5" s="129"/>
      <c r="P5" s="129"/>
      <c r="Q5" s="129"/>
      <c r="R5" s="129"/>
      <c r="S5" s="129"/>
      <c r="T5" s="129"/>
      <c r="U5" s="129"/>
    </row>
    <row r="6" spans="1:21" x14ac:dyDescent="0.2">
      <c r="A6" s="77" t="s">
        <v>417</v>
      </c>
      <c r="B6" s="37" t="s">
        <v>418</v>
      </c>
      <c r="C6" s="19" t="s">
        <v>419</v>
      </c>
      <c r="D6" s="19"/>
      <c r="E6" s="19"/>
      <c r="F6" s="19"/>
      <c r="G6" s="19"/>
      <c r="H6" s="19"/>
      <c r="I6" s="19"/>
      <c r="J6" s="19"/>
      <c r="K6" s="19"/>
      <c r="L6" s="19"/>
      <c r="M6" s="19"/>
      <c r="N6" s="19"/>
      <c r="O6" s="19"/>
      <c r="P6" s="19"/>
      <c r="Q6" s="19"/>
      <c r="R6" s="19"/>
      <c r="S6" s="19"/>
      <c r="T6" s="19"/>
      <c r="U6" s="19"/>
    </row>
    <row r="7" spans="1:21" x14ac:dyDescent="0.2">
      <c r="A7" s="73" t="s">
        <v>420</v>
      </c>
      <c r="B7" s="40" t="s">
        <v>421</v>
      </c>
      <c r="C7" s="130" t="s">
        <v>422</v>
      </c>
      <c r="D7" s="130"/>
      <c r="E7" s="130"/>
      <c r="F7" s="130"/>
      <c r="G7" s="130"/>
      <c r="H7" s="130"/>
      <c r="I7" s="130"/>
      <c r="J7" s="130"/>
      <c r="K7" s="130"/>
      <c r="L7" s="130"/>
      <c r="M7" s="130"/>
      <c r="N7" s="130"/>
      <c r="O7" s="130"/>
      <c r="P7" s="130"/>
      <c r="Q7" s="130"/>
      <c r="R7" s="130"/>
      <c r="S7" s="130"/>
      <c r="T7" s="130"/>
      <c r="U7" s="130"/>
    </row>
    <row r="8" spans="1:21" x14ac:dyDescent="0.2">
      <c r="A8" s="77" t="s">
        <v>423</v>
      </c>
      <c r="B8" s="37" t="s">
        <v>424</v>
      </c>
      <c r="C8" s="19" t="s">
        <v>425</v>
      </c>
      <c r="D8" s="19"/>
      <c r="E8" s="19"/>
      <c r="F8" s="19"/>
      <c r="G8" s="19"/>
      <c r="H8" s="19"/>
      <c r="I8" s="19"/>
      <c r="J8" s="19"/>
      <c r="K8" s="19"/>
      <c r="L8" s="19"/>
      <c r="M8" s="19"/>
      <c r="N8" s="19"/>
      <c r="O8" s="19"/>
      <c r="P8" s="19"/>
      <c r="Q8" s="19"/>
      <c r="R8" s="19"/>
      <c r="S8" s="19"/>
      <c r="T8" s="19"/>
      <c r="U8" s="19"/>
    </row>
    <row r="9" spans="1:21" x14ac:dyDescent="0.2">
      <c r="A9" s="73" t="s">
        <v>426</v>
      </c>
      <c r="B9" s="40" t="s">
        <v>427</v>
      </c>
      <c r="C9" s="130" t="s">
        <v>428</v>
      </c>
      <c r="D9" s="130"/>
      <c r="E9" s="130"/>
      <c r="F9" s="130"/>
      <c r="G9" s="130"/>
      <c r="H9" s="130"/>
      <c r="I9" s="130"/>
      <c r="J9" s="130"/>
      <c r="K9" s="130"/>
      <c r="L9" s="130"/>
      <c r="M9" s="130"/>
      <c r="N9" s="130"/>
      <c r="O9" s="130"/>
      <c r="P9" s="130"/>
      <c r="Q9" s="130"/>
      <c r="R9" s="130"/>
      <c r="S9" s="130"/>
      <c r="T9" s="130"/>
      <c r="U9" s="130"/>
    </row>
    <row r="10" spans="1:21" x14ac:dyDescent="0.2">
      <c r="A10" s="77" t="s">
        <v>429</v>
      </c>
      <c r="B10" s="37" t="s">
        <v>430</v>
      </c>
      <c r="C10" s="19" t="s">
        <v>431</v>
      </c>
      <c r="D10" s="19"/>
      <c r="E10" s="19"/>
      <c r="F10" s="19"/>
      <c r="G10" s="19"/>
      <c r="H10" s="19"/>
      <c r="I10" s="19"/>
      <c r="J10" s="19"/>
      <c r="K10" s="19"/>
      <c r="L10" s="19"/>
      <c r="M10" s="19"/>
      <c r="N10" s="19"/>
      <c r="O10" s="19"/>
      <c r="P10" s="19"/>
      <c r="Q10" s="19"/>
      <c r="R10" s="19"/>
      <c r="S10" s="19"/>
      <c r="T10" s="19"/>
      <c r="U10" s="19"/>
    </row>
    <row r="11" spans="1:21" x14ac:dyDescent="0.2">
      <c r="A11" s="3" t="s">
        <v>432</v>
      </c>
      <c r="B11" s="3"/>
      <c r="C11" s="3"/>
      <c r="D11" s="3"/>
      <c r="E11" s="3"/>
      <c r="F11" s="3"/>
      <c r="G11" s="3"/>
      <c r="H11" s="3"/>
      <c r="I11" s="3"/>
      <c r="J11" s="3"/>
      <c r="K11" s="3"/>
      <c r="L11" s="3"/>
      <c r="M11" s="3"/>
      <c r="N11" s="3"/>
      <c r="O11" s="3"/>
      <c r="P11" s="3"/>
      <c r="Q11" s="3"/>
      <c r="R11" s="3"/>
      <c r="S11" s="3"/>
      <c r="T11" s="3"/>
      <c r="U11" s="3"/>
    </row>
    <row r="12" spans="1:21" x14ac:dyDescent="0.2">
      <c r="A12" s="62" t="s">
        <v>335</v>
      </c>
      <c r="B12" s="63"/>
      <c r="C12" s="64" t="s">
        <v>270</v>
      </c>
      <c r="D12" s="64" t="s">
        <v>273</v>
      </c>
      <c r="E12" s="64" t="s">
        <v>275</v>
      </c>
      <c r="F12" s="64" t="s">
        <v>276</v>
      </c>
      <c r="G12" s="64" t="s">
        <v>277</v>
      </c>
      <c r="H12" s="64" t="s">
        <v>278</v>
      </c>
      <c r="I12" s="64" t="s">
        <v>279</v>
      </c>
      <c r="J12" s="64" t="s">
        <v>280</v>
      </c>
      <c r="K12" s="64" t="s">
        <v>281</v>
      </c>
      <c r="L12" s="64" t="s">
        <v>282</v>
      </c>
      <c r="M12" s="64" t="s">
        <v>283</v>
      </c>
      <c r="N12" s="64" t="s">
        <v>284</v>
      </c>
      <c r="O12" s="64" t="s">
        <v>286</v>
      </c>
      <c r="P12" s="64" t="s">
        <v>288</v>
      </c>
      <c r="Q12" s="64" t="s">
        <v>289</v>
      </c>
      <c r="R12" s="64" t="s">
        <v>290</v>
      </c>
      <c r="S12" s="64" t="s">
        <v>291</v>
      </c>
      <c r="T12" s="64" t="s">
        <v>292</v>
      </c>
      <c r="U12" s="65" t="s">
        <v>433</v>
      </c>
    </row>
    <row r="13" spans="1:21" x14ac:dyDescent="0.2">
      <c r="A13" s="4" t="s">
        <v>358</v>
      </c>
      <c r="B13" s="66"/>
      <c r="C13" s="84">
        <f>'ARCHIVE_Revenue Model'!$C$39</f>
        <v>82753.730165520959</v>
      </c>
      <c r="D13" s="84">
        <f>'ARCHIVE_Revenue Model'!$D$39</f>
        <v>93787.560854257084</v>
      </c>
      <c r="E13" s="84">
        <f>'ARCHIVE_Revenue Model'!$E$39</f>
        <v>99304.476198625154</v>
      </c>
      <c r="F13" s="84">
        <f>'ARCHIVE_Revenue Model'!$F$39</f>
        <v>110338.30688736129</v>
      </c>
      <c r="G13" s="84">
        <f>'ARCHIVE_Revenue Model'!$G$39</f>
        <v>121372.13757609742</v>
      </c>
      <c r="H13" s="84">
        <f>'ARCHIVE_Revenue Model'!$H$39</f>
        <v>126889.05292046547</v>
      </c>
      <c r="I13" s="84">
        <f>'ARCHIVE_Revenue Model'!$I$39</f>
        <v>137922.88360920161</v>
      </c>
      <c r="J13" s="84">
        <f>'ARCHIVE_Revenue Model'!$J$39</f>
        <v>143439.79895356967</v>
      </c>
      <c r="K13" s="84">
        <f>'ARCHIVE_Revenue Model'!$K$39</f>
        <v>154473.62964230578</v>
      </c>
      <c r="L13" s="84">
        <f>'ARCHIVE_Revenue Model'!$L$39</f>
        <v>165507.46033104192</v>
      </c>
      <c r="M13" s="84">
        <f>'ARCHIVE_Revenue Model'!$M$39</f>
        <v>171024.37567541</v>
      </c>
      <c r="N13" s="84">
        <f>'ARCHIVE_Revenue Model'!$N$39</f>
        <v>182058.20636414611</v>
      </c>
      <c r="O13" s="84">
        <f>'ARCHIVE_Revenue Model'!$O$39</f>
        <v>187575.12170851417</v>
      </c>
      <c r="P13" s="84">
        <f>'ARCHIVE_Revenue Model'!$P$39</f>
        <v>198608.95239725031</v>
      </c>
      <c r="Q13" s="84">
        <f>'ARCHIVE_Revenue Model'!$Q$39</f>
        <v>204125.86774161839</v>
      </c>
      <c r="R13" s="84">
        <f>'ARCHIVE_Revenue Model'!$R$39</f>
        <v>215159.6984303545</v>
      </c>
      <c r="S13" s="84">
        <f>'ARCHIVE_Revenue Model'!$S$39</f>
        <v>220676.61377472259</v>
      </c>
      <c r="T13" s="84">
        <f>'ARCHIVE_Revenue Model'!$T$39</f>
        <v>231710.4444634587</v>
      </c>
      <c r="U13" s="142"/>
    </row>
    <row r="14" spans="1:21" x14ac:dyDescent="0.2">
      <c r="A14" s="7" t="s">
        <v>434</v>
      </c>
      <c r="B14" s="69"/>
      <c r="C14" s="71">
        <f>'ARCHIVE_Revenue Model'!$C$40</f>
        <v>0</v>
      </c>
      <c r="D14" s="71">
        <f>'ARCHIVE_Revenue Model'!$D$40</f>
        <v>0</v>
      </c>
      <c r="E14" s="71">
        <f>'ARCHIVE_Revenue Model'!$E$40</f>
        <v>82753.730165520959</v>
      </c>
      <c r="F14" s="71">
        <f>'ARCHIVE_Revenue Model'!$F$40</f>
        <v>93787.560854257084</v>
      </c>
      <c r="G14" s="71">
        <f>'ARCHIVE_Revenue Model'!$G$40</f>
        <v>99304.476198625154</v>
      </c>
      <c r="H14" s="71">
        <f>'ARCHIVE_Revenue Model'!$H$40</f>
        <v>0</v>
      </c>
      <c r="I14" s="71">
        <f>'ARCHIVE_Revenue Model'!$I$40</f>
        <v>0</v>
      </c>
      <c r="J14" s="71">
        <f>'ARCHIVE_Revenue Model'!$J$40</f>
        <v>0</v>
      </c>
      <c r="K14" s="71">
        <f>'ARCHIVE_Revenue Model'!$K$40</f>
        <v>496522.38099312584</v>
      </c>
      <c r="L14" s="71">
        <f>'ARCHIVE_Revenue Model'!$L$40</f>
        <v>143439.79895356967</v>
      </c>
      <c r="M14" s="71">
        <f>'ARCHIVE_Revenue Model'!$M$40</f>
        <v>154473.62964230578</v>
      </c>
      <c r="N14" s="71">
        <f>'ARCHIVE_Revenue Model'!$N$40</f>
        <v>165507.46033104192</v>
      </c>
      <c r="O14" s="71">
        <f>'ARCHIVE_Revenue Model'!$O$40</f>
        <v>171024.37567541</v>
      </c>
      <c r="P14" s="71">
        <f>'ARCHIVE_Revenue Model'!$P$40</f>
        <v>182058.20636414611</v>
      </c>
      <c r="Q14" s="71">
        <f>'ARCHIVE_Revenue Model'!$Q$40</f>
        <v>187575.12170851417</v>
      </c>
      <c r="R14" s="71">
        <f>'ARCHIVE_Revenue Model'!$R$40</f>
        <v>198608.95239725031</v>
      </c>
      <c r="S14" s="71">
        <f>'ARCHIVE_Revenue Model'!$S$40</f>
        <v>204125.86774161839</v>
      </c>
      <c r="T14" s="71">
        <f>'ARCHIVE_Revenue Model'!$T$40</f>
        <v>215159.6984303545</v>
      </c>
      <c r="U14" s="142"/>
    </row>
    <row r="15" spans="1:21" x14ac:dyDescent="0.2">
      <c r="A15" s="86" t="s">
        <v>435</v>
      </c>
      <c r="B15" s="87"/>
      <c r="C15" s="88">
        <f>'ARCHIVE_Revenue Model'!$C$41</f>
        <v>-82753.730165520959</v>
      </c>
      <c r="D15" s="88">
        <f>'ARCHIVE_Revenue Model'!$D$41</f>
        <v>-176541.29101977806</v>
      </c>
      <c r="E15" s="88">
        <f>'ARCHIVE_Revenue Model'!$E$41</f>
        <v>-193092.03705288225</v>
      </c>
      <c r="F15" s="88">
        <f>'ARCHIVE_Revenue Model'!$F$41</f>
        <v>-209642.78308598645</v>
      </c>
      <c r="G15" s="88">
        <f>'ARCHIVE_Revenue Model'!$G$41</f>
        <v>-231710.44446345873</v>
      </c>
      <c r="H15" s="88">
        <f>'ARCHIVE_Revenue Model'!$H$41</f>
        <v>-358599.4973839242</v>
      </c>
      <c r="I15" s="88">
        <f>'ARCHIVE_Revenue Model'!$I$41</f>
        <v>-496522.38099312584</v>
      </c>
      <c r="J15" s="88">
        <f>'ARCHIVE_Revenue Model'!$J$41</f>
        <v>-639962.17994669545</v>
      </c>
      <c r="K15" s="88">
        <f>'ARCHIVE_Revenue Model'!$K$41</f>
        <v>-297913.42859587539</v>
      </c>
      <c r="L15" s="88">
        <f>'ARCHIVE_Revenue Model'!$L$41</f>
        <v>-319981.08997334761</v>
      </c>
      <c r="M15" s="88">
        <f>'ARCHIVE_Revenue Model'!$M$41</f>
        <v>-336531.83600645186</v>
      </c>
      <c r="N15" s="88">
        <f>'ARCHIVE_Revenue Model'!$N$41</f>
        <v>-353082.58203955606</v>
      </c>
      <c r="O15" s="88">
        <f>'ARCHIVE_Revenue Model'!$O$41</f>
        <v>-369633.32807266025</v>
      </c>
      <c r="P15" s="88">
        <f>'ARCHIVE_Revenue Model'!$P$41</f>
        <v>-386184.07410576445</v>
      </c>
      <c r="Q15" s="88">
        <f>'ARCHIVE_Revenue Model'!$Q$41</f>
        <v>-402734.82013886864</v>
      </c>
      <c r="R15" s="88">
        <f>'ARCHIVE_Revenue Model'!$R$41</f>
        <v>-419285.56617197284</v>
      </c>
      <c r="S15" s="88">
        <f>'ARCHIVE_Revenue Model'!$S$41</f>
        <v>-435836.31220507703</v>
      </c>
      <c r="T15" s="88">
        <f>'ARCHIVE_Revenue Model'!$T$41</f>
        <v>-452387.05823818123</v>
      </c>
      <c r="U15" s="144">
        <f>MIN(C15:T15)</f>
        <v>-639962.17994669545</v>
      </c>
    </row>
    <row r="16" spans="1:21" x14ac:dyDescent="0.2">
      <c r="A16" s="7" t="s">
        <v>436</v>
      </c>
      <c r="B16" s="69"/>
      <c r="C16" s="71">
        <f>0</f>
        <v>0</v>
      </c>
      <c r="D16" s="71">
        <f>0</f>
        <v>0</v>
      </c>
      <c r="E16" s="71">
        <f>0</f>
        <v>0</v>
      </c>
      <c r="F16" s="71">
        <f>0</f>
        <v>0</v>
      </c>
      <c r="G16" s="71">
        <f>0</f>
        <v>0</v>
      </c>
      <c r="H16" s="71">
        <f>0</f>
        <v>0</v>
      </c>
      <c r="I16" s="71">
        <f>0</f>
        <v>0</v>
      </c>
      <c r="J16" s="71">
        <f>0</f>
        <v>0</v>
      </c>
      <c r="K16" s="71">
        <f>0</f>
        <v>0</v>
      </c>
      <c r="L16" s="71">
        <f>0</f>
        <v>0</v>
      </c>
      <c r="M16" s="71">
        <f>0</f>
        <v>0</v>
      </c>
      <c r="N16" s="71">
        <f>0</f>
        <v>0</v>
      </c>
      <c r="O16" s="71">
        <f>0</f>
        <v>0</v>
      </c>
      <c r="P16" s="71">
        <f>SUM('ARCHIVE_Revenue Model'!$C$39:$N$39)</f>
        <v>1588871.6191780025</v>
      </c>
      <c r="Q16" s="71">
        <f>'ARCHIVE_Revenue Model'!$O$39</f>
        <v>187575.12170851417</v>
      </c>
      <c r="R16" s="71">
        <f>'ARCHIVE_Revenue Model'!$P$39</f>
        <v>198608.95239725031</v>
      </c>
      <c r="S16" s="71">
        <f>'ARCHIVE_Revenue Model'!$Q$39</f>
        <v>204125.86774161839</v>
      </c>
      <c r="T16" s="71">
        <f>'ARCHIVE_Revenue Model'!$R$39</f>
        <v>215159.6984303545</v>
      </c>
      <c r="U16" s="142"/>
    </row>
    <row r="17" spans="1:21" x14ac:dyDescent="0.2">
      <c r="A17" s="86" t="s">
        <v>437</v>
      </c>
      <c r="B17" s="87"/>
      <c r="C17" s="88">
        <f>C16-C13</f>
        <v>-82753.730165520959</v>
      </c>
      <c r="D17" s="88">
        <f t="shared" ref="D17:T17" si="0">C17+D16-D13</f>
        <v>-176541.29101977806</v>
      </c>
      <c r="E17" s="88">
        <f t="shared" si="0"/>
        <v>-275845.76721840323</v>
      </c>
      <c r="F17" s="88">
        <f t="shared" si="0"/>
        <v>-386184.07410576451</v>
      </c>
      <c r="G17" s="88">
        <f t="shared" si="0"/>
        <v>-507556.2116818619</v>
      </c>
      <c r="H17" s="88">
        <f t="shared" si="0"/>
        <v>-634445.26460232737</v>
      </c>
      <c r="I17" s="88">
        <f t="shared" si="0"/>
        <v>-772368.14821152901</v>
      </c>
      <c r="J17" s="88">
        <f t="shared" si="0"/>
        <v>-915807.94716509874</v>
      </c>
      <c r="K17" s="88">
        <f t="shared" si="0"/>
        <v>-1070281.5768074044</v>
      </c>
      <c r="L17" s="88">
        <f t="shared" si="0"/>
        <v>-1235789.0371384462</v>
      </c>
      <c r="M17" s="88">
        <f t="shared" si="0"/>
        <v>-1406813.4128138563</v>
      </c>
      <c r="N17" s="88">
        <f t="shared" si="0"/>
        <v>-1588871.6191780025</v>
      </c>
      <c r="O17" s="88">
        <f t="shared" si="0"/>
        <v>-1776446.7408865166</v>
      </c>
      <c r="P17" s="88">
        <f t="shared" si="0"/>
        <v>-386184.07410576451</v>
      </c>
      <c r="Q17" s="88">
        <f t="shared" si="0"/>
        <v>-402734.82013886876</v>
      </c>
      <c r="R17" s="88">
        <f t="shared" si="0"/>
        <v>-419285.56617197295</v>
      </c>
      <c r="S17" s="88">
        <f t="shared" si="0"/>
        <v>-435836.31220507715</v>
      </c>
      <c r="T17" s="88">
        <f t="shared" si="0"/>
        <v>-452387.05823818134</v>
      </c>
      <c r="U17" s="144">
        <f>MIN(C17:T17)</f>
        <v>-1776446.7408865166</v>
      </c>
    </row>
    <row r="18" spans="1:21" x14ac:dyDescent="0.2">
      <c r="A18" s="141" t="s">
        <v>438</v>
      </c>
      <c r="B18" s="141"/>
      <c r="C18" s="141"/>
      <c r="D18" s="141"/>
      <c r="E18" s="141"/>
      <c r="F18" s="141"/>
      <c r="G18" s="141"/>
      <c r="H18" s="141"/>
      <c r="I18" s="141"/>
      <c r="J18" s="141"/>
      <c r="K18" s="141"/>
      <c r="L18" s="141"/>
      <c r="M18" s="141"/>
      <c r="N18" s="141"/>
      <c r="O18" s="141"/>
      <c r="P18" s="141"/>
      <c r="Q18" s="141"/>
      <c r="R18" s="141"/>
      <c r="S18" s="141"/>
      <c r="T18" s="141"/>
      <c r="U18" s="141"/>
    </row>
    <row r="19" spans="1:21" x14ac:dyDescent="0.2">
      <c r="A19" s="2"/>
      <c r="B19" s="2"/>
      <c r="C19" s="2"/>
      <c r="D19" s="2"/>
      <c r="E19" s="2"/>
      <c r="F19" s="2"/>
      <c r="G19" s="2"/>
      <c r="H19" s="2"/>
      <c r="I19" s="2"/>
      <c r="J19" s="2"/>
      <c r="K19" s="2"/>
      <c r="L19" s="2"/>
      <c r="M19" s="2"/>
      <c r="N19" s="2"/>
      <c r="O19" s="2"/>
      <c r="P19" s="2"/>
      <c r="Q19" s="2"/>
      <c r="R19" s="2"/>
      <c r="S19" s="2"/>
      <c r="T19" s="2"/>
      <c r="U19" s="2"/>
    </row>
    <row r="20" spans="1:21" x14ac:dyDescent="0.2">
      <c r="A20" s="3" t="s">
        <v>439</v>
      </c>
      <c r="B20" s="3"/>
      <c r="C20" s="3"/>
      <c r="D20" s="3"/>
      <c r="E20" s="3"/>
      <c r="F20" s="3"/>
      <c r="G20" s="3"/>
      <c r="H20" s="3"/>
      <c r="I20" s="3"/>
      <c r="J20" s="3"/>
      <c r="K20" s="3"/>
      <c r="L20" s="3"/>
      <c r="M20" s="3"/>
      <c r="N20" s="3"/>
      <c r="O20" s="3"/>
      <c r="P20" s="3"/>
      <c r="Q20" s="3"/>
      <c r="R20" s="3"/>
      <c r="S20" s="3"/>
      <c r="T20" s="3"/>
      <c r="U20" s="3"/>
    </row>
    <row r="21" spans="1:21" x14ac:dyDescent="0.2">
      <c r="A21" s="64" t="s">
        <v>414</v>
      </c>
      <c r="B21" s="131" t="s">
        <v>440</v>
      </c>
      <c r="C21" s="131"/>
      <c r="D21" s="131"/>
      <c r="E21" s="131" t="s">
        <v>441</v>
      </c>
      <c r="F21" s="131"/>
      <c r="G21" s="131"/>
      <c r="H21" s="131" t="s">
        <v>442</v>
      </c>
      <c r="I21" s="131"/>
      <c r="J21" s="131" t="s">
        <v>443</v>
      </c>
      <c r="K21" s="131"/>
      <c r="L21" s="131" t="s">
        <v>444</v>
      </c>
      <c r="M21" s="131"/>
      <c r="N21" s="131"/>
      <c r="O21" s="131" t="s">
        <v>445</v>
      </c>
      <c r="P21" s="131"/>
      <c r="Q21" s="131"/>
      <c r="R21" s="131"/>
      <c r="S21" s="131"/>
      <c r="T21" s="131"/>
      <c r="U21" s="131"/>
    </row>
    <row r="22" spans="1:21" x14ac:dyDescent="0.2">
      <c r="A22" s="77" t="s">
        <v>446</v>
      </c>
      <c r="B22" s="132">
        <f>MIN('ARCHIVE_Stress Tests'!C15:T15)</f>
        <v>-639962.17994669545</v>
      </c>
      <c r="C22" s="132"/>
      <c r="D22" s="132"/>
      <c r="E22" s="141" t="s">
        <v>447</v>
      </c>
      <c r="F22" s="141"/>
      <c r="G22" s="141"/>
      <c r="H22" s="141"/>
      <c r="I22" s="141"/>
      <c r="J22" s="141"/>
      <c r="K22" s="141"/>
      <c r="L22" s="141"/>
      <c r="M22" s="141"/>
      <c r="N22" s="141"/>
      <c r="O22" s="141"/>
      <c r="P22" s="141"/>
      <c r="Q22" s="141"/>
      <c r="R22" s="141"/>
      <c r="S22" s="141"/>
      <c r="T22" s="141"/>
      <c r="U22" s="141"/>
    </row>
    <row r="23" spans="1:21" x14ac:dyDescent="0.2">
      <c r="A23" s="73" t="s">
        <v>448</v>
      </c>
      <c r="B23" s="133">
        <f>MIN('ARCHIVE_Stress Tests'!C17:T17)</f>
        <v>-1776446.7408865166</v>
      </c>
      <c r="C23" s="133"/>
      <c r="D23" s="133"/>
      <c r="E23" s="140" t="s">
        <v>447</v>
      </c>
      <c r="F23" s="140"/>
      <c r="G23" s="140"/>
      <c r="H23" s="140"/>
      <c r="I23" s="140"/>
      <c r="J23" s="140"/>
      <c r="K23" s="140"/>
      <c r="L23" s="140"/>
      <c r="M23" s="140"/>
      <c r="N23" s="140"/>
      <c r="O23" s="140"/>
      <c r="P23" s="140"/>
      <c r="Q23" s="140"/>
      <c r="R23" s="140"/>
      <c r="S23" s="140"/>
      <c r="T23" s="140"/>
      <c r="U23" s="140"/>
    </row>
    <row r="24" spans="1:21" x14ac:dyDescent="0.2">
      <c r="A24" s="77" t="s">
        <v>420</v>
      </c>
      <c r="B24" s="185" t="s">
        <v>449</v>
      </c>
      <c r="C24" s="185"/>
      <c r="D24" s="185"/>
      <c r="E24" s="141" t="s">
        <v>447</v>
      </c>
      <c r="F24" s="141"/>
      <c r="G24" s="141"/>
      <c r="H24" s="141"/>
      <c r="I24" s="141"/>
      <c r="J24" s="141"/>
      <c r="K24" s="141"/>
      <c r="L24" s="141"/>
      <c r="M24" s="141"/>
      <c r="N24" s="141"/>
      <c r="O24" s="141"/>
      <c r="P24" s="141"/>
      <c r="Q24" s="141"/>
      <c r="R24" s="141"/>
      <c r="S24" s="141"/>
      <c r="T24" s="141"/>
      <c r="U24" s="141"/>
    </row>
    <row r="25" spans="1:21" x14ac:dyDescent="0.2">
      <c r="A25" s="73" t="s">
        <v>423</v>
      </c>
      <c r="B25" s="186" t="s">
        <v>449</v>
      </c>
      <c r="C25" s="186"/>
      <c r="D25" s="186"/>
      <c r="E25" s="140" t="s">
        <v>447</v>
      </c>
      <c r="F25" s="140"/>
      <c r="G25" s="140"/>
      <c r="H25" s="140"/>
      <c r="I25" s="140"/>
      <c r="J25" s="140"/>
      <c r="K25" s="140"/>
      <c r="L25" s="140"/>
      <c r="M25" s="140"/>
      <c r="N25" s="140"/>
      <c r="O25" s="140"/>
      <c r="P25" s="140"/>
      <c r="Q25" s="140"/>
      <c r="R25" s="140"/>
      <c r="S25" s="140"/>
      <c r="T25" s="140"/>
      <c r="U25" s="140"/>
    </row>
    <row r="26" spans="1:21" x14ac:dyDescent="0.2">
      <c r="A26" s="77" t="s">
        <v>426</v>
      </c>
      <c r="B26" s="185" t="s">
        <v>449</v>
      </c>
      <c r="C26" s="185"/>
      <c r="D26" s="185"/>
      <c r="E26" s="141" t="s">
        <v>447</v>
      </c>
      <c r="F26" s="141"/>
      <c r="G26" s="141"/>
      <c r="H26" s="141"/>
      <c r="I26" s="141"/>
      <c r="J26" s="141"/>
      <c r="K26" s="141"/>
      <c r="L26" s="141"/>
      <c r="M26" s="141"/>
      <c r="N26" s="141"/>
      <c r="O26" s="141"/>
      <c r="P26" s="141"/>
      <c r="Q26" s="141"/>
      <c r="R26" s="141"/>
      <c r="S26" s="141"/>
      <c r="T26" s="141"/>
      <c r="U26" s="141"/>
    </row>
    <row r="27" spans="1:21" x14ac:dyDescent="0.2">
      <c r="A27" s="73" t="s">
        <v>429</v>
      </c>
      <c r="B27" s="186" t="s">
        <v>449</v>
      </c>
      <c r="C27" s="186"/>
      <c r="D27" s="186"/>
      <c r="E27" s="140" t="s">
        <v>447</v>
      </c>
      <c r="F27" s="140"/>
      <c r="G27" s="140"/>
      <c r="H27" s="140"/>
      <c r="I27" s="140"/>
      <c r="J27" s="140"/>
      <c r="K27" s="140"/>
      <c r="L27" s="140"/>
      <c r="M27" s="140"/>
      <c r="N27" s="140"/>
      <c r="O27" s="140"/>
      <c r="P27" s="140"/>
      <c r="Q27" s="140"/>
      <c r="R27" s="140"/>
      <c r="S27" s="140"/>
      <c r="T27" s="140"/>
      <c r="U27" s="140"/>
    </row>
  </sheetData>
  <mergeCells count="30">
    <mergeCell ref="B25:D25"/>
    <mergeCell ref="E25:U25"/>
    <mergeCell ref="B26:D26"/>
    <mergeCell ref="E26:U26"/>
    <mergeCell ref="B27:D27"/>
    <mergeCell ref="E27:U27"/>
    <mergeCell ref="B22:D22"/>
    <mergeCell ref="E22:U22"/>
    <mergeCell ref="B23:D23"/>
    <mergeCell ref="E23:U23"/>
    <mergeCell ref="B24:D24"/>
    <mergeCell ref="E24:U24"/>
    <mergeCell ref="A18:U18"/>
    <mergeCell ref="A20:U20"/>
    <mergeCell ref="B21:D21"/>
    <mergeCell ref="E21:G21"/>
    <mergeCell ref="H21:I21"/>
    <mergeCell ref="J21:K21"/>
    <mergeCell ref="L21:N21"/>
    <mergeCell ref="O21:U21"/>
    <mergeCell ref="C7:U7"/>
    <mergeCell ref="C8:U8"/>
    <mergeCell ref="C9:U9"/>
    <mergeCell ref="C10:U10"/>
    <mergeCell ref="A11:U11"/>
    <mergeCell ref="A1:U1"/>
    <mergeCell ref="A2:U2"/>
    <mergeCell ref="A4:U4"/>
    <mergeCell ref="C5:U5"/>
    <mergeCell ref="C6:U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Prompt Pack</vt:lpstr>
      <vt:lpstr>Inputs</vt:lpstr>
      <vt:lpstr>ARCHIVE_Control Tower</vt:lpstr>
      <vt:lpstr>ARCHIVE_COA Mapping</vt:lpstr>
      <vt:lpstr>ARCHIVE_Census Waterfall</vt:lpstr>
      <vt:lpstr>ARCHIVE_Revenue Model</vt:lpstr>
      <vt:lpstr>ARCHIVE_Staffing Summary</vt:lpstr>
      <vt:lpstr>ARCHIVE_Operating Budget</vt:lpstr>
      <vt:lpstr>ARCHIVE_P&amp;L</vt:lpstr>
      <vt:lpstr>ARCHIVE_Reconciliation</vt:lpstr>
      <vt:lpstr>ARCHIVE_Stress Tests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geoff schackmann</cp:lastModifiedBy>
  <cp:revision>0</cp:revision>
  <dcterms:created xsi:type="dcterms:W3CDTF">2026-05-21T20:39:39Z</dcterms:created>
  <dcterms:modified xsi:type="dcterms:W3CDTF">2026-05-26T22:42:53Z</dcterms:modified>
  <dc:language>en-US</dc:language>
</cp:coreProperties>
</file>